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branovamacbook/Dropbox/NOVA RTP 2680/0.9 Due Diligence Docs/Deal Package/"/>
    </mc:Choice>
  </mc:AlternateContent>
  <xr:revisionPtr revIDLastSave="0" documentId="8_{C7E8C4DF-2E63-5B49-9306-21EEEFC41E5D}" xr6:coauthVersionLast="47" xr6:coauthVersionMax="47" xr10:uidLastSave="{00000000-0000-0000-0000-000000000000}"/>
  <bookViews>
    <workbookView xWindow="0" yWindow="500" windowWidth="28800" windowHeight="16320" tabRatio="880" firstSheet="4" activeTab="14" xr2:uid="{00000000-000D-0000-FFFF-FFFF00000000}"/>
  </bookViews>
  <sheets>
    <sheet name="CHECKLIST" sheetId="21" state="hidden" r:id="rId1"/>
    <sheet name="Cover" sheetId="42" r:id="rId2"/>
    <sheet name="Summary" sheetId="11" r:id="rId3"/>
    <sheet name="Start Up Budget Detail" sheetId="36" r:id="rId4"/>
    <sheet name="Start Up Media Schedule" sheetId="37" r:id="rId5"/>
    <sheet name="Start Up Maintenance List " sheetId="38" r:id="rId6"/>
    <sheet name="Start Up Payroll" sheetId="40" r:id="rId7"/>
    <sheet name="GPR Worksheet" sheetId="29" r:id="rId8"/>
    <sheet name="Operating Budget" sheetId="1" r:id="rId9"/>
    <sheet name="Reforecast tool" sheetId="35" state="hidden" r:id="rId10"/>
    <sheet name="Revenue Worksheet" sheetId="14" r:id="rId11"/>
    <sheet name="Other Income" sheetId="39" r:id="rId12"/>
    <sheet name="Operating Expenses" sheetId="23" r:id="rId13"/>
    <sheet name="Non-Operating Expenses" sheetId="28" r:id="rId14"/>
    <sheet name="Payroll Worksheet" sheetId="13" r:id="rId15"/>
    <sheet name="Marketing Worksheet" sheetId="17" r:id="rId16"/>
    <sheet name="Make Ready Worksheet" sheetId="18" r:id="rId17"/>
    <sheet name="QS_Chart_Of_Accounts_Upload" sheetId="43" state="hidden" r:id="rId18"/>
    <sheet name="Chart of Accounts" sheetId="31" state="hidden" r:id="rId19"/>
  </sheets>
  <externalReferences>
    <externalReference r:id="rId20"/>
  </externalReferences>
  <definedNames>
    <definedName name="End">'GPR Worksheet'!$B$22</definedName>
    <definedName name="MayMondays" localSheetId="11">SUM((WEEKDAY(DATE(CalYear,5,(ROW(INDIRECT("1:"&amp;DAY(DATE(CalYear,5+1,0)))))))=2)*1)</definedName>
    <definedName name="MayMondays" localSheetId="17">SUM((WEEKDAY(DATE(CalYear,5,(ROW(INDIRECT("1:"&amp;DAY(DATE(CalYear,5+1,0)))))))=2)*1)</definedName>
    <definedName name="MayMondays" localSheetId="4">SUM((WEEKDAY(DATE(CalYear,5,(ROW(INDIRECT("1:"&amp;DAY(DATE(CalYear,5+1,0)))))))=2)*1)</definedName>
    <definedName name="MayMondays" localSheetId="6">SUM((WEEKDAY(DATE(CalYear,5,(ROW(INDIRECT("1:"&amp;DAY(DATE(CalYear,5+1,0)))))))=2)*1)</definedName>
    <definedName name="MayMondays">SUM((WEEKDAY(DATE(CalYear,5,(ROW(INDIRECT("1:"&amp;DAY(DATE(CalYear,5+1,0)))))))=2)*1)</definedName>
    <definedName name="MF_Categories">[1]MF_Categories!$A$2:$A$34</definedName>
    <definedName name="_xlnm.Print_Area" localSheetId="1">Cover!$A$1:$I$49</definedName>
    <definedName name="_xlnm.Print_Area" localSheetId="7">'GPR Worksheet'!$A$13:$H$25</definedName>
    <definedName name="_xlnm.Print_Area" localSheetId="15">'Marketing Worksheet'!$A$3:$Y$122</definedName>
    <definedName name="_xlnm.Print_Area" localSheetId="8">'Operating Budget'!$A$3:$R$357</definedName>
    <definedName name="_xlnm.Print_Area" localSheetId="12">'Operating Expenses'!$A$3:$Q$160</definedName>
    <definedName name="_xlnm.Print_Area" localSheetId="11">'Other Income'!$A$3:$V$61</definedName>
    <definedName name="_xlnm.Print_Area" localSheetId="14">'Payroll Worksheet'!$B$3:$S$107</definedName>
    <definedName name="_xlnm.Print_Area" localSheetId="10">'Revenue Worksheet'!$B$3:$R$73</definedName>
    <definedName name="_xlnm.Print_Area" localSheetId="3">'Start Up Budget Detail'!$B$1:$E$63</definedName>
    <definedName name="_xlnm.Print_Area" localSheetId="4">'Start Up Media Schedule'!$A$3:$E$22</definedName>
    <definedName name="_xlnm.Print_Area" localSheetId="6">'Start Up Payroll'!$B$3:$H$112</definedName>
    <definedName name="_xlnm.Print_Titles" localSheetId="8">'Operating Budget'!$B:$B,'Operating Budget'!$4:$4</definedName>
    <definedName name="_xlnm.Print_Titles" localSheetId="3">'Start Up Budget Detail'!$1:$7</definedName>
    <definedName name="_xlnm.Print_Titles" localSheetId="4">'Start Up Media Schedule'!$3:$6</definedName>
    <definedName name="QS_GeneralCategories">#REF!</definedName>
    <definedName name="QS_ServiceCategories">#REF!</definedName>
    <definedName name="Start">'GPR Worksheet'!$B$14</definedName>
    <definedName name="Z_20D88610_093B_4F6F_9D08_6EE3E18F1365_.wvu.Cols" localSheetId="15" hidden="1">'Marketing Worksheet'!$A:$A</definedName>
    <definedName name="Z_20D88610_093B_4F6F_9D08_6EE3E18F1365_.wvu.PrintArea" localSheetId="8" hidden="1">'Operating Budget'!$A$4:$S$357</definedName>
    <definedName name="Z_20D88610_093B_4F6F_9D08_6EE3E18F1365_.wvu.PrintArea" localSheetId="14" hidden="1">'Payroll Worksheet'!$B$3:$S$107</definedName>
    <definedName name="Z_20D88610_093B_4F6F_9D08_6EE3E18F1365_.wvu.PrintArea" localSheetId="6" hidden="1">'Start Up Payroll'!$B$3:$H$112</definedName>
    <definedName name="Z_20D88610_093B_4F6F_9D08_6EE3E18F1365_.wvu.PrintTitles" localSheetId="8" hidden="1">'Operating Budget'!$B:$B,'Operating Budget'!$4:$4</definedName>
    <definedName name="Z_20D88610_093B_4F6F_9D08_6EE3E18F1365_.wvu.Rows" localSheetId="15" hidden="1">'Marketing Worksheet'!#REF!</definedName>
    <definedName name="Z_20D88610_093B_4F6F_9D08_6EE3E18F1365_.wvu.Rows" localSheetId="14" hidden="1">'Payroll Worksheet'!#REF!,'Payroll Worksheet'!#REF!,'Payroll Worksheet'!$88:$106</definedName>
    <definedName name="Z_20D88610_093B_4F6F_9D08_6EE3E18F1365_.wvu.Rows" localSheetId="10" hidden="1">'Revenue Worksheet'!#REF!,'Revenue Worksheet'!$20:$20</definedName>
    <definedName name="Z_20D88610_093B_4F6F_9D08_6EE3E18F1365_.wvu.Rows" localSheetId="6" hidden="1">'Start Up Payroll'!#REF!,'Start Up Payroll'!#REF!,'Start Up Payroll'!$93:$111</definedName>
    <definedName name="Z_20D88610_093B_4F6F_9D08_6EE3E18F1365_.wvu.Rows" localSheetId="2" hidden="1">Summary!#REF!</definedName>
    <definedName name="Z_238B6A19_3218_4587_9C80_5E68600CCC2E_.wvu.Cols" localSheetId="15" hidden="1">'Marketing Worksheet'!$A:$A</definedName>
    <definedName name="Z_238B6A19_3218_4587_9C80_5E68600CCC2E_.wvu.PrintArea" localSheetId="8" hidden="1">'Operating Budget'!$A$4:$S$357</definedName>
    <definedName name="Z_238B6A19_3218_4587_9C80_5E68600CCC2E_.wvu.PrintArea" localSheetId="14" hidden="1">'Payroll Worksheet'!$B$3:$S$107</definedName>
    <definedName name="Z_238B6A19_3218_4587_9C80_5E68600CCC2E_.wvu.PrintArea" localSheetId="6" hidden="1">'Start Up Payroll'!$B$3:$H$112</definedName>
    <definedName name="Z_238B6A19_3218_4587_9C80_5E68600CCC2E_.wvu.PrintTitles" localSheetId="8" hidden="1">'Operating Budget'!$B:$B,'Operating Budget'!$4:$4</definedName>
    <definedName name="Z_238B6A19_3218_4587_9C80_5E68600CCC2E_.wvu.Rows" localSheetId="15" hidden="1">'Marketing Worksheet'!#REF!</definedName>
    <definedName name="Z_238B6A19_3218_4587_9C80_5E68600CCC2E_.wvu.Rows" localSheetId="8" hidden="1">'Operating Budget'!#REF!</definedName>
    <definedName name="Z_238B6A19_3218_4587_9C80_5E68600CCC2E_.wvu.Rows" localSheetId="14" hidden="1">'Payroll Worksheet'!#REF!,'Payroll Worksheet'!#REF!,'Payroll Worksheet'!$88:$106</definedName>
    <definedName name="Z_238B6A19_3218_4587_9C80_5E68600CCC2E_.wvu.Rows" localSheetId="10" hidden="1">'Revenue Worksheet'!#REF!,'Revenue Worksheet'!$20:$20,'Revenue Worksheet'!$62:$62</definedName>
    <definedName name="Z_238B6A19_3218_4587_9C80_5E68600CCC2E_.wvu.Rows" localSheetId="6" hidden="1">'Start Up Payroll'!#REF!,'Start Up Payroll'!#REF!,'Start Up Payroll'!$93:$111</definedName>
    <definedName name="Z_238B6A19_3218_4587_9C80_5E68600CCC2E_.wvu.Rows" localSheetId="2" hidden="1">Summary!#REF!,Summary!#REF!</definedName>
    <definedName name="Z_37F60134_1665_4224_BDB0_AA938013E6F7_.wvu.Cols" localSheetId="15" hidden="1">'Marketing Worksheet'!$A:$A</definedName>
    <definedName name="Z_37F60134_1665_4224_BDB0_AA938013E6F7_.wvu.PrintArea" localSheetId="8" hidden="1">'Operating Budget'!$A$4:$S$273</definedName>
    <definedName name="Z_37F60134_1665_4224_BDB0_AA938013E6F7_.wvu.PrintArea" localSheetId="14" hidden="1">'Payroll Worksheet'!$B$3:$S$107</definedName>
    <definedName name="Z_37F60134_1665_4224_BDB0_AA938013E6F7_.wvu.PrintArea" localSheetId="6" hidden="1">'Start Up Payroll'!$B$3:$H$112</definedName>
    <definedName name="Z_37F60134_1665_4224_BDB0_AA938013E6F7_.wvu.PrintTitles" localSheetId="8" hidden="1">'Operating Budget'!$B:$B,'Operating Budget'!$4:$4</definedName>
    <definedName name="Z_37F60134_1665_4224_BDB0_AA938013E6F7_.wvu.Rows" localSheetId="15" hidden="1">'Marketing Worksheet'!#REF!</definedName>
    <definedName name="Z_37F60134_1665_4224_BDB0_AA938013E6F7_.wvu.Rows" localSheetId="8" hidden="1">'Operating Budget'!#REF!,'Operating Budget'!$160:$160,'Operating Budget'!$196:$196,'Operating Budget'!$208:$208</definedName>
    <definedName name="Z_37F60134_1665_4224_BDB0_AA938013E6F7_.wvu.Rows" localSheetId="14" hidden="1">'Payroll Worksheet'!#REF!,'Payroll Worksheet'!#REF!,'Payroll Worksheet'!$88:$106</definedName>
    <definedName name="Z_37F60134_1665_4224_BDB0_AA938013E6F7_.wvu.Rows" localSheetId="10" hidden="1">'Revenue Worksheet'!#REF!,'Revenue Worksheet'!$20:$20</definedName>
    <definedName name="Z_37F60134_1665_4224_BDB0_AA938013E6F7_.wvu.Rows" localSheetId="6" hidden="1">'Start Up Payroll'!#REF!,'Start Up Payroll'!#REF!,'Start Up Payroll'!$93:$111</definedName>
    <definedName name="Z_37F60134_1665_4224_BDB0_AA938013E6F7_.wvu.Rows" localSheetId="2" hidden="1">Summary!#REF!</definedName>
    <definedName name="Z_932A7D91_0C1E_4536_9603_41BE3B00586E_.wvu.PrintArea" localSheetId="8" hidden="1">'Operating Budget'!$A$4:$S$357</definedName>
    <definedName name="Z_932A7D91_0C1E_4536_9603_41BE3B00586E_.wvu.PrintTitles" localSheetId="8" hidden="1">'Operating Budget'!$B:$B,'Operating Budget'!$4:$4</definedName>
    <definedName name="Z_932A7D91_0C1E_4536_9603_41BE3B00586E_.wvu.Rows" localSheetId="8" hidden="1">'Operating Budget'!#REF!,'Operating Budget'!$208:$208,'Operating Budget'!$283:$359</definedName>
    <definedName name="Z_97516F51_8B9A_4ED3_BCEB_36791F0F2C00_.wvu.Cols" localSheetId="15" hidden="1">'Marketing Worksheet'!$A:$A</definedName>
    <definedName name="Z_97516F51_8B9A_4ED3_BCEB_36791F0F2C00_.wvu.PrintArea" localSheetId="8" hidden="1">'Operating Budget'!$A$4:$S$273</definedName>
    <definedName name="Z_97516F51_8B9A_4ED3_BCEB_36791F0F2C00_.wvu.PrintArea" localSheetId="14" hidden="1">'Payroll Worksheet'!$B$3:$S$107</definedName>
    <definedName name="Z_97516F51_8B9A_4ED3_BCEB_36791F0F2C00_.wvu.PrintArea" localSheetId="6" hidden="1">'Start Up Payroll'!$B$3:$H$112</definedName>
    <definedName name="Z_97516F51_8B9A_4ED3_BCEB_36791F0F2C00_.wvu.PrintTitles" localSheetId="8" hidden="1">'Operating Budget'!$B:$B,'Operating Budget'!$4:$4</definedName>
    <definedName name="Z_97516F51_8B9A_4ED3_BCEB_36791F0F2C00_.wvu.Rows" localSheetId="15" hidden="1">'Marketing Worksheet'!#REF!</definedName>
    <definedName name="Z_97516F51_8B9A_4ED3_BCEB_36791F0F2C00_.wvu.Rows" localSheetId="14" hidden="1">'Payroll Worksheet'!#REF!,'Payroll Worksheet'!#REF!,'Payroll Worksheet'!$88:$106</definedName>
    <definedName name="Z_97516F51_8B9A_4ED3_BCEB_36791F0F2C00_.wvu.Rows" localSheetId="10" hidden="1">'Revenue Worksheet'!$62:$62</definedName>
    <definedName name="Z_97516F51_8B9A_4ED3_BCEB_36791F0F2C00_.wvu.Rows" localSheetId="6" hidden="1">'Start Up Payroll'!#REF!,'Start Up Payroll'!#REF!,'Start Up Payroll'!$93:$111</definedName>
    <definedName name="Z_9DEAD063_F928_419C_837E_C1066ED7860B_.wvu.Cols" localSheetId="15" hidden="1">'Marketing Worksheet'!$A:$A</definedName>
    <definedName name="Z_9DEAD063_F928_419C_837E_C1066ED7860B_.wvu.PrintArea" localSheetId="8" hidden="1">'Operating Budget'!$A$4:$S$273</definedName>
    <definedName name="Z_9DEAD063_F928_419C_837E_C1066ED7860B_.wvu.PrintArea" localSheetId="14" hidden="1">'Payroll Worksheet'!$B$3:$S$107</definedName>
    <definedName name="Z_9DEAD063_F928_419C_837E_C1066ED7860B_.wvu.PrintArea" localSheetId="6" hidden="1">'Start Up Payroll'!$B$3:$H$112</definedName>
    <definedName name="Z_9DEAD063_F928_419C_837E_C1066ED7860B_.wvu.PrintTitles" localSheetId="8" hidden="1">'Operating Budget'!$B:$B,'Operating Budget'!$4:$4</definedName>
    <definedName name="Z_9DEAD063_F928_419C_837E_C1066ED7860B_.wvu.Rows" localSheetId="15" hidden="1">'Marketing Worksheet'!#REF!</definedName>
    <definedName name="Z_9DEAD063_F928_419C_837E_C1066ED7860B_.wvu.Rows" localSheetId="14" hidden="1">'Payroll Worksheet'!#REF!,'Payroll Worksheet'!#REF!,'Payroll Worksheet'!$88:$106</definedName>
    <definedName name="Z_9DEAD063_F928_419C_837E_C1066ED7860B_.wvu.Rows" localSheetId="10" hidden="1">'Revenue Worksheet'!#REF!,'Revenue Worksheet'!$20:$20,'Revenue Worksheet'!$62:$62</definedName>
    <definedName name="Z_9DEAD063_F928_419C_837E_C1066ED7860B_.wvu.Rows" localSheetId="6" hidden="1">'Start Up Payroll'!#REF!,'Start Up Payroll'!#REF!,'Start Up Payroll'!$93:$111</definedName>
    <definedName name="Z_9DEAD063_F928_419C_837E_C1066ED7860B_.wvu.Rows" localSheetId="2" hidden="1">Summary!#REF!,Summary!#REF!</definedName>
    <definedName name="Z_BBC4A248_3FF0_4C22_89A9_106C1C902C44_.wvu.Cols" localSheetId="15" hidden="1">'Marketing Worksheet'!$A:$A</definedName>
    <definedName name="Z_BBC4A248_3FF0_4C22_89A9_106C1C902C44_.wvu.PrintArea" localSheetId="8" hidden="1">'Operating Budget'!$A$4:$S$273</definedName>
    <definedName name="Z_BBC4A248_3FF0_4C22_89A9_106C1C902C44_.wvu.PrintArea" localSheetId="14" hidden="1">'Payroll Worksheet'!$B$3:$S$107</definedName>
    <definedName name="Z_BBC4A248_3FF0_4C22_89A9_106C1C902C44_.wvu.PrintArea" localSheetId="6" hidden="1">'Start Up Payroll'!$B$3:$H$112</definedName>
    <definedName name="Z_BBC4A248_3FF0_4C22_89A9_106C1C902C44_.wvu.PrintTitles" localSheetId="8" hidden="1">'Operating Budget'!$B:$B,'Operating Budget'!$4:$4</definedName>
    <definedName name="Z_BBC4A248_3FF0_4C22_89A9_106C1C902C44_.wvu.Rows" localSheetId="15" hidden="1">'Marketing Worksheet'!#REF!</definedName>
    <definedName name="Z_BBC4A248_3FF0_4C22_89A9_106C1C902C44_.wvu.Rows" localSheetId="14" hidden="1">'Payroll Worksheet'!#REF!,'Payroll Worksheet'!#REF!,'Payroll Worksheet'!$88:$106</definedName>
    <definedName name="Z_BBC4A248_3FF0_4C22_89A9_106C1C902C44_.wvu.Rows" localSheetId="10" hidden="1">'Revenue Worksheet'!#REF!,'Revenue Worksheet'!$20:$20,'Revenue Worksheet'!$62:$62</definedName>
    <definedName name="Z_BBC4A248_3FF0_4C22_89A9_106C1C902C44_.wvu.Rows" localSheetId="6" hidden="1">'Start Up Payroll'!#REF!,'Start Up Payroll'!#REF!,'Start Up Payroll'!$93:$111</definedName>
    <definedName name="Z_BBC4A248_3FF0_4C22_89A9_106C1C902C44_.wvu.Rows" localSheetId="2" hidden="1">Summary!#REF!,Summary!#REF!</definedName>
    <definedName name="Z_CD41F76E_02CC_455C_B8BC_2EB46CDD6483_.wvu.Cols" localSheetId="15" hidden="1">'Marketing Worksheet'!$A:$A</definedName>
    <definedName name="Z_CD41F76E_02CC_455C_B8BC_2EB46CDD6483_.wvu.PrintArea" localSheetId="8" hidden="1">'Operating Budget'!$A$4:$S$357</definedName>
    <definedName name="Z_CD41F76E_02CC_455C_B8BC_2EB46CDD6483_.wvu.PrintArea" localSheetId="14" hidden="1">'Payroll Worksheet'!$B$3:$S$107</definedName>
    <definedName name="Z_CD41F76E_02CC_455C_B8BC_2EB46CDD6483_.wvu.PrintArea" localSheetId="6" hidden="1">'Start Up Payroll'!$B$3:$H$112</definedName>
    <definedName name="Z_CD41F76E_02CC_455C_B8BC_2EB46CDD6483_.wvu.PrintTitles" localSheetId="8" hidden="1">'Operating Budget'!$B:$B,'Operating Budget'!$4:$4</definedName>
    <definedName name="Z_CD41F76E_02CC_455C_B8BC_2EB46CDD6483_.wvu.Rows" localSheetId="15" hidden="1">'Marketing Worksheet'!#REF!</definedName>
    <definedName name="Z_CD41F76E_02CC_455C_B8BC_2EB46CDD6483_.wvu.Rows" localSheetId="14" hidden="1">'Payroll Worksheet'!#REF!,'Payroll Worksheet'!#REF!,'Payroll Worksheet'!$88:$106</definedName>
    <definedName name="Z_CD41F76E_02CC_455C_B8BC_2EB46CDD6483_.wvu.Rows" localSheetId="10" hidden="1">'Revenue Worksheet'!#REF!,'Revenue Worksheet'!$20:$20</definedName>
    <definedName name="Z_CD41F76E_02CC_455C_B8BC_2EB46CDD6483_.wvu.Rows" localSheetId="6" hidden="1">'Start Up Payroll'!#REF!,'Start Up Payroll'!#REF!,'Start Up Payroll'!$93:$111</definedName>
    <definedName name="Z_CD41F76E_02CC_455C_B8BC_2EB46CDD6483_.wvu.Rows" localSheetId="2" hidden="1">Summary!#REF!</definedName>
    <definedName name="Z_D073F711_6285_4942_AB77_7D856F2758D2_.wvu.Cols" localSheetId="15" hidden="1">'Marketing Worksheet'!$A:$A</definedName>
    <definedName name="Z_D073F711_6285_4942_AB77_7D856F2758D2_.wvu.PrintArea" localSheetId="8" hidden="1">'Operating Budget'!$A$4:$S$273</definedName>
    <definedName name="Z_D073F711_6285_4942_AB77_7D856F2758D2_.wvu.PrintArea" localSheetId="14" hidden="1">'Payroll Worksheet'!$B$3:$S$107</definedName>
    <definedName name="Z_D073F711_6285_4942_AB77_7D856F2758D2_.wvu.PrintArea" localSheetId="6" hidden="1">'Start Up Payroll'!$B$3:$H$112</definedName>
    <definedName name="Z_D073F711_6285_4942_AB77_7D856F2758D2_.wvu.PrintTitles" localSheetId="8" hidden="1">'Operating Budget'!$B:$B,'Operating Budget'!$4:$4</definedName>
    <definedName name="Z_D073F711_6285_4942_AB77_7D856F2758D2_.wvu.Rows" localSheetId="15" hidden="1">'Marketing Worksheet'!#REF!</definedName>
    <definedName name="Z_D073F711_6285_4942_AB77_7D856F2758D2_.wvu.Rows" localSheetId="8" hidden="1">'Operating Budget'!#REF!</definedName>
    <definedName name="Z_D073F711_6285_4942_AB77_7D856F2758D2_.wvu.Rows" localSheetId="14" hidden="1">'Payroll Worksheet'!#REF!,'Payroll Worksheet'!#REF!,'Payroll Worksheet'!$88:$106</definedName>
    <definedName name="Z_D073F711_6285_4942_AB77_7D856F2758D2_.wvu.Rows" localSheetId="10" hidden="1">'Revenue Worksheet'!#REF!,'Revenue Worksheet'!$20:$20,'Revenue Worksheet'!$40:$42</definedName>
    <definedName name="Z_D073F711_6285_4942_AB77_7D856F2758D2_.wvu.Rows" localSheetId="6" hidden="1">'Start Up Payroll'!#REF!,'Start Up Payroll'!#REF!,'Start Up Payroll'!$93:$111</definedName>
    <definedName name="Z_D073F711_6285_4942_AB77_7D856F2758D2_.wvu.Rows" localSheetId="2" hidden="1">Summary!#REF!</definedName>
    <definedName name="Z_DE2360E6_2B91_4F5C_9697_CB1D2265B97A_.wvu.Cols" localSheetId="15" hidden="1">'Marketing Worksheet'!$A:$A</definedName>
    <definedName name="Z_DE2360E6_2B91_4F5C_9697_CB1D2265B97A_.wvu.PrintArea" localSheetId="8" hidden="1">'Operating Budget'!$A$4:$S$357</definedName>
    <definedName name="Z_DE2360E6_2B91_4F5C_9697_CB1D2265B97A_.wvu.PrintArea" localSheetId="14" hidden="1">'Payroll Worksheet'!$B$3:$S$107</definedName>
    <definedName name="Z_DE2360E6_2B91_4F5C_9697_CB1D2265B97A_.wvu.PrintArea" localSheetId="6" hidden="1">'Start Up Payroll'!$B$3:$H$112</definedName>
    <definedName name="Z_DE2360E6_2B91_4F5C_9697_CB1D2265B97A_.wvu.PrintTitles" localSheetId="8" hidden="1">'Operating Budget'!$B:$B,'Operating Budget'!$4:$4</definedName>
    <definedName name="Z_DE2360E6_2B91_4F5C_9697_CB1D2265B97A_.wvu.Rows" localSheetId="15" hidden="1">'Marketing Worksheet'!#REF!</definedName>
    <definedName name="Z_DE2360E6_2B91_4F5C_9697_CB1D2265B97A_.wvu.Rows" localSheetId="8" hidden="1">'Operating Budget'!#REF!,'Operating Budget'!#REF!,'Operating Budget'!#REF!,'Operating Budget'!#REF!,'Operating Budget'!$160:$160,'Operating Budget'!$196:$196,'Operating Budget'!$208:$208,'Operating Budget'!$283:$359</definedName>
    <definedName name="Z_DE2360E6_2B91_4F5C_9697_CB1D2265B97A_.wvu.Rows" localSheetId="14" hidden="1">'Payroll Worksheet'!#REF!,'Payroll Worksheet'!#REF!,'Payroll Worksheet'!$88:$106</definedName>
    <definedName name="Z_DE2360E6_2B91_4F5C_9697_CB1D2265B97A_.wvu.Rows" localSheetId="10" hidden="1">'Revenue Worksheet'!#REF!,'Revenue Worksheet'!$20:$20</definedName>
    <definedName name="Z_DE2360E6_2B91_4F5C_9697_CB1D2265B97A_.wvu.Rows" localSheetId="6" hidden="1">'Start Up Payroll'!#REF!,'Start Up Payroll'!#REF!,'Start Up Payroll'!$93:$111</definedName>
    <definedName name="Z_DE2360E6_2B91_4F5C_9697_CB1D2265B97A_.wvu.Rows" localSheetId="2" hidden="1">Summary!#REF!</definedName>
  </definedNames>
  <calcPr calcId="191029"/>
  <customWorkbookViews>
    <customWorkbookView name="Holly Casper - Personal View" guid="{9DEAD063-F928-419C-837E-C1066ED7860B}" mergeInterval="0" personalView="1" maximized="1" xWindow="-11" yWindow="-11" windowWidth="2060" windowHeight="1462" activeSheetId="18"/>
    <customWorkbookView name="Janette Hendershott - Personal View" guid="{CD41F76E-02CC-455C-B8BC-2EB46CDD6483}" mergeInterval="0" personalView="1" maximized="1" xWindow="-8" yWindow="-8" windowWidth="1382" windowHeight="744" activeSheetId="16"/>
    <customWorkbookView name="mwilliams - Personal View" guid="{D073F711-6285-4942-AB77-7D856F2758D2}" mergeInterval="0" personalView="1" maximized="1" xWindow="-11" yWindow="-11" windowWidth="2182" windowHeight="1406" activeSheetId="14"/>
    <customWorkbookView name="User - Personal View" guid="{37F60134-1665-4224-BDB0-AA938013E6F7}" mergeInterval="0" personalView="1" maximized="1" xWindow="-8" yWindow="-8" windowWidth="1382" windowHeight="744" activeSheetId="1"/>
    <customWorkbookView name="Michael D'Angelo - Personal View" guid="{932A7D91-0C1E-4536-9603-41BE3B00586E}" mergeInterval="0" personalView="1" maximized="1" xWindow="-9" yWindow="-9" windowWidth="1938" windowHeight="1050" activeSheetId="1"/>
    <customWorkbookView name="Leslie Register - Personal View" guid="{DE2360E6-2B91-4F5C-9697-CB1D2265B97A}" mergeInterval="0" personalView="1" maximized="1" xWindow="-8" yWindow="-8" windowWidth="1382" windowHeight="744" activeSheetId="3"/>
    <customWorkbookView name="Joya Pavesi - Personal View" guid="{20D88610-093B-4F6F-9D08-6EE3E18F1365}" mergeInterval="0" personalView="1" maximized="1" xWindow="1912" yWindow="-8" windowWidth="1456" windowHeight="876" activeSheetId="17"/>
    <customWorkbookView name="Marcie Williams - Personal View" guid="{238B6A19-3218-4587-9C80-5E68600CCC2E}" mergeInterval="0" personalView="1" maximized="1" xWindow="1912" yWindow="-8" windowWidth="1456" windowHeight="876" activeSheetId="1"/>
    <customWorkbookView name="Max Garbus - Personal View" guid="{BBC4A248-3FF0-4C22-89A9-106C1C902C44}" mergeInterval="0" personalView="1" maximized="1" xWindow="1912" yWindow="-8" windowWidth="1936" windowHeight="1056" activeSheetId="14"/>
    <customWorkbookView name="Jacey Miller - Personal View" guid="{97516F51-8B9A-4ED3-BCEB-36791F0F2C00}" mergeInterval="0" personalView="1" maximized="1" xWindow="1912" yWindow="-8" windowWidth="1936" windowHeight="1056" activeSheetId="14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11" l="1"/>
  <c r="F94" i="1"/>
  <c r="G94" i="1"/>
  <c r="H94" i="1"/>
  <c r="I94" i="1"/>
  <c r="J94" i="1"/>
  <c r="K94" i="1"/>
  <c r="L94" i="1"/>
  <c r="M94" i="1"/>
  <c r="N94" i="1"/>
  <c r="O94" i="1"/>
  <c r="P94" i="1"/>
  <c r="Q94" i="1"/>
  <c r="O38" i="23"/>
  <c r="C37" i="37"/>
  <c r="D44" i="37"/>
  <c r="D45" i="37"/>
  <c r="D46" i="37"/>
  <c r="D47" i="37"/>
  <c r="C41" i="37" l="1"/>
  <c r="F168" i="1"/>
  <c r="R166" i="1"/>
  <c r="G166" i="1"/>
  <c r="H166" i="1"/>
  <c r="I166" i="1"/>
  <c r="J166" i="1"/>
  <c r="K166" i="1"/>
  <c r="L166" i="1"/>
  <c r="M166" i="1"/>
  <c r="N166" i="1"/>
  <c r="O166" i="1"/>
  <c r="P166" i="1"/>
  <c r="Q166" i="1"/>
  <c r="F166" i="1"/>
  <c r="A166" i="1"/>
  <c r="B166" i="1"/>
  <c r="O115" i="17"/>
  <c r="O116" i="17"/>
  <c r="D114" i="17"/>
  <c r="D117" i="17" s="1"/>
  <c r="E114" i="17"/>
  <c r="E117" i="17" s="1"/>
  <c r="F114" i="17"/>
  <c r="F117" i="17" s="1"/>
  <c r="G114" i="17"/>
  <c r="G117" i="17" s="1"/>
  <c r="H114" i="17"/>
  <c r="I114" i="17"/>
  <c r="J114" i="17"/>
  <c r="K114" i="17"/>
  <c r="L114" i="17"/>
  <c r="L117" i="17" s="1"/>
  <c r="M114" i="17"/>
  <c r="M117" i="17" s="1"/>
  <c r="N114" i="17"/>
  <c r="N117" i="17" s="1"/>
  <c r="C114" i="17"/>
  <c r="C117" i="17" s="1"/>
  <c r="H117" i="17"/>
  <c r="I117" i="17"/>
  <c r="J117" i="17"/>
  <c r="K117" i="17"/>
  <c r="I8" i="23"/>
  <c r="H8" i="23"/>
  <c r="G8" i="23"/>
  <c r="D8" i="23"/>
  <c r="C8" i="23"/>
  <c r="D166" i="1" l="1"/>
  <c r="O117" i="17"/>
  <c r="O114" i="17"/>
  <c r="D38" i="17"/>
  <c r="E38" i="17"/>
  <c r="F38" i="17"/>
  <c r="G38" i="17"/>
  <c r="H38" i="17"/>
  <c r="I38" i="17"/>
  <c r="J38" i="17"/>
  <c r="K38" i="17"/>
  <c r="L38" i="17"/>
  <c r="M38" i="17"/>
  <c r="N38" i="17"/>
  <c r="O57" i="17"/>
  <c r="C38" i="17"/>
  <c r="D52" i="23"/>
  <c r="E52" i="23"/>
  <c r="F52" i="23"/>
  <c r="G52" i="23"/>
  <c r="H52" i="23"/>
  <c r="I52" i="23"/>
  <c r="J52" i="23"/>
  <c r="K52" i="23"/>
  <c r="L52" i="23"/>
  <c r="M52" i="23"/>
  <c r="N52" i="23"/>
  <c r="C52" i="23"/>
  <c r="F5" i="29" l="1" a="1"/>
  <c r="F5" i="29" s="1"/>
  <c r="F6" i="29" a="1"/>
  <c r="F6" i="29" s="1"/>
  <c r="G6" i="29" s="1"/>
  <c r="F7" i="29" a="1"/>
  <c r="F7" i="29" s="1"/>
  <c r="D6" i="23"/>
  <c r="E6" i="23"/>
  <c r="F6" i="23"/>
  <c r="C6" i="23"/>
  <c r="F77" i="40"/>
  <c r="F79" i="40"/>
  <c r="F80" i="40"/>
  <c r="F81" i="40"/>
  <c r="F85" i="40"/>
  <c r="F86" i="40"/>
  <c r="F87" i="40"/>
  <c r="C5" i="37"/>
  <c r="C7" i="36"/>
  <c r="C7" i="37" s="1"/>
  <c r="O6" i="40"/>
  <c r="G16" i="29"/>
  <c r="G17" i="29"/>
  <c r="G18" i="29"/>
  <c r="G19" i="29"/>
  <c r="G20" i="29"/>
  <c r="G15" i="29"/>
  <c r="R16" i="1"/>
  <c r="B109" i="1"/>
  <c r="A109" i="1" s="1"/>
  <c r="B110" i="1"/>
  <c r="A110" i="1" s="1"/>
  <c r="F110" i="1"/>
  <c r="G110" i="1"/>
  <c r="H110" i="1"/>
  <c r="I110" i="1"/>
  <c r="J110" i="1"/>
  <c r="K110" i="1"/>
  <c r="L110" i="1"/>
  <c r="M110" i="1"/>
  <c r="N110" i="1"/>
  <c r="O110" i="1"/>
  <c r="P110" i="1"/>
  <c r="Q110" i="1"/>
  <c r="B111" i="1"/>
  <c r="A111" i="1" s="1"/>
  <c r="F111" i="1"/>
  <c r="G111" i="1"/>
  <c r="H111" i="1"/>
  <c r="I111" i="1"/>
  <c r="J111" i="1"/>
  <c r="K111" i="1"/>
  <c r="L111" i="1"/>
  <c r="M111" i="1"/>
  <c r="N111" i="1"/>
  <c r="O111" i="1"/>
  <c r="P111" i="1"/>
  <c r="Q111" i="1"/>
  <c r="B112" i="1"/>
  <c r="A112" i="1" s="1"/>
  <c r="F112" i="1"/>
  <c r="G112" i="1"/>
  <c r="H112" i="1"/>
  <c r="I112" i="1"/>
  <c r="J112" i="1"/>
  <c r="K112" i="1"/>
  <c r="L112" i="1"/>
  <c r="M112" i="1"/>
  <c r="N112" i="1"/>
  <c r="O112" i="1"/>
  <c r="P112" i="1"/>
  <c r="Q112" i="1"/>
  <c r="B113" i="1"/>
  <c r="A113" i="1" s="1"/>
  <c r="F113" i="1"/>
  <c r="G113" i="1"/>
  <c r="H113" i="1"/>
  <c r="I113" i="1"/>
  <c r="J113" i="1"/>
  <c r="K113" i="1"/>
  <c r="L113" i="1"/>
  <c r="M113" i="1"/>
  <c r="N113" i="1"/>
  <c r="O113" i="1"/>
  <c r="P113" i="1"/>
  <c r="Q113" i="1"/>
  <c r="B114" i="1"/>
  <c r="A114" i="1" s="1"/>
  <c r="F114" i="1"/>
  <c r="G114" i="1"/>
  <c r="H114" i="1"/>
  <c r="I114" i="1"/>
  <c r="J114" i="1"/>
  <c r="K114" i="1"/>
  <c r="L114" i="1"/>
  <c r="M114" i="1"/>
  <c r="N114" i="1"/>
  <c r="O114" i="1"/>
  <c r="P114" i="1"/>
  <c r="Q114" i="1"/>
  <c r="B115" i="1"/>
  <c r="A115" i="1" s="1"/>
  <c r="F115" i="1"/>
  <c r="G115" i="1"/>
  <c r="H115" i="1"/>
  <c r="I115" i="1"/>
  <c r="J115" i="1"/>
  <c r="K115" i="1"/>
  <c r="L115" i="1"/>
  <c r="M115" i="1"/>
  <c r="N115" i="1"/>
  <c r="O115" i="1"/>
  <c r="P115" i="1"/>
  <c r="Q115" i="1"/>
  <c r="B116" i="1"/>
  <c r="A116" i="1" s="1"/>
  <c r="B117" i="1"/>
  <c r="A117" i="1" s="1"/>
  <c r="F117" i="1"/>
  <c r="G117" i="1"/>
  <c r="H117" i="1"/>
  <c r="I117" i="1"/>
  <c r="J117" i="1"/>
  <c r="K117" i="1"/>
  <c r="L117" i="1"/>
  <c r="M117" i="1"/>
  <c r="N117" i="1"/>
  <c r="O117" i="1"/>
  <c r="P117" i="1"/>
  <c r="Q117" i="1"/>
  <c r="B118" i="1"/>
  <c r="A118" i="1" s="1"/>
  <c r="B119" i="1"/>
  <c r="A119" i="1" s="1"/>
  <c r="F119" i="1"/>
  <c r="G119" i="1"/>
  <c r="H119" i="1"/>
  <c r="I119" i="1"/>
  <c r="J119" i="1"/>
  <c r="K119" i="1"/>
  <c r="L119" i="1"/>
  <c r="M119" i="1"/>
  <c r="N119" i="1"/>
  <c r="O119" i="1"/>
  <c r="P119" i="1"/>
  <c r="Q119" i="1"/>
  <c r="B120" i="1"/>
  <c r="A120" i="1" s="1"/>
  <c r="B121" i="1"/>
  <c r="A121" i="1" s="1"/>
  <c r="F121" i="1"/>
  <c r="G121" i="1"/>
  <c r="H121" i="1"/>
  <c r="I121" i="1"/>
  <c r="J121" i="1"/>
  <c r="K121" i="1"/>
  <c r="L121" i="1"/>
  <c r="M121" i="1"/>
  <c r="N121" i="1"/>
  <c r="O121" i="1"/>
  <c r="P121" i="1"/>
  <c r="Q121" i="1"/>
  <c r="B122" i="1"/>
  <c r="A122" i="1" s="1"/>
  <c r="F122" i="1"/>
  <c r="G122" i="1"/>
  <c r="H122" i="1"/>
  <c r="I122" i="1"/>
  <c r="J122" i="1"/>
  <c r="K122" i="1"/>
  <c r="L122" i="1"/>
  <c r="M122" i="1"/>
  <c r="N122" i="1"/>
  <c r="O122" i="1"/>
  <c r="P122" i="1"/>
  <c r="Q122" i="1"/>
  <c r="B123" i="1"/>
  <c r="B124" i="1"/>
  <c r="A124" i="1" s="1"/>
  <c r="B125" i="1"/>
  <c r="B126" i="1"/>
  <c r="B127" i="1"/>
  <c r="A127" i="1" s="1"/>
  <c r="F127" i="1"/>
  <c r="G127" i="1"/>
  <c r="H127" i="1"/>
  <c r="I127" i="1"/>
  <c r="J127" i="1"/>
  <c r="K127" i="1"/>
  <c r="L127" i="1"/>
  <c r="M127" i="1"/>
  <c r="N127" i="1"/>
  <c r="O127" i="1"/>
  <c r="P127" i="1"/>
  <c r="Q127" i="1"/>
  <c r="B128" i="1"/>
  <c r="A128" i="1" s="1"/>
  <c r="F128" i="1"/>
  <c r="G128" i="1"/>
  <c r="H128" i="1"/>
  <c r="I128" i="1"/>
  <c r="J128" i="1"/>
  <c r="K128" i="1"/>
  <c r="L128" i="1"/>
  <c r="M128" i="1"/>
  <c r="N128" i="1"/>
  <c r="O128" i="1"/>
  <c r="P128" i="1"/>
  <c r="Q128" i="1"/>
  <c r="B129" i="1"/>
  <c r="A129" i="1" s="1"/>
  <c r="F129" i="1"/>
  <c r="G129" i="1"/>
  <c r="H129" i="1"/>
  <c r="I129" i="1"/>
  <c r="J129" i="1"/>
  <c r="K129" i="1"/>
  <c r="L129" i="1"/>
  <c r="M129" i="1"/>
  <c r="N129" i="1"/>
  <c r="O129" i="1"/>
  <c r="P129" i="1"/>
  <c r="Q129" i="1"/>
  <c r="B130" i="1"/>
  <c r="A130" i="1" s="1"/>
  <c r="F130" i="1"/>
  <c r="G130" i="1"/>
  <c r="H130" i="1"/>
  <c r="I130" i="1"/>
  <c r="J130" i="1"/>
  <c r="K130" i="1"/>
  <c r="L130" i="1"/>
  <c r="M130" i="1"/>
  <c r="N130" i="1"/>
  <c r="O130" i="1"/>
  <c r="P130" i="1"/>
  <c r="Q130" i="1"/>
  <c r="B131" i="1"/>
  <c r="A131" i="1" s="1"/>
  <c r="B132" i="1"/>
  <c r="A132" i="1" s="1"/>
  <c r="F132" i="1"/>
  <c r="G132" i="1"/>
  <c r="H132" i="1"/>
  <c r="I132" i="1"/>
  <c r="J132" i="1"/>
  <c r="K132" i="1"/>
  <c r="L132" i="1"/>
  <c r="M132" i="1"/>
  <c r="N132" i="1"/>
  <c r="O132" i="1"/>
  <c r="P132" i="1"/>
  <c r="Q132" i="1"/>
  <c r="A133" i="1"/>
  <c r="B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B134" i="1"/>
  <c r="A134" i="1" s="1"/>
  <c r="F134" i="1"/>
  <c r="G134" i="1"/>
  <c r="H134" i="1"/>
  <c r="I134" i="1"/>
  <c r="J134" i="1"/>
  <c r="K134" i="1"/>
  <c r="L134" i="1"/>
  <c r="M134" i="1"/>
  <c r="N134" i="1"/>
  <c r="O134" i="1"/>
  <c r="P134" i="1"/>
  <c r="Q134" i="1"/>
  <c r="B135" i="1"/>
  <c r="A135" i="1" s="1"/>
  <c r="L106" i="23"/>
  <c r="I106" i="23"/>
  <c r="F106" i="23"/>
  <c r="C106" i="23"/>
  <c r="T135" i="1"/>
  <c r="T131" i="1"/>
  <c r="R117" i="1" l="1"/>
  <c r="R134" i="1"/>
  <c r="D134" i="1"/>
  <c r="R114" i="1"/>
  <c r="D114" i="1" s="1"/>
  <c r="R132" i="1"/>
  <c r="D132" i="1" s="1"/>
  <c r="R128" i="1"/>
  <c r="D128" i="1"/>
  <c r="R129" i="1"/>
  <c r="D129" i="1" s="1"/>
  <c r="D117" i="1"/>
  <c r="R111" i="1"/>
  <c r="D111" i="1" s="1"/>
  <c r="R122" i="1"/>
  <c r="D122" i="1" s="1"/>
  <c r="R119" i="1"/>
  <c r="D119" i="1" s="1"/>
  <c r="R113" i="1"/>
  <c r="D113" i="1" s="1"/>
  <c r="R110" i="1"/>
  <c r="D110" i="1" s="1"/>
  <c r="R133" i="1"/>
  <c r="D133" i="1" s="1"/>
  <c r="R130" i="1"/>
  <c r="D130" i="1" s="1"/>
  <c r="R127" i="1"/>
  <c r="D127" i="1" s="1"/>
  <c r="R121" i="1"/>
  <c r="D121" i="1" s="1"/>
  <c r="R115" i="1"/>
  <c r="D115" i="1" s="1"/>
  <c r="R112" i="1"/>
  <c r="D112" i="1" s="1"/>
  <c r="O23" i="23"/>
  <c r="I104" i="17"/>
  <c r="J104" i="17"/>
  <c r="K104" i="17"/>
  <c r="L104" i="17"/>
  <c r="M104" i="17"/>
  <c r="N104" i="17"/>
  <c r="L54" i="23"/>
  <c r="O125" i="1" s="1"/>
  <c r="I54" i="23"/>
  <c r="L125" i="1" s="1"/>
  <c r="F54" i="23"/>
  <c r="I125" i="1" s="1"/>
  <c r="C54" i="23"/>
  <c r="F125" i="1" s="1"/>
  <c r="F4" i="29" a="1"/>
  <c r="F4" i="29" s="1"/>
  <c r="D4" i="29" a="1"/>
  <c r="D4" i="29" s="1"/>
  <c r="D5" i="29" a="1"/>
  <c r="D5" i="29" s="1"/>
  <c r="H9" i="29"/>
  <c r="H8" i="29"/>
  <c r="F8" i="29" a="1"/>
  <c r="F8" i="29" s="1"/>
  <c r="F9" i="29" a="1"/>
  <c r="F9" i="29" s="1"/>
  <c r="D9" i="29" a="1"/>
  <c r="D9" i="29" s="1"/>
  <c r="D8" i="29" a="1"/>
  <c r="D8" i="29" s="1"/>
  <c r="D7" i="29" a="1"/>
  <c r="D7" i="29" s="1"/>
  <c r="D6" i="29" a="1"/>
  <c r="D6" i="29" s="1"/>
  <c r="C9" i="29"/>
  <c r="C8" i="29"/>
  <c r="C7" i="29"/>
  <c r="C6" i="29"/>
  <c r="C5" i="29"/>
  <c r="C4" i="29"/>
  <c r="F16" i="29"/>
  <c r="F17" i="29"/>
  <c r="F18" i="29"/>
  <c r="F19" i="29"/>
  <c r="F20" i="29"/>
  <c r="F15" i="29"/>
  <c r="D75" i="17"/>
  <c r="E75" i="17"/>
  <c r="F75" i="17"/>
  <c r="G75" i="17"/>
  <c r="H75" i="17"/>
  <c r="I75" i="17"/>
  <c r="J75" i="17"/>
  <c r="K75" i="17"/>
  <c r="L75" i="17"/>
  <c r="M75" i="17"/>
  <c r="N75" i="17"/>
  <c r="C75" i="17"/>
  <c r="D54" i="23"/>
  <c r="G125" i="1" s="1"/>
  <c r="E54" i="23"/>
  <c r="H125" i="1" s="1"/>
  <c r="G54" i="23"/>
  <c r="J125" i="1" s="1"/>
  <c r="H54" i="23"/>
  <c r="K125" i="1" s="1"/>
  <c r="J54" i="23"/>
  <c r="M125" i="1" s="1"/>
  <c r="K54" i="23"/>
  <c r="N125" i="1" s="1"/>
  <c r="M54" i="23"/>
  <c r="P125" i="1" s="1"/>
  <c r="N54" i="23"/>
  <c r="Q125" i="1" s="1"/>
  <c r="D36" i="37"/>
  <c r="D19" i="37"/>
  <c r="A38" i="23"/>
  <c r="D43" i="37"/>
  <c r="D13" i="36"/>
  <c r="R125" i="1" l="1"/>
  <c r="D125" i="1"/>
  <c r="G4" i="29"/>
  <c r="G9" i="29"/>
  <c r="G8" i="29"/>
  <c r="G5" i="29"/>
  <c r="G7" i="29"/>
  <c r="C10" i="29"/>
  <c r="E9" i="29" s="1"/>
  <c r="T124" i="1"/>
  <c r="V124" i="1"/>
  <c r="T125" i="1"/>
  <c r="V125" i="1"/>
  <c r="T126" i="1"/>
  <c r="V126" i="1"/>
  <c r="O56" i="23"/>
  <c r="D53" i="23"/>
  <c r="G124" i="1" s="1"/>
  <c r="E53" i="23"/>
  <c r="H124" i="1" s="1"/>
  <c r="F53" i="23"/>
  <c r="I124" i="1" s="1"/>
  <c r="G53" i="23"/>
  <c r="J124" i="1" s="1"/>
  <c r="H53" i="23"/>
  <c r="K124" i="1" s="1"/>
  <c r="I53" i="23"/>
  <c r="L124" i="1" s="1"/>
  <c r="J53" i="23"/>
  <c r="M124" i="1" s="1"/>
  <c r="K53" i="23"/>
  <c r="N124" i="1" s="1"/>
  <c r="L53" i="23"/>
  <c r="O124" i="1" s="1"/>
  <c r="M53" i="23"/>
  <c r="P124" i="1" s="1"/>
  <c r="N53" i="23"/>
  <c r="Q124" i="1" s="1"/>
  <c r="D55" i="23"/>
  <c r="G126" i="1" s="1"/>
  <c r="E55" i="23"/>
  <c r="H126" i="1" s="1"/>
  <c r="F55" i="23"/>
  <c r="I126" i="1" s="1"/>
  <c r="G55" i="23"/>
  <c r="J126" i="1" s="1"/>
  <c r="H55" i="23"/>
  <c r="K126" i="1" s="1"/>
  <c r="I55" i="23"/>
  <c r="L126" i="1" s="1"/>
  <c r="J55" i="23"/>
  <c r="M126" i="1" s="1"/>
  <c r="K55" i="23"/>
  <c r="N126" i="1" s="1"/>
  <c r="L55" i="23"/>
  <c r="O126" i="1" s="1"/>
  <c r="M55" i="23"/>
  <c r="P126" i="1" s="1"/>
  <c r="N55" i="23"/>
  <c r="Q126" i="1" s="1"/>
  <c r="C55" i="23"/>
  <c r="F126" i="1" s="1"/>
  <c r="C53" i="23"/>
  <c r="F124" i="1" s="1"/>
  <c r="R124" i="1" s="1"/>
  <c r="D124" i="1" s="1"/>
  <c r="D24" i="36"/>
  <c r="B148" i="1"/>
  <c r="E11" i="14"/>
  <c r="F11" i="14"/>
  <c r="G11" i="14"/>
  <c r="H11" i="14"/>
  <c r="I11" i="14"/>
  <c r="J11" i="14"/>
  <c r="K11" i="14"/>
  <c r="L11" i="14"/>
  <c r="M11" i="14"/>
  <c r="N11" i="14"/>
  <c r="O11" i="14"/>
  <c r="D11" i="14"/>
  <c r="T127" i="1"/>
  <c r="V127" i="1"/>
  <c r="B45" i="1"/>
  <c r="A45" i="1" s="1"/>
  <c r="T45" i="1"/>
  <c r="R126" i="1" l="1"/>
  <c r="D126" i="1"/>
  <c r="E7" i="29"/>
  <c r="E6" i="29"/>
  <c r="E5" i="29"/>
  <c r="F10" i="29"/>
  <c r="E4" i="29"/>
  <c r="E8" i="29"/>
  <c r="O53" i="23"/>
  <c r="O54" i="23"/>
  <c r="O55" i="23"/>
  <c r="A77" i="40" l="1"/>
  <c r="A78" i="40"/>
  <c r="A79" i="40"/>
  <c r="A80" i="40"/>
  <c r="A81" i="40"/>
  <c r="A82" i="40"/>
  <c r="A83" i="40"/>
  <c r="A84" i="40"/>
  <c r="A85" i="40"/>
  <c r="A86" i="40"/>
  <c r="A87" i="40"/>
  <c r="A88" i="40"/>
  <c r="A76" i="40"/>
  <c r="A74" i="13"/>
  <c r="A75" i="13"/>
  <c r="A76" i="13"/>
  <c r="A77" i="13"/>
  <c r="A78" i="13"/>
  <c r="A79" i="13"/>
  <c r="A80" i="13"/>
  <c r="A82" i="13"/>
  <c r="A83" i="13"/>
  <c r="A73" i="13"/>
  <c r="A22" i="18"/>
  <c r="A23" i="18"/>
  <c r="A24" i="18"/>
  <c r="A25" i="18"/>
  <c r="A26" i="18"/>
  <c r="A27" i="18"/>
  <c r="A28" i="18"/>
  <c r="A29" i="18"/>
  <c r="A30" i="18"/>
  <c r="A31" i="18"/>
  <c r="A32" i="18"/>
  <c r="A33" i="18"/>
  <c r="A21" i="18"/>
  <c r="A56" i="23"/>
  <c r="A31" i="39"/>
  <c r="A10" i="1"/>
  <c r="A11" i="1"/>
  <c r="A12" i="1"/>
  <c r="A13" i="1"/>
  <c r="A14" i="1"/>
  <c r="A15" i="1"/>
  <c r="A16" i="1"/>
  <c r="A7" i="1"/>
  <c r="A55" i="14"/>
  <c r="A56" i="14"/>
  <c r="A57" i="14"/>
  <c r="A59" i="14"/>
  <c r="A60" i="14"/>
  <c r="A54" i="14"/>
  <c r="A52" i="14"/>
  <c r="A38" i="14"/>
  <c r="A24" i="14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43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6" i="28"/>
  <c r="A158" i="23"/>
  <c r="A149" i="23"/>
  <c r="A150" i="23"/>
  <c r="A151" i="23"/>
  <c r="A152" i="23"/>
  <c r="A153" i="23"/>
  <c r="A154" i="23"/>
  <c r="A148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21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7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7" i="23"/>
  <c r="A58" i="23"/>
  <c r="A59" i="23"/>
  <c r="A60" i="23"/>
  <c r="A61" i="23"/>
  <c r="A62" i="23"/>
  <c r="A63" i="23"/>
  <c r="A64" i="23"/>
  <c r="A22" i="23"/>
  <c r="A7" i="23"/>
  <c r="A8" i="23"/>
  <c r="A9" i="23"/>
  <c r="A10" i="23"/>
  <c r="A11" i="23"/>
  <c r="A12" i="23"/>
  <c r="A13" i="23"/>
  <c r="A6" i="23"/>
  <c r="A47" i="39"/>
  <c r="A48" i="39"/>
  <c r="A49" i="39"/>
  <c r="A50" i="39"/>
  <c r="A51" i="39"/>
  <c r="A52" i="39"/>
  <c r="A53" i="39"/>
  <c r="A54" i="39"/>
  <c r="A55" i="39"/>
  <c r="A56" i="39"/>
  <c r="A57" i="39"/>
  <c r="A58" i="39"/>
  <c r="A46" i="39"/>
  <c r="A39" i="39"/>
  <c r="A40" i="39"/>
  <c r="A41" i="39"/>
  <c r="A42" i="39"/>
  <c r="A43" i="39"/>
  <c r="A44" i="39"/>
  <c r="A38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2" i="39"/>
  <c r="A33" i="39"/>
  <c r="A34" i="39"/>
  <c r="A35" i="39"/>
  <c r="A36" i="39"/>
  <c r="A7" i="39"/>
  <c r="G6" i="23" l="1"/>
  <c r="H6" i="23"/>
  <c r="I6" i="23"/>
  <c r="J6" i="23"/>
  <c r="K6" i="23"/>
  <c r="L6" i="23"/>
  <c r="M6" i="23"/>
  <c r="N6" i="23"/>
  <c r="D21" i="36"/>
  <c r="D22" i="36"/>
  <c r="C89" i="37" l="1"/>
  <c r="C16" i="36" s="1"/>
  <c r="C81" i="37"/>
  <c r="C15" i="36" s="1"/>
  <c r="C71" i="37"/>
  <c r="C14" i="36" s="1"/>
  <c r="C58" i="37"/>
  <c r="C13" i="36" s="1"/>
  <c r="C38" i="37"/>
  <c r="C11" i="36" s="1"/>
  <c r="C31" i="37"/>
  <c r="C10" i="36" s="1"/>
  <c r="C22" i="37"/>
  <c r="C9" i="36" s="1"/>
  <c r="D21" i="37"/>
  <c r="D20" i="37"/>
  <c r="D30" i="37"/>
  <c r="D29" i="37"/>
  <c r="D57" i="37"/>
  <c r="D56" i="37"/>
  <c r="D70" i="37"/>
  <c r="D69" i="37"/>
  <c r="D80" i="37"/>
  <c r="D79" i="37"/>
  <c r="D88" i="37"/>
  <c r="D87" i="37"/>
  <c r="C96" i="37"/>
  <c r="C17" i="36" s="1"/>
  <c r="D94" i="37"/>
  <c r="D95" i="37"/>
  <c r="C7" i="11"/>
  <c r="C6" i="11"/>
  <c r="C60" i="36" l="1"/>
  <c r="D60" i="36" l="1"/>
  <c r="G22" i="11"/>
  <c r="G21" i="11"/>
  <c r="G20" i="11"/>
  <c r="G19" i="11"/>
  <c r="G18" i="11"/>
  <c r="G17" i="11"/>
  <c r="D32" i="40" l="1"/>
  <c r="D31" i="40"/>
  <c r="D30" i="40"/>
  <c r="D29" i="40"/>
  <c r="D28" i="40"/>
  <c r="D27" i="40"/>
  <c r="D26" i="40"/>
  <c r="D25" i="40"/>
  <c r="D148" i="23"/>
  <c r="E148" i="23"/>
  <c r="F148" i="23"/>
  <c r="G148" i="23"/>
  <c r="H148" i="23"/>
  <c r="I148" i="23"/>
  <c r="J148" i="23"/>
  <c r="K148" i="23"/>
  <c r="L148" i="23"/>
  <c r="M148" i="23"/>
  <c r="N148" i="23"/>
  <c r="C148" i="23"/>
  <c r="D45" i="23"/>
  <c r="G116" i="1" s="1"/>
  <c r="E45" i="23"/>
  <c r="H116" i="1" s="1"/>
  <c r="F45" i="23"/>
  <c r="I116" i="1" s="1"/>
  <c r="G45" i="23"/>
  <c r="J116" i="1" s="1"/>
  <c r="H45" i="23"/>
  <c r="K116" i="1" s="1"/>
  <c r="I45" i="23"/>
  <c r="L116" i="1" s="1"/>
  <c r="J45" i="23"/>
  <c r="M116" i="1" s="1"/>
  <c r="K45" i="23"/>
  <c r="N116" i="1" s="1"/>
  <c r="L45" i="23"/>
  <c r="O116" i="1" s="1"/>
  <c r="M45" i="23"/>
  <c r="P116" i="1" s="1"/>
  <c r="N45" i="23"/>
  <c r="Q116" i="1" s="1"/>
  <c r="C45" i="23"/>
  <c r="F116" i="1" s="1"/>
  <c r="L33" i="23"/>
  <c r="I33" i="23"/>
  <c r="F33" i="23"/>
  <c r="C33" i="23"/>
  <c r="M32" i="23"/>
  <c r="K32" i="23"/>
  <c r="I32" i="23"/>
  <c r="G32" i="23"/>
  <c r="E32" i="23"/>
  <c r="C32" i="23"/>
  <c r="T72" i="23"/>
  <c r="R116" i="1" l="1"/>
  <c r="D116" i="1"/>
  <c r="O11" i="40"/>
  <c r="N11" i="40"/>
  <c r="H32" i="40"/>
  <c r="H31" i="40"/>
  <c r="H30" i="40"/>
  <c r="H29" i="40"/>
  <c r="H28" i="40"/>
  <c r="H27" i="40"/>
  <c r="H26" i="40"/>
  <c r="H25" i="40"/>
  <c r="H24" i="40"/>
  <c r="F32" i="40"/>
  <c r="J32" i="40" s="1"/>
  <c r="F31" i="40"/>
  <c r="J31" i="40" s="1"/>
  <c r="F30" i="40"/>
  <c r="J30" i="40" s="1"/>
  <c r="F29" i="40"/>
  <c r="J29" i="40" s="1"/>
  <c r="F28" i="40"/>
  <c r="J28" i="40" s="1"/>
  <c r="F27" i="40"/>
  <c r="F26" i="40"/>
  <c r="F25" i="40"/>
  <c r="F24" i="40"/>
  <c r="D71" i="40"/>
  <c r="D70" i="40"/>
  <c r="D69" i="40"/>
  <c r="D67" i="40"/>
  <c r="D66" i="40"/>
  <c r="D68" i="40"/>
  <c r="C64" i="40"/>
  <c r="H20" i="40"/>
  <c r="H19" i="40"/>
  <c r="H18" i="40"/>
  <c r="H17" i="40"/>
  <c r="H16" i="40"/>
  <c r="H15" i="40"/>
  <c r="H14" i="40"/>
  <c r="F20" i="40"/>
  <c r="F19" i="40"/>
  <c r="F18" i="40"/>
  <c r="F17" i="40"/>
  <c r="F16" i="40"/>
  <c r="F15" i="40"/>
  <c r="F14" i="40"/>
  <c r="C69" i="13"/>
  <c r="C66" i="40"/>
  <c r="C67" i="40"/>
  <c r="C68" i="40"/>
  <c r="C69" i="40"/>
  <c r="C70" i="40"/>
  <c r="C71" i="40"/>
  <c r="C65" i="40"/>
  <c r="O8" i="40"/>
  <c r="O7" i="40"/>
  <c r="D24" i="40"/>
  <c r="O108" i="17"/>
  <c r="O109" i="17"/>
  <c r="O64" i="17"/>
  <c r="O37" i="17"/>
  <c r="O38" i="17"/>
  <c r="O39" i="17"/>
  <c r="O40" i="17"/>
  <c r="O51" i="17"/>
  <c r="D42" i="17"/>
  <c r="E42" i="17"/>
  <c r="F42" i="17"/>
  <c r="G42" i="17"/>
  <c r="H42" i="17"/>
  <c r="I42" i="17"/>
  <c r="J42" i="17"/>
  <c r="K42" i="17"/>
  <c r="L42" i="17"/>
  <c r="M42" i="17"/>
  <c r="N42" i="17"/>
  <c r="C42" i="17"/>
  <c r="O25" i="17"/>
  <c r="O26" i="17"/>
  <c r="O27" i="17"/>
  <c r="O24" i="17" l="1"/>
  <c r="D131" i="23"/>
  <c r="E131" i="23"/>
  <c r="F131" i="23"/>
  <c r="G131" i="23"/>
  <c r="H131" i="23"/>
  <c r="I131" i="23"/>
  <c r="J131" i="23"/>
  <c r="K131" i="23"/>
  <c r="L131" i="23"/>
  <c r="M131" i="23"/>
  <c r="N131" i="23"/>
  <c r="C131" i="23"/>
  <c r="G24" i="13" l="1"/>
  <c r="D40" i="13"/>
  <c r="C40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D62" i="13"/>
  <c r="C62" i="13"/>
  <c r="D61" i="13"/>
  <c r="C61" i="13"/>
  <c r="J31" i="13"/>
  <c r="J30" i="13"/>
  <c r="J29" i="13"/>
  <c r="J28" i="13"/>
  <c r="J27" i="13"/>
  <c r="J26" i="13"/>
  <c r="C60" i="13"/>
  <c r="D60" i="13"/>
  <c r="O26" i="23"/>
  <c r="O24" i="23"/>
  <c r="N14" i="40" l="1"/>
  <c r="O14" i="40"/>
  <c r="A1" i="11" l="1"/>
  <c r="A1" i="18"/>
  <c r="A1" i="17"/>
  <c r="A1" i="13"/>
  <c r="A1" i="28"/>
  <c r="A1" i="23"/>
  <c r="A1" i="39"/>
  <c r="A1" i="14"/>
  <c r="A1" i="29"/>
  <c r="A1" i="1"/>
  <c r="A1" i="40"/>
  <c r="A1" i="38"/>
  <c r="A1" i="37"/>
  <c r="A1" i="36"/>
  <c r="A24" i="42"/>
  <c r="P8" i="14" l="1"/>
  <c r="C53" i="17"/>
  <c r="O9" i="40"/>
  <c r="O10" i="40"/>
  <c r="O12" i="40"/>
  <c r="N9" i="40"/>
  <c r="N10" i="40"/>
  <c r="N12" i="40"/>
  <c r="N13" i="40"/>
  <c r="N15" i="40"/>
  <c r="N6" i="40"/>
  <c r="E6" i="13"/>
  <c r="G6" i="13" s="1"/>
  <c r="F74" i="13" l="1"/>
  <c r="G74" i="13"/>
  <c r="H74" i="13"/>
  <c r="I74" i="13"/>
  <c r="J74" i="13"/>
  <c r="K74" i="13"/>
  <c r="L74" i="13"/>
  <c r="M74" i="13"/>
  <c r="N74" i="13"/>
  <c r="O74" i="13"/>
  <c r="P74" i="13"/>
  <c r="E74" i="13"/>
  <c r="Q78" i="13" l="1"/>
  <c r="Q77" i="13"/>
  <c r="D125" i="23"/>
  <c r="E125" i="23"/>
  <c r="F125" i="23"/>
  <c r="G125" i="23"/>
  <c r="H125" i="23"/>
  <c r="I125" i="23"/>
  <c r="J125" i="23"/>
  <c r="K125" i="23"/>
  <c r="L125" i="23"/>
  <c r="M125" i="23"/>
  <c r="N125" i="23"/>
  <c r="C125" i="23"/>
  <c r="D124" i="23"/>
  <c r="E124" i="23"/>
  <c r="F124" i="23"/>
  <c r="G124" i="23"/>
  <c r="H124" i="23"/>
  <c r="I124" i="23"/>
  <c r="J124" i="23"/>
  <c r="K124" i="23"/>
  <c r="L124" i="23"/>
  <c r="M124" i="23"/>
  <c r="N124" i="23"/>
  <c r="C124" i="23"/>
  <c r="D110" i="23"/>
  <c r="E110" i="23"/>
  <c r="F110" i="23"/>
  <c r="G110" i="23"/>
  <c r="H110" i="23"/>
  <c r="I110" i="23"/>
  <c r="J110" i="23"/>
  <c r="K110" i="23"/>
  <c r="L110" i="23"/>
  <c r="M110" i="23"/>
  <c r="N110" i="23"/>
  <c r="C110" i="23"/>
  <c r="D25" i="23"/>
  <c r="E25" i="23"/>
  <c r="F25" i="23"/>
  <c r="G25" i="23"/>
  <c r="H25" i="23"/>
  <c r="I25" i="23"/>
  <c r="J25" i="23"/>
  <c r="K25" i="23"/>
  <c r="L25" i="23"/>
  <c r="M25" i="23"/>
  <c r="N25" i="23"/>
  <c r="C25" i="23"/>
  <c r="L72" i="23"/>
  <c r="I72" i="23"/>
  <c r="F72" i="23"/>
  <c r="C72" i="23"/>
  <c r="V88" i="1"/>
  <c r="U88" i="1"/>
  <c r="V84" i="1"/>
  <c r="V85" i="1"/>
  <c r="U85" i="1"/>
  <c r="U84" i="1"/>
  <c r="U83" i="1"/>
  <c r="X58" i="1"/>
  <c r="X55" i="1"/>
  <c r="X54" i="1"/>
  <c r="X50" i="1"/>
  <c r="X40" i="1"/>
  <c r="Z40" i="1"/>
  <c r="O14" i="39"/>
  <c r="C37" i="36"/>
  <c r="C36" i="36"/>
  <c r="C35" i="36"/>
  <c r="C34" i="36"/>
  <c r="C33" i="36"/>
  <c r="C32" i="36"/>
  <c r="C31" i="36"/>
  <c r="C30" i="36"/>
  <c r="C27" i="36"/>
  <c r="C26" i="36"/>
  <c r="C25" i="36"/>
  <c r="C20" i="36"/>
  <c r="J32" i="36"/>
  <c r="H32" i="36"/>
  <c r="C59" i="36" l="1"/>
  <c r="D47" i="23"/>
  <c r="G118" i="1" s="1"/>
  <c r="E47" i="23"/>
  <c r="H118" i="1" s="1"/>
  <c r="F47" i="23"/>
  <c r="I118" i="1" s="1"/>
  <c r="G47" i="23"/>
  <c r="J118" i="1" s="1"/>
  <c r="H47" i="23"/>
  <c r="K118" i="1" s="1"/>
  <c r="I47" i="23"/>
  <c r="L118" i="1" s="1"/>
  <c r="J47" i="23"/>
  <c r="M118" i="1" s="1"/>
  <c r="K47" i="23"/>
  <c r="N118" i="1" s="1"/>
  <c r="L47" i="23"/>
  <c r="O118" i="1" s="1"/>
  <c r="M47" i="23"/>
  <c r="P118" i="1" s="1"/>
  <c r="N47" i="23"/>
  <c r="Q118" i="1" s="1"/>
  <c r="C47" i="23"/>
  <c r="F118" i="1" s="1"/>
  <c r="D9" i="23"/>
  <c r="E9" i="23"/>
  <c r="F9" i="23"/>
  <c r="G9" i="23"/>
  <c r="H9" i="23"/>
  <c r="I9" i="23"/>
  <c r="J9" i="23"/>
  <c r="K9" i="23"/>
  <c r="L9" i="23"/>
  <c r="M9" i="23"/>
  <c r="N9" i="23"/>
  <c r="C9" i="23"/>
  <c r="R118" i="1" l="1"/>
  <c r="D118" i="1" s="1"/>
  <c r="D59" i="36"/>
  <c r="D61" i="36" s="1"/>
  <c r="C61" i="36"/>
  <c r="O9" i="18"/>
  <c r="O11" i="39"/>
  <c r="O10" i="39"/>
  <c r="D34" i="36"/>
  <c r="O106" i="17" l="1"/>
  <c r="O107" i="17"/>
  <c r="O98" i="17"/>
  <c r="O99" i="17"/>
  <c r="O88" i="17"/>
  <c r="O77" i="17"/>
  <c r="O78" i="17"/>
  <c r="O62" i="17"/>
  <c r="O63" i="17"/>
  <c r="O49" i="17"/>
  <c r="O50" i="17"/>
  <c r="O22" i="17"/>
  <c r="O23" i="17"/>
  <c r="O13" i="17"/>
  <c r="O14" i="17"/>
  <c r="D64" i="40"/>
  <c r="D23" i="40"/>
  <c r="D20" i="40"/>
  <c r="D19" i="40"/>
  <c r="D18" i="40"/>
  <c r="D17" i="40"/>
  <c r="D16" i="40"/>
  <c r="D15" i="40"/>
  <c r="D14" i="40"/>
  <c r="D13" i="40"/>
  <c r="D12" i="40"/>
  <c r="D11" i="40"/>
  <c r="D10" i="40"/>
  <c r="D9" i="40"/>
  <c r="D6" i="40"/>
  <c r="H21" i="11" l="1"/>
  <c r="V70" i="1"/>
  <c r="V27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18" i="1"/>
  <c r="T266" i="1"/>
  <c r="T267" i="1"/>
  <c r="T268" i="1"/>
  <c r="T269" i="1"/>
  <c r="T270" i="1"/>
  <c r="T271" i="1"/>
  <c r="T265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3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17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172" i="1"/>
  <c r="V123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8" i="1"/>
  <c r="T129" i="1"/>
  <c r="T130" i="1"/>
  <c r="T132" i="1"/>
  <c r="T133" i="1"/>
  <c r="T93" i="1"/>
  <c r="V56" i="1"/>
  <c r="V65" i="1"/>
  <c r="V64" i="1"/>
  <c r="V63" i="1"/>
  <c r="V58" i="1"/>
  <c r="V55" i="1"/>
  <c r="V54" i="1"/>
  <c r="V53" i="1"/>
  <c r="V50" i="1"/>
  <c r="V40" i="1"/>
  <c r="V29" i="1"/>
  <c r="V26" i="1"/>
  <c r="V23" i="1"/>
  <c r="V83" i="1"/>
  <c r="T82" i="1"/>
  <c r="T83" i="1"/>
  <c r="T84" i="1"/>
  <c r="T85" i="1"/>
  <c r="T86" i="1"/>
  <c r="T87" i="1"/>
  <c r="T88" i="1"/>
  <c r="T8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21" i="1"/>
  <c r="J6" i="13"/>
  <c r="J24" i="13"/>
  <c r="J25" i="13"/>
  <c r="J32" i="13"/>
  <c r="J33" i="13"/>
  <c r="E9" i="38"/>
  <c r="E10" i="38"/>
  <c r="E11" i="38"/>
  <c r="E12" i="38"/>
  <c r="E13" i="38"/>
  <c r="E14" i="38"/>
  <c r="E150" i="38"/>
  <c r="J11" i="13"/>
  <c r="D25" i="36"/>
  <c r="D26" i="36"/>
  <c r="D27" i="36"/>
  <c r="D20" i="36"/>
  <c r="D31" i="36"/>
  <c r="D33" i="36"/>
  <c r="D35" i="36"/>
  <c r="D36" i="36"/>
  <c r="D37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43" i="36"/>
  <c r="G23" i="40"/>
  <c r="J26" i="40"/>
  <c r="J25" i="40"/>
  <c r="H23" i="40"/>
  <c r="F23" i="40"/>
  <c r="J23" i="40" s="1"/>
  <c r="H13" i="40"/>
  <c r="F13" i="40"/>
  <c r="J13" i="40" s="1"/>
  <c r="H12" i="40"/>
  <c r="F12" i="40"/>
  <c r="J12" i="40" s="1"/>
  <c r="H11" i="40"/>
  <c r="F11" i="40"/>
  <c r="J11" i="40" s="1"/>
  <c r="H10" i="40"/>
  <c r="F10" i="40"/>
  <c r="J10" i="40" s="1"/>
  <c r="H9" i="40"/>
  <c r="F9" i="40"/>
  <c r="J9" i="40" s="1"/>
  <c r="E6" i="40"/>
  <c r="H111" i="40"/>
  <c r="G111" i="40"/>
  <c r="F111" i="40"/>
  <c r="E111" i="40"/>
  <c r="C72" i="40"/>
  <c r="D65" i="40"/>
  <c r="D63" i="40"/>
  <c r="C63" i="40"/>
  <c r="D62" i="40"/>
  <c r="C62" i="40"/>
  <c r="D61" i="40"/>
  <c r="C61" i="40"/>
  <c r="D56" i="40"/>
  <c r="C56" i="40"/>
  <c r="D55" i="40"/>
  <c r="C55" i="40"/>
  <c r="D54" i="40"/>
  <c r="C54" i="40"/>
  <c r="D53" i="40"/>
  <c r="C53" i="40"/>
  <c r="D52" i="40"/>
  <c r="C52" i="40"/>
  <c r="D51" i="40"/>
  <c r="C51" i="40"/>
  <c r="D50" i="40"/>
  <c r="C50" i="40"/>
  <c r="D49" i="40"/>
  <c r="C49" i="40"/>
  <c r="D48" i="40"/>
  <c r="C48" i="40"/>
  <c r="D47" i="40"/>
  <c r="C47" i="40"/>
  <c r="D46" i="40"/>
  <c r="C46" i="40"/>
  <c r="D45" i="40"/>
  <c r="C45" i="40"/>
  <c r="D44" i="40"/>
  <c r="C44" i="40"/>
  <c r="D43" i="40"/>
  <c r="C43" i="40"/>
  <c r="D42" i="40"/>
  <c r="C42" i="40"/>
  <c r="F39" i="40"/>
  <c r="J27" i="40"/>
  <c r="J24" i="40"/>
  <c r="J20" i="40"/>
  <c r="J19" i="40"/>
  <c r="J18" i="40"/>
  <c r="J17" i="40"/>
  <c r="J16" i="40"/>
  <c r="J15" i="40"/>
  <c r="J14" i="40"/>
  <c r="N40" i="39"/>
  <c r="Q54" i="1" s="1"/>
  <c r="M40" i="39"/>
  <c r="P54" i="1" s="1"/>
  <c r="L40" i="39"/>
  <c r="O54" i="1" s="1"/>
  <c r="K40" i="39"/>
  <c r="N54" i="1" s="1"/>
  <c r="J40" i="39"/>
  <c r="I40" i="39"/>
  <c r="L54" i="1" s="1"/>
  <c r="H40" i="39"/>
  <c r="K54" i="1" s="1"/>
  <c r="G40" i="39"/>
  <c r="J54" i="1" s="1"/>
  <c r="F40" i="39"/>
  <c r="E40" i="39"/>
  <c r="H54" i="1" s="1"/>
  <c r="D40" i="39"/>
  <c r="G54" i="1" s="1"/>
  <c r="C40" i="39"/>
  <c r="F54" i="1" s="1"/>
  <c r="N15" i="39"/>
  <c r="Q29" i="1" s="1"/>
  <c r="M15" i="39"/>
  <c r="P29" i="1" s="1"/>
  <c r="L15" i="39"/>
  <c r="O29" i="1" s="1"/>
  <c r="K15" i="39"/>
  <c r="N29" i="1" s="1"/>
  <c r="J15" i="39"/>
  <c r="M29" i="1" s="1"/>
  <c r="I15" i="39"/>
  <c r="L29" i="1" s="1"/>
  <c r="H15" i="39"/>
  <c r="K29" i="1" s="1"/>
  <c r="G15" i="39"/>
  <c r="J29" i="1" s="1"/>
  <c r="F15" i="39"/>
  <c r="I29" i="1" s="1"/>
  <c r="E15" i="39"/>
  <c r="H29" i="1" s="1"/>
  <c r="D15" i="39"/>
  <c r="G29" i="1" s="1"/>
  <c r="C15" i="39"/>
  <c r="F29" i="1" s="1"/>
  <c r="N13" i="39"/>
  <c r="Q27" i="1" s="1"/>
  <c r="M13" i="39"/>
  <c r="P27" i="1" s="1"/>
  <c r="L13" i="39"/>
  <c r="O27" i="1" s="1"/>
  <c r="K13" i="39"/>
  <c r="N27" i="1" s="1"/>
  <c r="J13" i="39"/>
  <c r="M27" i="1" s="1"/>
  <c r="I13" i="39"/>
  <c r="L27" i="1" s="1"/>
  <c r="H13" i="39"/>
  <c r="K27" i="1" s="1"/>
  <c r="G13" i="39"/>
  <c r="J27" i="1" s="1"/>
  <c r="F13" i="39"/>
  <c r="I27" i="1" s="1"/>
  <c r="E13" i="39"/>
  <c r="H27" i="1" s="1"/>
  <c r="D13" i="39"/>
  <c r="G27" i="1" s="1"/>
  <c r="C13" i="39"/>
  <c r="F27" i="1" s="1"/>
  <c r="N9" i="39"/>
  <c r="Q23" i="1" s="1"/>
  <c r="M9" i="39"/>
  <c r="P23" i="1" s="1"/>
  <c r="L9" i="39"/>
  <c r="O23" i="1" s="1"/>
  <c r="K9" i="39"/>
  <c r="N23" i="1" s="1"/>
  <c r="J9" i="39"/>
  <c r="M23" i="1" s="1"/>
  <c r="I9" i="39"/>
  <c r="L23" i="1" s="1"/>
  <c r="H9" i="39"/>
  <c r="K23" i="1" s="1"/>
  <c r="G9" i="39"/>
  <c r="J23" i="1" s="1"/>
  <c r="F9" i="39"/>
  <c r="I23" i="1" s="1"/>
  <c r="E9" i="39"/>
  <c r="H23" i="1" s="1"/>
  <c r="D9" i="39"/>
  <c r="G23" i="1" s="1"/>
  <c r="C9" i="39"/>
  <c r="F23" i="1" s="1"/>
  <c r="O5" i="39"/>
  <c r="B3" i="39"/>
  <c r="B22" i="1"/>
  <c r="A22" i="1" s="1"/>
  <c r="B23" i="1"/>
  <c r="B24" i="1"/>
  <c r="B25" i="1"/>
  <c r="A25" i="1" s="1"/>
  <c r="A27" i="35" s="1"/>
  <c r="B26" i="1"/>
  <c r="A26" i="1" s="1"/>
  <c r="A28" i="35" s="1"/>
  <c r="B27" i="1"/>
  <c r="B28" i="1"/>
  <c r="B29" i="1"/>
  <c r="B30" i="1"/>
  <c r="A30" i="1" s="1"/>
  <c r="A32" i="35" s="1"/>
  <c r="B31" i="1"/>
  <c r="B32" i="1"/>
  <c r="B33" i="1"/>
  <c r="B34" i="1"/>
  <c r="B35" i="1"/>
  <c r="A35" i="1" s="1"/>
  <c r="A37" i="35" s="1"/>
  <c r="B36" i="1"/>
  <c r="B37" i="1"/>
  <c r="B38" i="1"/>
  <c r="A38" i="1" s="1"/>
  <c r="A40" i="35" s="1"/>
  <c r="B39" i="1"/>
  <c r="B40" i="1"/>
  <c r="B41" i="1"/>
  <c r="B42" i="1"/>
  <c r="B43" i="1"/>
  <c r="A43" i="1" s="1"/>
  <c r="A45" i="35" s="1"/>
  <c r="B44" i="1"/>
  <c r="B46" i="1"/>
  <c r="B47" i="1"/>
  <c r="B48" i="1"/>
  <c r="A48" i="1" s="1"/>
  <c r="A50" i="35" s="1"/>
  <c r="B49" i="1"/>
  <c r="B50" i="1"/>
  <c r="B52" i="1"/>
  <c r="B53" i="1"/>
  <c r="B54" i="1"/>
  <c r="B55" i="1"/>
  <c r="A55" i="1" s="1"/>
  <c r="A57" i="35" s="1"/>
  <c r="B56" i="1"/>
  <c r="A59" i="35"/>
  <c r="B57" i="1"/>
  <c r="B58" i="1"/>
  <c r="B60" i="1"/>
  <c r="B61" i="1"/>
  <c r="B62" i="1"/>
  <c r="B63" i="1"/>
  <c r="A63" i="1" s="1"/>
  <c r="B64" i="1"/>
  <c r="A64" i="1" s="1"/>
  <c r="B65" i="1"/>
  <c r="B66" i="1"/>
  <c r="A66" i="1" s="1"/>
  <c r="B67" i="1"/>
  <c r="A67" i="1" s="1"/>
  <c r="B68" i="1"/>
  <c r="A68" i="1" s="1"/>
  <c r="B69" i="1"/>
  <c r="A69" i="1" s="1"/>
  <c r="B70" i="1"/>
  <c r="A70" i="1" s="1"/>
  <c r="B71" i="1"/>
  <c r="A71" i="1" s="1"/>
  <c r="B72" i="1"/>
  <c r="A72" i="1" s="1"/>
  <c r="B21" i="1"/>
  <c r="F22" i="1"/>
  <c r="G22" i="1"/>
  <c r="H22" i="1"/>
  <c r="I22" i="1"/>
  <c r="J22" i="1"/>
  <c r="K22" i="1"/>
  <c r="L22" i="1"/>
  <c r="M22" i="1"/>
  <c r="N22" i="1"/>
  <c r="O22" i="1"/>
  <c r="P22" i="1"/>
  <c r="Q22" i="1"/>
  <c r="F24" i="1"/>
  <c r="G24" i="1"/>
  <c r="H24" i="1"/>
  <c r="I24" i="1"/>
  <c r="J24" i="1"/>
  <c r="K24" i="1"/>
  <c r="L24" i="1"/>
  <c r="M24" i="1"/>
  <c r="N24" i="1"/>
  <c r="O24" i="1"/>
  <c r="P24" i="1"/>
  <c r="Q24" i="1"/>
  <c r="F25" i="1"/>
  <c r="G25" i="1"/>
  <c r="H25" i="1"/>
  <c r="I25" i="1"/>
  <c r="J25" i="1"/>
  <c r="K25" i="1"/>
  <c r="L25" i="1"/>
  <c r="M25" i="1"/>
  <c r="N25" i="1"/>
  <c r="O25" i="1"/>
  <c r="P25" i="1"/>
  <c r="Q25" i="1"/>
  <c r="F28" i="1"/>
  <c r="G28" i="1"/>
  <c r="H28" i="1"/>
  <c r="I28" i="1"/>
  <c r="J28" i="1"/>
  <c r="K28" i="1"/>
  <c r="L28" i="1"/>
  <c r="M28" i="1"/>
  <c r="N28" i="1"/>
  <c r="O28" i="1"/>
  <c r="P28" i="1"/>
  <c r="Q28" i="1"/>
  <c r="F30" i="1"/>
  <c r="G30" i="1"/>
  <c r="H30" i="1"/>
  <c r="I30" i="1"/>
  <c r="J30" i="1"/>
  <c r="K30" i="1"/>
  <c r="L30" i="1"/>
  <c r="M30" i="1"/>
  <c r="N30" i="1"/>
  <c r="O30" i="1"/>
  <c r="P30" i="1"/>
  <c r="Q30" i="1"/>
  <c r="F32" i="1"/>
  <c r="G32" i="1"/>
  <c r="H32" i="1"/>
  <c r="I32" i="1"/>
  <c r="J32" i="1"/>
  <c r="K32" i="1"/>
  <c r="L32" i="1"/>
  <c r="M32" i="1"/>
  <c r="N32" i="1"/>
  <c r="O32" i="1"/>
  <c r="P32" i="1"/>
  <c r="Q32" i="1"/>
  <c r="F33" i="1"/>
  <c r="G33" i="1"/>
  <c r="H33" i="1"/>
  <c r="I33" i="1"/>
  <c r="J33" i="1"/>
  <c r="K33" i="1"/>
  <c r="L33" i="1"/>
  <c r="M33" i="1"/>
  <c r="N33" i="1"/>
  <c r="O33" i="1"/>
  <c r="P33" i="1"/>
  <c r="Q33" i="1"/>
  <c r="F34" i="1"/>
  <c r="G34" i="1"/>
  <c r="H34" i="1"/>
  <c r="I34" i="1"/>
  <c r="J34" i="1"/>
  <c r="K34" i="1"/>
  <c r="L34" i="1"/>
  <c r="M34" i="1"/>
  <c r="N34" i="1"/>
  <c r="O34" i="1"/>
  <c r="P34" i="1"/>
  <c r="Q34" i="1"/>
  <c r="F35" i="1"/>
  <c r="G35" i="1"/>
  <c r="H35" i="1"/>
  <c r="I35" i="1"/>
  <c r="J35" i="1"/>
  <c r="K35" i="1"/>
  <c r="L35" i="1"/>
  <c r="M35" i="1"/>
  <c r="N35" i="1"/>
  <c r="O35" i="1"/>
  <c r="P35" i="1"/>
  <c r="Q35" i="1"/>
  <c r="F36" i="1"/>
  <c r="G36" i="1"/>
  <c r="H36" i="1"/>
  <c r="I36" i="1"/>
  <c r="J36" i="1"/>
  <c r="K36" i="1"/>
  <c r="L36" i="1"/>
  <c r="M36" i="1"/>
  <c r="N36" i="1"/>
  <c r="O36" i="1"/>
  <c r="P36" i="1"/>
  <c r="Q36" i="1"/>
  <c r="F37" i="1"/>
  <c r="G37" i="1"/>
  <c r="H37" i="1"/>
  <c r="I37" i="1"/>
  <c r="J37" i="1"/>
  <c r="K37" i="1"/>
  <c r="L37" i="1"/>
  <c r="M37" i="1"/>
  <c r="N37" i="1"/>
  <c r="O37" i="1"/>
  <c r="P37" i="1"/>
  <c r="Q37" i="1"/>
  <c r="F38" i="1"/>
  <c r="G38" i="1"/>
  <c r="H38" i="1"/>
  <c r="I38" i="1"/>
  <c r="J38" i="1"/>
  <c r="K38" i="1"/>
  <c r="L38" i="1"/>
  <c r="M38" i="1"/>
  <c r="N38" i="1"/>
  <c r="O38" i="1"/>
  <c r="P38" i="1"/>
  <c r="Q38" i="1"/>
  <c r="F39" i="1"/>
  <c r="G39" i="1"/>
  <c r="H39" i="1"/>
  <c r="I39" i="1"/>
  <c r="J39" i="1"/>
  <c r="K39" i="1"/>
  <c r="L39" i="1"/>
  <c r="M39" i="1"/>
  <c r="N39" i="1"/>
  <c r="O39" i="1"/>
  <c r="P39" i="1"/>
  <c r="Q39" i="1"/>
  <c r="F41" i="1"/>
  <c r="G41" i="1"/>
  <c r="H41" i="1"/>
  <c r="I41" i="1"/>
  <c r="J41" i="1"/>
  <c r="K41" i="1"/>
  <c r="L41" i="1"/>
  <c r="M41" i="1"/>
  <c r="N41" i="1"/>
  <c r="O41" i="1"/>
  <c r="P41" i="1"/>
  <c r="Q41" i="1"/>
  <c r="F42" i="1"/>
  <c r="G42" i="1"/>
  <c r="H42" i="1"/>
  <c r="I42" i="1"/>
  <c r="J42" i="1"/>
  <c r="K42" i="1"/>
  <c r="L42" i="1"/>
  <c r="M42" i="1"/>
  <c r="N42" i="1"/>
  <c r="O42" i="1"/>
  <c r="P42" i="1"/>
  <c r="Q42" i="1"/>
  <c r="F44" i="1"/>
  <c r="G44" i="1"/>
  <c r="H44" i="1"/>
  <c r="I44" i="1"/>
  <c r="J44" i="1"/>
  <c r="K44" i="1"/>
  <c r="L44" i="1"/>
  <c r="M44" i="1"/>
  <c r="N44" i="1"/>
  <c r="O44" i="1"/>
  <c r="P44" i="1"/>
  <c r="Q44" i="1"/>
  <c r="F46" i="1"/>
  <c r="G46" i="1"/>
  <c r="H46" i="1"/>
  <c r="I46" i="1"/>
  <c r="J46" i="1"/>
  <c r="K46" i="1"/>
  <c r="L46" i="1"/>
  <c r="M46" i="1"/>
  <c r="N46" i="1"/>
  <c r="O46" i="1"/>
  <c r="P46" i="1"/>
  <c r="Q46" i="1"/>
  <c r="F48" i="1"/>
  <c r="G48" i="1"/>
  <c r="H48" i="1"/>
  <c r="I48" i="1"/>
  <c r="J48" i="1"/>
  <c r="K48" i="1"/>
  <c r="L48" i="1"/>
  <c r="M48" i="1"/>
  <c r="N48" i="1"/>
  <c r="O48" i="1"/>
  <c r="P48" i="1"/>
  <c r="Q48" i="1"/>
  <c r="F49" i="1"/>
  <c r="G49" i="1"/>
  <c r="H49" i="1"/>
  <c r="I49" i="1"/>
  <c r="J49" i="1"/>
  <c r="K49" i="1"/>
  <c r="L49" i="1"/>
  <c r="M49" i="1"/>
  <c r="N49" i="1"/>
  <c r="O49" i="1"/>
  <c r="P49" i="1"/>
  <c r="Q49" i="1"/>
  <c r="F52" i="1"/>
  <c r="G52" i="1"/>
  <c r="H52" i="1"/>
  <c r="I52" i="1"/>
  <c r="J52" i="1"/>
  <c r="K52" i="1"/>
  <c r="L52" i="1"/>
  <c r="M52" i="1"/>
  <c r="N52" i="1"/>
  <c r="O52" i="1"/>
  <c r="P52" i="1"/>
  <c r="Q52" i="1"/>
  <c r="M54" i="1"/>
  <c r="F57" i="1"/>
  <c r="G57" i="1"/>
  <c r="H57" i="1"/>
  <c r="I57" i="1"/>
  <c r="J57" i="1"/>
  <c r="K57" i="1"/>
  <c r="L57" i="1"/>
  <c r="M57" i="1"/>
  <c r="N57" i="1"/>
  <c r="O57" i="1"/>
  <c r="P57" i="1"/>
  <c r="Q57" i="1"/>
  <c r="F60" i="1"/>
  <c r="G60" i="1"/>
  <c r="H60" i="1"/>
  <c r="I60" i="1"/>
  <c r="J60" i="1"/>
  <c r="K60" i="1"/>
  <c r="L60" i="1"/>
  <c r="M60" i="1"/>
  <c r="N60" i="1"/>
  <c r="O60" i="1"/>
  <c r="P60" i="1"/>
  <c r="Q60" i="1"/>
  <c r="F61" i="1"/>
  <c r="G61" i="1"/>
  <c r="H61" i="1"/>
  <c r="I61" i="1"/>
  <c r="J61" i="1"/>
  <c r="K61" i="1"/>
  <c r="L61" i="1"/>
  <c r="M61" i="1"/>
  <c r="N61" i="1"/>
  <c r="O61" i="1"/>
  <c r="P61" i="1"/>
  <c r="Q61" i="1"/>
  <c r="F62" i="1"/>
  <c r="G62" i="1"/>
  <c r="H62" i="1"/>
  <c r="I62" i="1"/>
  <c r="J62" i="1"/>
  <c r="K62" i="1"/>
  <c r="L62" i="1"/>
  <c r="M62" i="1"/>
  <c r="N62" i="1"/>
  <c r="O62" i="1"/>
  <c r="P62" i="1"/>
  <c r="Q62" i="1"/>
  <c r="F66" i="1"/>
  <c r="G66" i="1"/>
  <c r="H66" i="1"/>
  <c r="I66" i="1"/>
  <c r="J66" i="1"/>
  <c r="K66" i="1"/>
  <c r="L66" i="1"/>
  <c r="M66" i="1"/>
  <c r="N66" i="1"/>
  <c r="O66" i="1"/>
  <c r="P66" i="1"/>
  <c r="Q66" i="1"/>
  <c r="F67" i="1"/>
  <c r="G67" i="1"/>
  <c r="H67" i="1"/>
  <c r="I67" i="1"/>
  <c r="J67" i="1"/>
  <c r="K67" i="1"/>
  <c r="L67" i="1"/>
  <c r="M67" i="1"/>
  <c r="N67" i="1"/>
  <c r="O67" i="1"/>
  <c r="P67" i="1"/>
  <c r="Q67" i="1"/>
  <c r="F68" i="1"/>
  <c r="G68" i="1"/>
  <c r="H68" i="1"/>
  <c r="I68" i="1"/>
  <c r="J68" i="1"/>
  <c r="K68" i="1"/>
  <c r="L68" i="1"/>
  <c r="M68" i="1"/>
  <c r="N68" i="1"/>
  <c r="O68" i="1"/>
  <c r="P68" i="1"/>
  <c r="Q68" i="1"/>
  <c r="F69" i="1"/>
  <c r="G69" i="1"/>
  <c r="H69" i="1"/>
  <c r="I69" i="1"/>
  <c r="J69" i="1"/>
  <c r="K69" i="1"/>
  <c r="L69" i="1"/>
  <c r="M69" i="1"/>
  <c r="N69" i="1"/>
  <c r="O69" i="1"/>
  <c r="P69" i="1"/>
  <c r="Q69" i="1"/>
  <c r="F71" i="1"/>
  <c r="G71" i="1"/>
  <c r="H71" i="1"/>
  <c r="I71" i="1"/>
  <c r="J71" i="1"/>
  <c r="K71" i="1"/>
  <c r="L71" i="1"/>
  <c r="M71" i="1"/>
  <c r="N71" i="1"/>
  <c r="O71" i="1"/>
  <c r="P71" i="1"/>
  <c r="Q71" i="1"/>
  <c r="F72" i="1"/>
  <c r="G72" i="1"/>
  <c r="H72" i="1"/>
  <c r="I72" i="1"/>
  <c r="J72" i="1"/>
  <c r="K72" i="1"/>
  <c r="L72" i="1"/>
  <c r="M72" i="1"/>
  <c r="N72" i="1"/>
  <c r="O72" i="1"/>
  <c r="P72" i="1"/>
  <c r="Q72" i="1"/>
  <c r="G21" i="1"/>
  <c r="H21" i="1"/>
  <c r="I21" i="1"/>
  <c r="J21" i="1"/>
  <c r="K21" i="1"/>
  <c r="L21" i="1"/>
  <c r="M21" i="1"/>
  <c r="N21" i="1"/>
  <c r="O21" i="1"/>
  <c r="P21" i="1"/>
  <c r="Q21" i="1"/>
  <c r="F21" i="1"/>
  <c r="O58" i="39"/>
  <c r="O57" i="39"/>
  <c r="O55" i="39"/>
  <c r="O54" i="39"/>
  <c r="O53" i="39"/>
  <c r="O52" i="39"/>
  <c r="O48" i="39"/>
  <c r="O47" i="39"/>
  <c r="O46" i="39"/>
  <c r="N44" i="39"/>
  <c r="Q58" i="1" s="1"/>
  <c r="M44" i="39"/>
  <c r="P58" i="1" s="1"/>
  <c r="L44" i="39"/>
  <c r="O58" i="1" s="1"/>
  <c r="K44" i="39"/>
  <c r="N58" i="1" s="1"/>
  <c r="J44" i="39"/>
  <c r="M58" i="1" s="1"/>
  <c r="I44" i="39"/>
  <c r="L58" i="1" s="1"/>
  <c r="H44" i="39"/>
  <c r="K58" i="1" s="1"/>
  <c r="G44" i="39"/>
  <c r="J58" i="1" s="1"/>
  <c r="F44" i="39"/>
  <c r="I58" i="1" s="1"/>
  <c r="E44" i="39"/>
  <c r="H58" i="1" s="1"/>
  <c r="D44" i="39"/>
  <c r="G58" i="1" s="1"/>
  <c r="C44" i="39"/>
  <c r="O43" i="39"/>
  <c r="O38" i="39"/>
  <c r="N36" i="39"/>
  <c r="Q50" i="1" s="1"/>
  <c r="M36" i="39"/>
  <c r="P50" i="1" s="1"/>
  <c r="L36" i="39"/>
  <c r="O50" i="1" s="1"/>
  <c r="K36" i="39"/>
  <c r="N50" i="1" s="1"/>
  <c r="J36" i="39"/>
  <c r="M50" i="1" s="1"/>
  <c r="I36" i="39"/>
  <c r="L50" i="1" s="1"/>
  <c r="H36" i="39"/>
  <c r="K50" i="1" s="1"/>
  <c r="G36" i="39"/>
  <c r="J50" i="1" s="1"/>
  <c r="F36" i="39"/>
  <c r="I50" i="1" s="1"/>
  <c r="E36" i="39"/>
  <c r="H50" i="1" s="1"/>
  <c r="D36" i="39"/>
  <c r="G50" i="1" s="1"/>
  <c r="C36" i="39"/>
  <c r="O35" i="39"/>
  <c r="O34" i="39"/>
  <c r="O32" i="39"/>
  <c r="O30" i="39"/>
  <c r="O28" i="39"/>
  <c r="O27" i="39"/>
  <c r="O25" i="39"/>
  <c r="O24" i="39"/>
  <c r="O23" i="39"/>
  <c r="O22" i="39"/>
  <c r="O21" i="39"/>
  <c r="O20" i="39"/>
  <c r="O19" i="39"/>
  <c r="O18" i="39"/>
  <c r="O16" i="39"/>
  <c r="O8" i="39"/>
  <c r="O7" i="39"/>
  <c r="B18" i="36"/>
  <c r="G16" i="11" s="1"/>
  <c r="B9" i="36"/>
  <c r="B17" i="36"/>
  <c r="B16" i="36"/>
  <c r="B15" i="36"/>
  <c r="B14" i="36"/>
  <c r="B13" i="36"/>
  <c r="B11" i="36"/>
  <c r="B10" i="36"/>
  <c r="D93" i="37"/>
  <c r="D92" i="37"/>
  <c r="D86" i="37"/>
  <c r="D85" i="37"/>
  <c r="D84" i="37"/>
  <c r="D78" i="37"/>
  <c r="D77" i="37"/>
  <c r="D76" i="37"/>
  <c r="D75" i="37"/>
  <c r="D74" i="37"/>
  <c r="D68" i="37"/>
  <c r="D67" i="37"/>
  <c r="D66" i="37"/>
  <c r="D65" i="37"/>
  <c r="D64" i="37"/>
  <c r="D63" i="37"/>
  <c r="D62" i="37"/>
  <c r="D61" i="37"/>
  <c r="D55" i="37"/>
  <c r="D54" i="37"/>
  <c r="D53" i="37"/>
  <c r="D52" i="37"/>
  <c r="D51" i="37"/>
  <c r="D35" i="37"/>
  <c r="D34" i="37"/>
  <c r="D28" i="37"/>
  <c r="D27" i="37"/>
  <c r="D26" i="37"/>
  <c r="D25" i="37"/>
  <c r="D10" i="37"/>
  <c r="D11" i="37"/>
  <c r="D12" i="37"/>
  <c r="D13" i="37"/>
  <c r="D14" i="37"/>
  <c r="D16" i="37"/>
  <c r="D17" i="37"/>
  <c r="D18" i="37"/>
  <c r="A98" i="37"/>
  <c r="A18" i="36" s="1"/>
  <c r="D32" i="36"/>
  <c r="D30" i="36"/>
  <c r="M141" i="1"/>
  <c r="B165" i="1"/>
  <c r="B164" i="1"/>
  <c r="B163" i="1"/>
  <c r="B162" i="1"/>
  <c r="B161" i="1"/>
  <c r="B160" i="1"/>
  <c r="B159" i="1"/>
  <c r="B158" i="1"/>
  <c r="A158" i="1" s="1"/>
  <c r="B157" i="1"/>
  <c r="N16" i="17"/>
  <c r="N30" i="17"/>
  <c r="Q158" i="1" s="1"/>
  <c r="N66" i="17"/>
  <c r="Q161" i="1" s="1"/>
  <c r="R156" i="35" s="1"/>
  <c r="N80" i="17"/>
  <c r="Q162" i="1" s="1"/>
  <c r="R152" i="35" s="1"/>
  <c r="N91" i="17"/>
  <c r="Q163" i="1" s="1"/>
  <c r="R154" i="35" s="1"/>
  <c r="N101" i="17"/>
  <c r="Q164" i="1" s="1"/>
  <c r="R153" i="35" s="1"/>
  <c r="N111" i="17"/>
  <c r="Q165" i="1" s="1"/>
  <c r="R155" i="35" s="1"/>
  <c r="M111" i="17"/>
  <c r="P165" i="1" s="1"/>
  <c r="Q155" i="35" s="1"/>
  <c r="L111" i="17"/>
  <c r="O165" i="1" s="1"/>
  <c r="P155" i="35" s="1"/>
  <c r="K111" i="17"/>
  <c r="N165" i="1" s="1"/>
  <c r="O155" i="35" s="1"/>
  <c r="J111" i="17"/>
  <c r="M165" i="1" s="1"/>
  <c r="N155" i="35" s="1"/>
  <c r="I111" i="17"/>
  <c r="L165" i="1" s="1"/>
  <c r="M155" i="35" s="1"/>
  <c r="H111" i="17"/>
  <c r="K165" i="1" s="1"/>
  <c r="L155" i="35" s="1"/>
  <c r="G111" i="17"/>
  <c r="J165" i="1" s="1"/>
  <c r="K155" i="35" s="1"/>
  <c r="F111" i="17"/>
  <c r="I165" i="1" s="1"/>
  <c r="E111" i="17"/>
  <c r="H165" i="1" s="1"/>
  <c r="D111" i="17"/>
  <c r="G165" i="1" s="1"/>
  <c r="C111" i="17"/>
  <c r="F165" i="1" s="1"/>
  <c r="O105" i="17"/>
  <c r="O104" i="17"/>
  <c r="M101" i="17"/>
  <c r="P164" i="1" s="1"/>
  <c r="Q153" i="35" s="1"/>
  <c r="L101" i="17"/>
  <c r="O164" i="1" s="1"/>
  <c r="P153" i="35" s="1"/>
  <c r="K101" i="17"/>
  <c r="N164" i="1" s="1"/>
  <c r="O153" i="35" s="1"/>
  <c r="J101" i="17"/>
  <c r="M164" i="1" s="1"/>
  <c r="N153" i="35" s="1"/>
  <c r="I101" i="17"/>
  <c r="L164" i="1" s="1"/>
  <c r="M153" i="35" s="1"/>
  <c r="H101" i="17"/>
  <c r="K164" i="1" s="1"/>
  <c r="L153" i="35" s="1"/>
  <c r="G101" i="17"/>
  <c r="J164" i="1" s="1"/>
  <c r="K153" i="35" s="1"/>
  <c r="F101" i="17"/>
  <c r="I164" i="1" s="1"/>
  <c r="E101" i="17"/>
  <c r="H164" i="1" s="1"/>
  <c r="D101" i="17"/>
  <c r="G164" i="1" s="1"/>
  <c r="C101" i="17"/>
  <c r="F164" i="1" s="1"/>
  <c r="O97" i="17"/>
  <c r="O96" i="17"/>
  <c r="O95" i="17"/>
  <c r="O94" i="17"/>
  <c r="M91" i="17"/>
  <c r="P163" i="1" s="1"/>
  <c r="Q154" i="35" s="1"/>
  <c r="L91" i="17"/>
  <c r="O163" i="1" s="1"/>
  <c r="P154" i="35" s="1"/>
  <c r="K91" i="17"/>
  <c r="N163" i="1" s="1"/>
  <c r="O154" i="35" s="1"/>
  <c r="J91" i="17"/>
  <c r="M163" i="1" s="1"/>
  <c r="N154" i="35" s="1"/>
  <c r="I91" i="17"/>
  <c r="L163" i="1" s="1"/>
  <c r="M154" i="35" s="1"/>
  <c r="H91" i="17"/>
  <c r="K163" i="1" s="1"/>
  <c r="L154" i="35" s="1"/>
  <c r="G91" i="17"/>
  <c r="J163" i="1" s="1"/>
  <c r="K154" i="35" s="1"/>
  <c r="F91" i="17"/>
  <c r="I163" i="1" s="1"/>
  <c r="E91" i="17"/>
  <c r="H163" i="1" s="1"/>
  <c r="D91" i="17"/>
  <c r="G163" i="1" s="1"/>
  <c r="C91" i="17"/>
  <c r="O89" i="17"/>
  <c r="O87" i="17"/>
  <c r="O86" i="17"/>
  <c r="O85" i="17"/>
  <c r="O84" i="17"/>
  <c r="O83" i="17"/>
  <c r="M80" i="17"/>
  <c r="P162" i="1" s="1"/>
  <c r="Q152" i="35" s="1"/>
  <c r="L80" i="17"/>
  <c r="O162" i="1" s="1"/>
  <c r="P152" i="35" s="1"/>
  <c r="K80" i="17"/>
  <c r="N162" i="1" s="1"/>
  <c r="O152" i="35" s="1"/>
  <c r="J80" i="17"/>
  <c r="M162" i="1" s="1"/>
  <c r="N152" i="35" s="1"/>
  <c r="I80" i="17"/>
  <c r="L162" i="1" s="1"/>
  <c r="M152" i="35" s="1"/>
  <c r="H80" i="17"/>
  <c r="K162" i="1" s="1"/>
  <c r="L152" i="35" s="1"/>
  <c r="G80" i="17"/>
  <c r="J162" i="1" s="1"/>
  <c r="K152" i="35" s="1"/>
  <c r="F80" i="17"/>
  <c r="I162" i="1" s="1"/>
  <c r="E80" i="17"/>
  <c r="H162" i="1" s="1"/>
  <c r="D80" i="17"/>
  <c r="G162" i="1" s="1"/>
  <c r="C80" i="17"/>
  <c r="F162" i="1" s="1"/>
  <c r="J152" i="35" s="1"/>
  <c r="O76" i="17"/>
  <c r="O75" i="17"/>
  <c r="O74" i="17"/>
  <c r="O73" i="17"/>
  <c r="O72" i="17"/>
  <c r="O71" i="17"/>
  <c r="O70" i="17"/>
  <c r="O69" i="17"/>
  <c r="M66" i="17"/>
  <c r="P161" i="1" s="1"/>
  <c r="Q156" i="35" s="1"/>
  <c r="L66" i="17"/>
  <c r="O161" i="1" s="1"/>
  <c r="P156" i="35" s="1"/>
  <c r="K66" i="17"/>
  <c r="N161" i="1" s="1"/>
  <c r="O156" i="35" s="1"/>
  <c r="J66" i="17"/>
  <c r="M161" i="1" s="1"/>
  <c r="N156" i="35" s="1"/>
  <c r="I66" i="17"/>
  <c r="L161" i="1" s="1"/>
  <c r="M156" i="35" s="1"/>
  <c r="H66" i="17"/>
  <c r="K161" i="1" s="1"/>
  <c r="L156" i="35" s="1"/>
  <c r="G66" i="17"/>
  <c r="J161" i="1" s="1"/>
  <c r="K156" i="35" s="1"/>
  <c r="F66" i="17"/>
  <c r="I161" i="1" s="1"/>
  <c r="E66" i="17"/>
  <c r="H161" i="1" s="1"/>
  <c r="D66" i="17"/>
  <c r="G161" i="1" s="1"/>
  <c r="C66" i="17"/>
  <c r="F161" i="1" s="1"/>
  <c r="O61" i="17"/>
  <c r="O60" i="17"/>
  <c r="O59" i="17"/>
  <c r="O58" i="17"/>
  <c r="F160" i="1"/>
  <c r="O48" i="17"/>
  <c r="O46" i="17"/>
  <c r="P159" i="1"/>
  <c r="Q150" i="35" s="1"/>
  <c r="O159" i="1"/>
  <c r="P150" i="35" s="1"/>
  <c r="N159" i="1"/>
  <c r="O150" i="35" s="1"/>
  <c r="L159" i="1"/>
  <c r="M150" i="35" s="1"/>
  <c r="K159" i="1"/>
  <c r="L150" i="35" s="1"/>
  <c r="J159" i="1"/>
  <c r="K150" i="35" s="1"/>
  <c r="G159" i="1"/>
  <c r="F159" i="1"/>
  <c r="O36" i="17"/>
  <c r="O35" i="17"/>
  <c r="O34" i="17"/>
  <c r="M30" i="17"/>
  <c r="P158" i="1" s="1"/>
  <c r="L30" i="17"/>
  <c r="O158" i="1" s="1"/>
  <c r="K30" i="17"/>
  <c r="N158" i="1" s="1"/>
  <c r="J30" i="17"/>
  <c r="M158" i="1" s="1"/>
  <c r="I30" i="17"/>
  <c r="L158" i="1" s="1"/>
  <c r="H30" i="17"/>
  <c r="K158" i="1" s="1"/>
  <c r="G30" i="17"/>
  <c r="J158" i="1" s="1"/>
  <c r="F30" i="17"/>
  <c r="I158" i="1" s="1"/>
  <c r="E30" i="17"/>
  <c r="D30" i="17"/>
  <c r="G158" i="1" s="1"/>
  <c r="C30" i="17"/>
  <c r="F158" i="1" s="1"/>
  <c r="O21" i="17"/>
  <c r="O20" i="17"/>
  <c r="O19" i="17"/>
  <c r="M16" i="17"/>
  <c r="L16" i="17"/>
  <c r="K16" i="17"/>
  <c r="J16" i="17"/>
  <c r="I16" i="17"/>
  <c r="H16" i="17"/>
  <c r="G16" i="17"/>
  <c r="F16" i="17"/>
  <c r="E16" i="17"/>
  <c r="D16" i="17"/>
  <c r="C16" i="17"/>
  <c r="O12" i="17"/>
  <c r="O11" i="17"/>
  <c r="O10" i="17"/>
  <c r="O9" i="17"/>
  <c r="O8" i="17"/>
  <c r="O7" i="17"/>
  <c r="O6" i="17"/>
  <c r="O5" i="17"/>
  <c r="O18" i="17"/>
  <c r="O32" i="17"/>
  <c r="O45" i="17"/>
  <c r="O68" i="17" s="1"/>
  <c r="O82" i="17" s="1"/>
  <c r="O93" i="17" s="1"/>
  <c r="O103" i="17" s="1"/>
  <c r="B81" i="1"/>
  <c r="B82" i="1"/>
  <c r="A83" i="1"/>
  <c r="A79" i="35" s="1"/>
  <c r="B84" i="1"/>
  <c r="B85" i="1"/>
  <c r="B86" i="1"/>
  <c r="A86" i="1" s="1"/>
  <c r="A82" i="35" s="1"/>
  <c r="B87" i="1"/>
  <c r="B88" i="1"/>
  <c r="B93" i="1"/>
  <c r="A93" i="1" s="1"/>
  <c r="B94" i="1"/>
  <c r="B95" i="1"/>
  <c r="B96" i="1"/>
  <c r="B97" i="1"/>
  <c r="B98" i="1"/>
  <c r="A98" i="1" s="1"/>
  <c r="A94" i="35" s="1"/>
  <c r="B99" i="1"/>
  <c r="A99" i="1" s="1"/>
  <c r="A95" i="35" s="1"/>
  <c r="B100" i="1"/>
  <c r="B101" i="1"/>
  <c r="B102" i="1"/>
  <c r="B103" i="1"/>
  <c r="B104" i="1"/>
  <c r="B105" i="1"/>
  <c r="B106" i="1"/>
  <c r="A106" i="1" s="1"/>
  <c r="A104" i="35" s="1"/>
  <c r="B107" i="1"/>
  <c r="B108" i="1"/>
  <c r="A108" i="1" s="1"/>
  <c r="A106" i="35" s="1"/>
  <c r="A120" i="35"/>
  <c r="A124" i="35"/>
  <c r="Q353" i="1"/>
  <c r="R350" i="35" s="1"/>
  <c r="P353" i="1"/>
  <c r="Q350" i="35" s="1"/>
  <c r="O353" i="1"/>
  <c r="P350" i="35" s="1"/>
  <c r="N353" i="1"/>
  <c r="O350" i="35" s="1"/>
  <c r="M353" i="1"/>
  <c r="N350" i="35" s="1"/>
  <c r="L353" i="1"/>
  <c r="M350" i="35" s="1"/>
  <c r="K353" i="1"/>
  <c r="L350" i="35" s="1"/>
  <c r="J353" i="1"/>
  <c r="K350" i="35" s="1"/>
  <c r="I353" i="1"/>
  <c r="H353" i="1"/>
  <c r="G353" i="1"/>
  <c r="Q352" i="1"/>
  <c r="R349" i="35" s="1"/>
  <c r="P352" i="1"/>
  <c r="Q349" i="35" s="1"/>
  <c r="O352" i="1"/>
  <c r="P349" i="35" s="1"/>
  <c r="N352" i="1"/>
  <c r="O349" i="35" s="1"/>
  <c r="M352" i="1"/>
  <c r="N349" i="35" s="1"/>
  <c r="L352" i="1"/>
  <c r="M349" i="35" s="1"/>
  <c r="K352" i="1"/>
  <c r="L349" i="35" s="1"/>
  <c r="J352" i="1"/>
  <c r="K349" i="35" s="1"/>
  <c r="I352" i="1"/>
  <c r="H352" i="1"/>
  <c r="G352" i="1"/>
  <c r="Q351" i="1"/>
  <c r="R348" i="35" s="1"/>
  <c r="P351" i="1"/>
  <c r="Q348" i="35" s="1"/>
  <c r="O351" i="1"/>
  <c r="P348" i="35" s="1"/>
  <c r="N351" i="1"/>
  <c r="O348" i="35" s="1"/>
  <c r="M351" i="1"/>
  <c r="L351" i="1"/>
  <c r="M348" i="35" s="1"/>
  <c r="K351" i="1"/>
  <c r="L348" i="35" s="1"/>
  <c r="J351" i="1"/>
  <c r="K348" i="35" s="1"/>
  <c r="I351" i="1"/>
  <c r="H351" i="1"/>
  <c r="G351" i="1"/>
  <c r="Q350" i="1"/>
  <c r="R347" i="35" s="1"/>
  <c r="P350" i="1"/>
  <c r="Q347" i="35" s="1"/>
  <c r="O350" i="1"/>
  <c r="P347" i="35" s="1"/>
  <c r="N350" i="1"/>
  <c r="O347" i="35" s="1"/>
  <c r="M350" i="1"/>
  <c r="N347" i="35" s="1"/>
  <c r="L350" i="1"/>
  <c r="M347" i="35" s="1"/>
  <c r="K350" i="1"/>
  <c r="L347" i="35" s="1"/>
  <c r="J350" i="1"/>
  <c r="K347" i="35" s="1"/>
  <c r="I350" i="1"/>
  <c r="H350" i="1"/>
  <c r="G350" i="1"/>
  <c r="Q349" i="1"/>
  <c r="R346" i="35" s="1"/>
  <c r="P349" i="1"/>
  <c r="Q346" i="35" s="1"/>
  <c r="O349" i="1"/>
  <c r="P346" i="35" s="1"/>
  <c r="N349" i="1"/>
  <c r="O346" i="35" s="1"/>
  <c r="M349" i="1"/>
  <c r="N346" i="35" s="1"/>
  <c r="L349" i="1"/>
  <c r="M346" i="35" s="1"/>
  <c r="K349" i="1"/>
  <c r="L346" i="35" s="1"/>
  <c r="J349" i="1"/>
  <c r="K346" i="35" s="1"/>
  <c r="I349" i="1"/>
  <c r="H349" i="1"/>
  <c r="G349" i="1"/>
  <c r="Q348" i="1"/>
  <c r="R345" i="35" s="1"/>
  <c r="P348" i="1"/>
  <c r="Q345" i="35" s="1"/>
  <c r="O348" i="1"/>
  <c r="P345" i="35" s="1"/>
  <c r="N348" i="1"/>
  <c r="M348" i="1"/>
  <c r="N345" i="35" s="1"/>
  <c r="L348" i="1"/>
  <c r="M345" i="35" s="1"/>
  <c r="K348" i="1"/>
  <c r="L345" i="35" s="1"/>
  <c r="J348" i="1"/>
  <c r="K345" i="35" s="1"/>
  <c r="I348" i="1"/>
  <c r="H348" i="1"/>
  <c r="G348" i="1"/>
  <c r="Q347" i="1"/>
  <c r="R344" i="35" s="1"/>
  <c r="P347" i="1"/>
  <c r="Q344" i="35" s="1"/>
  <c r="O347" i="1"/>
  <c r="P344" i="35" s="1"/>
  <c r="N347" i="1"/>
  <c r="O344" i="35" s="1"/>
  <c r="M347" i="1"/>
  <c r="N344" i="35" s="1"/>
  <c r="L347" i="1"/>
  <c r="M344" i="35" s="1"/>
  <c r="K347" i="1"/>
  <c r="L344" i="35" s="1"/>
  <c r="J347" i="1"/>
  <c r="I347" i="1"/>
  <c r="Q346" i="1"/>
  <c r="R343" i="35" s="1"/>
  <c r="P346" i="1"/>
  <c r="Q343" i="35" s="1"/>
  <c r="O346" i="1"/>
  <c r="P343" i="35" s="1"/>
  <c r="N346" i="1"/>
  <c r="O343" i="35" s="1"/>
  <c r="M346" i="1"/>
  <c r="N343" i="35" s="1"/>
  <c r="L346" i="1"/>
  <c r="K346" i="1"/>
  <c r="L343" i="35" s="1"/>
  <c r="J346" i="1"/>
  <c r="K343" i="35" s="1"/>
  <c r="I346" i="1"/>
  <c r="H346" i="1"/>
  <c r="G346" i="1"/>
  <c r="Q345" i="1"/>
  <c r="R342" i="35" s="1"/>
  <c r="P345" i="1"/>
  <c r="Q342" i="35" s="1"/>
  <c r="O345" i="1"/>
  <c r="P342" i="35" s="1"/>
  <c r="N345" i="1"/>
  <c r="O342" i="35" s="1"/>
  <c r="M345" i="1"/>
  <c r="N342" i="35" s="1"/>
  <c r="L345" i="1"/>
  <c r="M342" i="35" s="1"/>
  <c r="K345" i="1"/>
  <c r="L342" i="35" s="1"/>
  <c r="J345" i="1"/>
  <c r="K342" i="35" s="1"/>
  <c r="I345" i="1"/>
  <c r="H345" i="1"/>
  <c r="G345" i="1"/>
  <c r="Q344" i="1"/>
  <c r="R341" i="35" s="1"/>
  <c r="P344" i="1"/>
  <c r="Q341" i="35" s="1"/>
  <c r="O344" i="1"/>
  <c r="P341" i="35" s="1"/>
  <c r="N344" i="1"/>
  <c r="O341" i="35" s="1"/>
  <c r="M344" i="1"/>
  <c r="N341" i="35" s="1"/>
  <c r="L344" i="1"/>
  <c r="M341" i="35" s="1"/>
  <c r="K344" i="1"/>
  <c r="L341" i="35" s="1"/>
  <c r="J344" i="1"/>
  <c r="K341" i="35" s="1"/>
  <c r="I344" i="1"/>
  <c r="H344" i="1"/>
  <c r="G344" i="1"/>
  <c r="Q343" i="1"/>
  <c r="R340" i="35" s="1"/>
  <c r="P343" i="1"/>
  <c r="Q340" i="35" s="1"/>
  <c r="O343" i="1"/>
  <c r="P340" i="35" s="1"/>
  <c r="N343" i="1"/>
  <c r="O340" i="35" s="1"/>
  <c r="M343" i="1"/>
  <c r="N340" i="35" s="1"/>
  <c r="L343" i="1"/>
  <c r="M340" i="35" s="1"/>
  <c r="K343" i="1"/>
  <c r="L340" i="35" s="1"/>
  <c r="J343" i="1"/>
  <c r="K340" i="35" s="1"/>
  <c r="I343" i="1"/>
  <c r="H343" i="1"/>
  <c r="G343" i="1"/>
  <c r="Q342" i="1"/>
  <c r="R339" i="35" s="1"/>
  <c r="P342" i="1"/>
  <c r="Q339" i="35" s="1"/>
  <c r="O342" i="1"/>
  <c r="P339" i="35" s="1"/>
  <c r="N342" i="1"/>
  <c r="M342" i="1"/>
  <c r="N339" i="35" s="1"/>
  <c r="L342" i="1"/>
  <c r="M339" i="35" s="1"/>
  <c r="K342" i="1"/>
  <c r="L339" i="35" s="1"/>
  <c r="J342" i="1"/>
  <c r="K339" i="35" s="1"/>
  <c r="I342" i="1"/>
  <c r="H342" i="1"/>
  <c r="G342" i="1"/>
  <c r="Q341" i="1"/>
  <c r="R338" i="35" s="1"/>
  <c r="P341" i="1"/>
  <c r="Q338" i="35" s="1"/>
  <c r="O341" i="1"/>
  <c r="P338" i="35" s="1"/>
  <c r="N341" i="1"/>
  <c r="O338" i="35" s="1"/>
  <c r="M341" i="1"/>
  <c r="N338" i="35" s="1"/>
  <c r="L341" i="1"/>
  <c r="M338" i="35" s="1"/>
  <c r="K341" i="1"/>
  <c r="L338" i="35" s="1"/>
  <c r="J341" i="1"/>
  <c r="K338" i="35" s="1"/>
  <c r="I341" i="1"/>
  <c r="H341" i="1"/>
  <c r="G341" i="1"/>
  <c r="Q340" i="1"/>
  <c r="R337" i="35" s="1"/>
  <c r="P340" i="1"/>
  <c r="Q337" i="35" s="1"/>
  <c r="O340" i="1"/>
  <c r="P337" i="35" s="1"/>
  <c r="N340" i="1"/>
  <c r="O337" i="35" s="1"/>
  <c r="M340" i="1"/>
  <c r="N337" i="35" s="1"/>
  <c r="L340" i="1"/>
  <c r="M337" i="35" s="1"/>
  <c r="K340" i="1"/>
  <c r="L337" i="35" s="1"/>
  <c r="J340" i="1"/>
  <c r="K337" i="35" s="1"/>
  <c r="I340" i="1"/>
  <c r="H340" i="1"/>
  <c r="G340" i="1"/>
  <c r="Q339" i="1"/>
  <c r="R336" i="35" s="1"/>
  <c r="P339" i="1"/>
  <c r="Q336" i="35" s="1"/>
  <c r="O339" i="1"/>
  <c r="N339" i="1"/>
  <c r="O336" i="35" s="1"/>
  <c r="M339" i="1"/>
  <c r="N336" i="35" s="1"/>
  <c r="L339" i="1"/>
  <c r="M336" i="35" s="1"/>
  <c r="K339" i="1"/>
  <c r="L336" i="35" s="1"/>
  <c r="J339" i="1"/>
  <c r="K336" i="35" s="1"/>
  <c r="I339" i="1"/>
  <c r="H339" i="1"/>
  <c r="G339" i="1"/>
  <c r="Q338" i="1"/>
  <c r="R335" i="35" s="1"/>
  <c r="P338" i="1"/>
  <c r="Q335" i="35" s="1"/>
  <c r="O338" i="1"/>
  <c r="P335" i="35" s="1"/>
  <c r="N338" i="1"/>
  <c r="O335" i="35" s="1"/>
  <c r="M338" i="1"/>
  <c r="N335" i="35" s="1"/>
  <c r="L338" i="1"/>
  <c r="M335" i="35" s="1"/>
  <c r="K338" i="1"/>
  <c r="L335" i="35" s="1"/>
  <c r="J338" i="1"/>
  <c r="K335" i="35" s="1"/>
  <c r="I338" i="1"/>
  <c r="H338" i="1"/>
  <c r="G338" i="1"/>
  <c r="Q337" i="1"/>
  <c r="R334" i="35" s="1"/>
  <c r="P337" i="1"/>
  <c r="Q334" i="35" s="1"/>
  <c r="O337" i="1"/>
  <c r="P334" i="35" s="1"/>
  <c r="N337" i="1"/>
  <c r="O334" i="35" s="1"/>
  <c r="M337" i="1"/>
  <c r="N334" i="35" s="1"/>
  <c r="L337" i="1"/>
  <c r="M334" i="35" s="1"/>
  <c r="K337" i="1"/>
  <c r="L334" i="35" s="1"/>
  <c r="J337" i="1"/>
  <c r="K334" i="35" s="1"/>
  <c r="I337" i="1"/>
  <c r="H337" i="1"/>
  <c r="G337" i="1"/>
  <c r="Q336" i="1"/>
  <c r="R333" i="35" s="1"/>
  <c r="P336" i="1"/>
  <c r="Q333" i="35" s="1"/>
  <c r="O336" i="1"/>
  <c r="P333" i="35" s="1"/>
  <c r="N336" i="1"/>
  <c r="M336" i="1"/>
  <c r="N333" i="35" s="1"/>
  <c r="L336" i="1"/>
  <c r="M333" i="35" s="1"/>
  <c r="K336" i="1"/>
  <c r="L333" i="35" s="1"/>
  <c r="J336" i="1"/>
  <c r="K333" i="35" s="1"/>
  <c r="I336" i="1"/>
  <c r="H336" i="1"/>
  <c r="G336" i="1"/>
  <c r="Q335" i="1"/>
  <c r="R332" i="35" s="1"/>
  <c r="P335" i="1"/>
  <c r="Q332" i="35" s="1"/>
  <c r="O335" i="1"/>
  <c r="P332" i="35" s="1"/>
  <c r="N335" i="1"/>
  <c r="O332" i="35" s="1"/>
  <c r="M335" i="1"/>
  <c r="N332" i="35" s="1"/>
  <c r="L335" i="1"/>
  <c r="M332" i="35" s="1"/>
  <c r="K335" i="1"/>
  <c r="L332" i="35" s="1"/>
  <c r="J335" i="1"/>
  <c r="K332" i="35" s="1"/>
  <c r="I335" i="1"/>
  <c r="H335" i="1"/>
  <c r="G335" i="1"/>
  <c r="Q334" i="1"/>
  <c r="R331" i="35" s="1"/>
  <c r="P334" i="1"/>
  <c r="Q331" i="35" s="1"/>
  <c r="O334" i="1"/>
  <c r="P331" i="35" s="1"/>
  <c r="N334" i="1"/>
  <c r="O331" i="35" s="1"/>
  <c r="M334" i="1"/>
  <c r="N331" i="35" s="1"/>
  <c r="L334" i="1"/>
  <c r="M331" i="35" s="1"/>
  <c r="K334" i="1"/>
  <c r="L331" i="35" s="1"/>
  <c r="J334" i="1"/>
  <c r="K331" i="35" s="1"/>
  <c r="I334" i="1"/>
  <c r="H334" i="1"/>
  <c r="G334" i="1"/>
  <c r="Q333" i="1"/>
  <c r="R330" i="35" s="1"/>
  <c r="P333" i="1"/>
  <c r="Q330" i="35" s="1"/>
  <c r="O333" i="1"/>
  <c r="P330" i="35" s="1"/>
  <c r="N333" i="1"/>
  <c r="O330" i="35" s="1"/>
  <c r="M333" i="1"/>
  <c r="N330" i="35" s="1"/>
  <c r="L333" i="1"/>
  <c r="M330" i="35" s="1"/>
  <c r="K333" i="1"/>
  <c r="L330" i="35" s="1"/>
  <c r="J333" i="1"/>
  <c r="K330" i="35" s="1"/>
  <c r="I333" i="1"/>
  <c r="H333" i="1"/>
  <c r="G333" i="1"/>
  <c r="Q332" i="1"/>
  <c r="R329" i="35" s="1"/>
  <c r="P332" i="1"/>
  <c r="Q329" i="35" s="1"/>
  <c r="O332" i="1"/>
  <c r="P329" i="35" s="1"/>
  <c r="N332" i="1"/>
  <c r="O329" i="35" s="1"/>
  <c r="M332" i="1"/>
  <c r="N329" i="35" s="1"/>
  <c r="L332" i="1"/>
  <c r="M329" i="35" s="1"/>
  <c r="K332" i="1"/>
  <c r="L329" i="35" s="1"/>
  <c r="J332" i="1"/>
  <c r="K329" i="35" s="1"/>
  <c r="I332" i="1"/>
  <c r="H332" i="1"/>
  <c r="G332" i="1"/>
  <c r="Q331" i="1"/>
  <c r="R328" i="35" s="1"/>
  <c r="P331" i="1"/>
  <c r="Q328" i="35" s="1"/>
  <c r="O331" i="1"/>
  <c r="P328" i="35" s="1"/>
  <c r="N331" i="1"/>
  <c r="O328" i="35" s="1"/>
  <c r="M331" i="1"/>
  <c r="N328" i="35" s="1"/>
  <c r="L331" i="1"/>
  <c r="M328" i="35" s="1"/>
  <c r="K331" i="1"/>
  <c r="L328" i="35" s="1"/>
  <c r="J331" i="1"/>
  <c r="K328" i="35" s="1"/>
  <c r="I331" i="1"/>
  <c r="H331" i="1"/>
  <c r="G331" i="1"/>
  <c r="Q330" i="1"/>
  <c r="R327" i="35" s="1"/>
  <c r="P330" i="1"/>
  <c r="Q327" i="35" s="1"/>
  <c r="O330" i="1"/>
  <c r="P327" i="35" s="1"/>
  <c r="N330" i="1"/>
  <c r="O327" i="35" s="1"/>
  <c r="M330" i="1"/>
  <c r="N327" i="35" s="1"/>
  <c r="L330" i="1"/>
  <c r="M327" i="35" s="1"/>
  <c r="K330" i="1"/>
  <c r="L327" i="35" s="1"/>
  <c r="J330" i="1"/>
  <c r="K327" i="35" s="1"/>
  <c r="I330" i="1"/>
  <c r="H330" i="1"/>
  <c r="G330" i="1"/>
  <c r="Q329" i="1"/>
  <c r="R326" i="35" s="1"/>
  <c r="P329" i="1"/>
  <c r="Q326" i="35" s="1"/>
  <c r="O329" i="1"/>
  <c r="P326" i="35" s="1"/>
  <c r="N329" i="1"/>
  <c r="O326" i="35" s="1"/>
  <c r="M329" i="1"/>
  <c r="N326" i="35" s="1"/>
  <c r="L329" i="1"/>
  <c r="M326" i="35" s="1"/>
  <c r="K329" i="1"/>
  <c r="L326" i="35" s="1"/>
  <c r="J329" i="1"/>
  <c r="K326" i="35" s="1"/>
  <c r="I329" i="1"/>
  <c r="H329" i="1"/>
  <c r="G329" i="1"/>
  <c r="Q328" i="1"/>
  <c r="R325" i="35" s="1"/>
  <c r="P328" i="1"/>
  <c r="Q325" i="35" s="1"/>
  <c r="O328" i="1"/>
  <c r="P325" i="35" s="1"/>
  <c r="N328" i="1"/>
  <c r="O325" i="35" s="1"/>
  <c r="M328" i="1"/>
  <c r="N325" i="35" s="1"/>
  <c r="L328" i="1"/>
  <c r="M325" i="35" s="1"/>
  <c r="K328" i="1"/>
  <c r="L325" i="35" s="1"/>
  <c r="J328" i="1"/>
  <c r="K325" i="35" s="1"/>
  <c r="I328" i="1"/>
  <c r="H328" i="1"/>
  <c r="G328" i="1"/>
  <c r="Q327" i="1"/>
  <c r="R324" i="35" s="1"/>
  <c r="P327" i="1"/>
  <c r="Q324" i="35" s="1"/>
  <c r="O327" i="1"/>
  <c r="P324" i="35" s="1"/>
  <c r="N327" i="1"/>
  <c r="O324" i="35" s="1"/>
  <c r="M327" i="1"/>
  <c r="N324" i="35" s="1"/>
  <c r="L327" i="1"/>
  <c r="M324" i="35" s="1"/>
  <c r="K327" i="1"/>
  <c r="L324" i="35" s="1"/>
  <c r="J327" i="1"/>
  <c r="K324" i="35" s="1"/>
  <c r="I327" i="1"/>
  <c r="H327" i="1"/>
  <c r="G327" i="1"/>
  <c r="Q326" i="1"/>
  <c r="R323" i="35" s="1"/>
  <c r="P326" i="1"/>
  <c r="Q323" i="35" s="1"/>
  <c r="O326" i="1"/>
  <c r="P323" i="35" s="1"/>
  <c r="N326" i="1"/>
  <c r="M326" i="1"/>
  <c r="N323" i="35" s="1"/>
  <c r="L326" i="1"/>
  <c r="M323" i="35" s="1"/>
  <c r="K326" i="1"/>
  <c r="L323" i="35" s="1"/>
  <c r="J326" i="1"/>
  <c r="K323" i="35" s="1"/>
  <c r="I326" i="1"/>
  <c r="H326" i="1"/>
  <c r="G326" i="1"/>
  <c r="Q325" i="1"/>
  <c r="R322" i="35" s="1"/>
  <c r="P325" i="1"/>
  <c r="Q322" i="35" s="1"/>
  <c r="O325" i="1"/>
  <c r="P322" i="35" s="1"/>
  <c r="N325" i="1"/>
  <c r="O322" i="35" s="1"/>
  <c r="M325" i="1"/>
  <c r="N322" i="35" s="1"/>
  <c r="L325" i="1"/>
  <c r="M322" i="35" s="1"/>
  <c r="K325" i="1"/>
  <c r="L322" i="35" s="1"/>
  <c r="J325" i="1"/>
  <c r="K322" i="35" s="1"/>
  <c r="I325" i="1"/>
  <c r="H325" i="1"/>
  <c r="G325" i="1"/>
  <c r="Q324" i="1"/>
  <c r="R321" i="35" s="1"/>
  <c r="P324" i="1"/>
  <c r="Q321" i="35" s="1"/>
  <c r="O324" i="1"/>
  <c r="P321" i="35" s="1"/>
  <c r="N324" i="1"/>
  <c r="O321" i="35" s="1"/>
  <c r="M324" i="1"/>
  <c r="N321" i="35" s="1"/>
  <c r="L324" i="1"/>
  <c r="M321" i="35" s="1"/>
  <c r="K324" i="1"/>
  <c r="L321" i="35" s="1"/>
  <c r="J324" i="1"/>
  <c r="K321" i="35" s="1"/>
  <c r="I324" i="1"/>
  <c r="H324" i="1"/>
  <c r="G324" i="1"/>
  <c r="Q323" i="1"/>
  <c r="R320" i="35" s="1"/>
  <c r="P323" i="1"/>
  <c r="Q320" i="35" s="1"/>
  <c r="O323" i="1"/>
  <c r="P320" i="35" s="1"/>
  <c r="N323" i="1"/>
  <c r="O320" i="35" s="1"/>
  <c r="M323" i="1"/>
  <c r="N320" i="35" s="1"/>
  <c r="L323" i="1"/>
  <c r="M320" i="35" s="1"/>
  <c r="K323" i="1"/>
  <c r="L320" i="35" s="1"/>
  <c r="J323" i="1"/>
  <c r="K320" i="35" s="1"/>
  <c r="I323" i="1"/>
  <c r="H323" i="1"/>
  <c r="G323" i="1"/>
  <c r="Q322" i="1"/>
  <c r="R319" i="35" s="1"/>
  <c r="P322" i="1"/>
  <c r="Q319" i="35" s="1"/>
  <c r="O322" i="1"/>
  <c r="N322" i="1"/>
  <c r="O319" i="35" s="1"/>
  <c r="M322" i="1"/>
  <c r="N319" i="35" s="1"/>
  <c r="L322" i="1"/>
  <c r="M319" i="35" s="1"/>
  <c r="K322" i="1"/>
  <c r="L319" i="35" s="1"/>
  <c r="J322" i="1"/>
  <c r="I322" i="1"/>
  <c r="H322" i="1"/>
  <c r="G322" i="1"/>
  <c r="Q321" i="1"/>
  <c r="R318" i="35" s="1"/>
  <c r="P321" i="1"/>
  <c r="Q318" i="35" s="1"/>
  <c r="O321" i="1"/>
  <c r="P318" i="35" s="1"/>
  <c r="N321" i="1"/>
  <c r="O318" i="35" s="1"/>
  <c r="M321" i="1"/>
  <c r="N318" i="35" s="1"/>
  <c r="L321" i="1"/>
  <c r="K321" i="1"/>
  <c r="L318" i="35" s="1"/>
  <c r="J321" i="1"/>
  <c r="K318" i="35" s="1"/>
  <c r="I321" i="1"/>
  <c r="H321" i="1"/>
  <c r="G321" i="1"/>
  <c r="Q320" i="1"/>
  <c r="R317" i="35" s="1"/>
  <c r="P320" i="1"/>
  <c r="Q317" i="35" s="1"/>
  <c r="O320" i="1"/>
  <c r="P317" i="35" s="1"/>
  <c r="N320" i="1"/>
  <c r="O317" i="35" s="1"/>
  <c r="M320" i="1"/>
  <c r="N317" i="35" s="1"/>
  <c r="L320" i="1"/>
  <c r="M317" i="35" s="1"/>
  <c r="K320" i="1"/>
  <c r="J320" i="1"/>
  <c r="K317" i="35" s="1"/>
  <c r="I320" i="1"/>
  <c r="H320" i="1"/>
  <c r="G320" i="1"/>
  <c r="Q319" i="1"/>
  <c r="R316" i="35" s="1"/>
  <c r="P319" i="1"/>
  <c r="Q316" i="35" s="1"/>
  <c r="O319" i="1"/>
  <c r="P316" i="35" s="1"/>
  <c r="N319" i="1"/>
  <c r="O316" i="35" s="1"/>
  <c r="M319" i="1"/>
  <c r="L319" i="1"/>
  <c r="M316" i="35" s="1"/>
  <c r="K319" i="1"/>
  <c r="L316" i="35" s="1"/>
  <c r="J319" i="1"/>
  <c r="K316" i="35" s="1"/>
  <c r="I319" i="1"/>
  <c r="H319" i="1"/>
  <c r="G319" i="1"/>
  <c r="Q318" i="1"/>
  <c r="P318" i="1"/>
  <c r="Q315" i="35" s="1"/>
  <c r="O318" i="1"/>
  <c r="P315" i="35" s="1"/>
  <c r="N318" i="1"/>
  <c r="O315" i="35" s="1"/>
  <c r="M318" i="1"/>
  <c r="N315" i="35" s="1"/>
  <c r="L318" i="1"/>
  <c r="M315" i="35" s="1"/>
  <c r="K318" i="1"/>
  <c r="L315" i="35" s="1"/>
  <c r="J318" i="1"/>
  <c r="I318" i="1"/>
  <c r="H318" i="1"/>
  <c r="G318" i="1"/>
  <c r="Q312" i="1"/>
  <c r="R309" i="35" s="1"/>
  <c r="P312" i="1"/>
  <c r="Q309" i="35" s="1"/>
  <c r="O312" i="1"/>
  <c r="P309" i="35" s="1"/>
  <c r="N312" i="1"/>
  <c r="O309" i="35" s="1"/>
  <c r="M312" i="1"/>
  <c r="N309" i="35" s="1"/>
  <c r="L312" i="1"/>
  <c r="M309" i="35" s="1"/>
  <c r="K312" i="1"/>
  <c r="L309" i="35" s="1"/>
  <c r="J312" i="1"/>
  <c r="K309" i="35" s="1"/>
  <c r="I312" i="1"/>
  <c r="H312" i="1"/>
  <c r="G312" i="1"/>
  <c r="Q311" i="1"/>
  <c r="R308" i="35" s="1"/>
  <c r="P311" i="1"/>
  <c r="Q308" i="35" s="1"/>
  <c r="O311" i="1"/>
  <c r="P308" i="35" s="1"/>
  <c r="N311" i="1"/>
  <c r="O308" i="35" s="1"/>
  <c r="M311" i="1"/>
  <c r="N308" i="35" s="1"/>
  <c r="L311" i="1"/>
  <c r="M308" i="35" s="1"/>
  <c r="K311" i="1"/>
  <c r="L308" i="35" s="1"/>
  <c r="J311" i="1"/>
  <c r="K308" i="35" s="1"/>
  <c r="I311" i="1"/>
  <c r="H311" i="1"/>
  <c r="G311" i="1"/>
  <c r="Q310" i="1"/>
  <c r="R307" i="35" s="1"/>
  <c r="P310" i="1"/>
  <c r="Q307" i="35" s="1"/>
  <c r="O310" i="1"/>
  <c r="P307" i="35" s="1"/>
  <c r="N310" i="1"/>
  <c r="O307" i="35" s="1"/>
  <c r="M310" i="1"/>
  <c r="N307" i="35" s="1"/>
  <c r="L310" i="1"/>
  <c r="M307" i="35" s="1"/>
  <c r="K310" i="1"/>
  <c r="L307" i="35" s="1"/>
  <c r="J310" i="1"/>
  <c r="K307" i="35" s="1"/>
  <c r="I310" i="1"/>
  <c r="H310" i="1"/>
  <c r="G310" i="1"/>
  <c r="Q309" i="1"/>
  <c r="R306" i="35" s="1"/>
  <c r="P309" i="1"/>
  <c r="Q306" i="35" s="1"/>
  <c r="O309" i="1"/>
  <c r="P306" i="35" s="1"/>
  <c r="N309" i="1"/>
  <c r="O306" i="35" s="1"/>
  <c r="M309" i="1"/>
  <c r="N306" i="35" s="1"/>
  <c r="L309" i="1"/>
  <c r="M306" i="35" s="1"/>
  <c r="K309" i="1"/>
  <c r="L306" i="35" s="1"/>
  <c r="J309" i="1"/>
  <c r="I309" i="1"/>
  <c r="H309" i="1"/>
  <c r="G309" i="1"/>
  <c r="Q308" i="1"/>
  <c r="R305" i="35" s="1"/>
  <c r="P308" i="1"/>
  <c r="Q305" i="35" s="1"/>
  <c r="O308" i="1"/>
  <c r="P305" i="35" s="1"/>
  <c r="N308" i="1"/>
  <c r="O305" i="35" s="1"/>
  <c r="M308" i="1"/>
  <c r="N305" i="35" s="1"/>
  <c r="L308" i="1"/>
  <c r="K308" i="1"/>
  <c r="L305" i="35" s="1"/>
  <c r="J308" i="1"/>
  <c r="K305" i="35" s="1"/>
  <c r="I308" i="1"/>
  <c r="H308" i="1"/>
  <c r="G308" i="1"/>
  <c r="Q307" i="1"/>
  <c r="R304" i="35" s="1"/>
  <c r="P307" i="1"/>
  <c r="Q304" i="35" s="1"/>
  <c r="O307" i="1"/>
  <c r="P304" i="35" s="1"/>
  <c r="N307" i="1"/>
  <c r="O304" i="35" s="1"/>
  <c r="M307" i="1"/>
  <c r="N304" i="35" s="1"/>
  <c r="L307" i="1"/>
  <c r="M304" i="35" s="1"/>
  <c r="K307" i="1"/>
  <c r="L304" i="35" s="1"/>
  <c r="J307" i="1"/>
  <c r="K304" i="35" s="1"/>
  <c r="I307" i="1"/>
  <c r="H307" i="1"/>
  <c r="G307" i="1"/>
  <c r="Q306" i="1"/>
  <c r="R303" i="35" s="1"/>
  <c r="P306" i="1"/>
  <c r="Q303" i="35" s="1"/>
  <c r="O306" i="1"/>
  <c r="P303" i="35" s="1"/>
  <c r="N306" i="1"/>
  <c r="O303" i="35" s="1"/>
  <c r="M306" i="1"/>
  <c r="N303" i="35" s="1"/>
  <c r="L306" i="1"/>
  <c r="M303" i="35" s="1"/>
  <c r="K306" i="1"/>
  <c r="L303" i="35" s="1"/>
  <c r="J306" i="1"/>
  <c r="K303" i="35" s="1"/>
  <c r="I306" i="1"/>
  <c r="H306" i="1"/>
  <c r="G306" i="1"/>
  <c r="Q305" i="1"/>
  <c r="R302" i="35" s="1"/>
  <c r="P305" i="1"/>
  <c r="Q302" i="35" s="1"/>
  <c r="O305" i="1"/>
  <c r="P302" i="35" s="1"/>
  <c r="N305" i="1"/>
  <c r="O302" i="35" s="1"/>
  <c r="M305" i="1"/>
  <c r="N302" i="35" s="1"/>
  <c r="L305" i="1"/>
  <c r="M302" i="35" s="1"/>
  <c r="K305" i="1"/>
  <c r="L302" i="35" s="1"/>
  <c r="J305" i="1"/>
  <c r="I305" i="1"/>
  <c r="H305" i="1"/>
  <c r="G305" i="1"/>
  <c r="Q304" i="1"/>
  <c r="R301" i="35" s="1"/>
  <c r="P304" i="1"/>
  <c r="Q301" i="35" s="1"/>
  <c r="O304" i="1"/>
  <c r="P301" i="35" s="1"/>
  <c r="N304" i="1"/>
  <c r="O301" i="35" s="1"/>
  <c r="M304" i="1"/>
  <c r="N301" i="35" s="1"/>
  <c r="L304" i="1"/>
  <c r="M301" i="35" s="1"/>
  <c r="K304" i="1"/>
  <c r="J304" i="1"/>
  <c r="K301" i="35" s="1"/>
  <c r="I304" i="1"/>
  <c r="H304" i="1"/>
  <c r="G304" i="1"/>
  <c r="Q303" i="1"/>
  <c r="R300" i="35" s="1"/>
  <c r="P303" i="1"/>
  <c r="Q300" i="35" s="1"/>
  <c r="O303" i="1"/>
  <c r="P300" i="35" s="1"/>
  <c r="N303" i="1"/>
  <c r="O300" i="35" s="1"/>
  <c r="M303" i="1"/>
  <c r="N300" i="35" s="1"/>
  <c r="L303" i="1"/>
  <c r="M300" i="35" s="1"/>
  <c r="K303" i="1"/>
  <c r="L300" i="35" s="1"/>
  <c r="J303" i="1"/>
  <c r="K300" i="35" s="1"/>
  <c r="I303" i="1"/>
  <c r="H303" i="1"/>
  <c r="G303" i="1"/>
  <c r="R298" i="35"/>
  <c r="Q298" i="35"/>
  <c r="P298" i="35"/>
  <c r="O298" i="35"/>
  <c r="N298" i="35"/>
  <c r="M298" i="35"/>
  <c r="L298" i="35"/>
  <c r="K298" i="35"/>
  <c r="Q302" i="1"/>
  <c r="R297" i="35" s="1"/>
  <c r="P302" i="1"/>
  <c r="Q297" i="35" s="1"/>
  <c r="O302" i="1"/>
  <c r="P297" i="35" s="1"/>
  <c r="N302" i="1"/>
  <c r="M302" i="1"/>
  <c r="N297" i="35" s="1"/>
  <c r="L302" i="1"/>
  <c r="M297" i="35" s="1"/>
  <c r="K302" i="1"/>
  <c r="L297" i="35" s="1"/>
  <c r="J302" i="1"/>
  <c r="K297" i="35" s="1"/>
  <c r="I302" i="1"/>
  <c r="H302" i="1"/>
  <c r="G302" i="1"/>
  <c r="Q301" i="1"/>
  <c r="R296" i="35" s="1"/>
  <c r="P301" i="1"/>
  <c r="Q296" i="35" s="1"/>
  <c r="O301" i="1"/>
  <c r="P296" i="35" s="1"/>
  <c r="N301" i="1"/>
  <c r="O296" i="35" s="1"/>
  <c r="M301" i="1"/>
  <c r="N296" i="35" s="1"/>
  <c r="L301" i="1"/>
  <c r="K301" i="1"/>
  <c r="L296" i="35" s="1"/>
  <c r="J301" i="1"/>
  <c r="K296" i="35" s="1"/>
  <c r="I301" i="1"/>
  <c r="H301" i="1"/>
  <c r="G301" i="1"/>
  <c r="Q300" i="1"/>
  <c r="R295" i="35" s="1"/>
  <c r="P300" i="1"/>
  <c r="Q295" i="35" s="1"/>
  <c r="O300" i="1"/>
  <c r="P295" i="35" s="1"/>
  <c r="N300" i="1"/>
  <c r="O295" i="35" s="1"/>
  <c r="M300" i="1"/>
  <c r="N295" i="35" s="1"/>
  <c r="L300" i="1"/>
  <c r="M295" i="35" s="1"/>
  <c r="K300" i="1"/>
  <c r="L295" i="35" s="1"/>
  <c r="J300" i="1"/>
  <c r="I300" i="1"/>
  <c r="H300" i="1"/>
  <c r="G300" i="1"/>
  <c r="Q299" i="1"/>
  <c r="R294" i="35" s="1"/>
  <c r="P299" i="1"/>
  <c r="Q294" i="35" s="1"/>
  <c r="O299" i="1"/>
  <c r="P294" i="35" s="1"/>
  <c r="N299" i="1"/>
  <c r="O294" i="35" s="1"/>
  <c r="M299" i="1"/>
  <c r="N294" i="35" s="1"/>
  <c r="L299" i="1"/>
  <c r="M294" i="35" s="1"/>
  <c r="K299" i="1"/>
  <c r="L294" i="35" s="1"/>
  <c r="J299" i="1"/>
  <c r="K294" i="35" s="1"/>
  <c r="I299" i="1"/>
  <c r="H299" i="1"/>
  <c r="G299" i="1"/>
  <c r="Q298" i="1"/>
  <c r="R293" i="35" s="1"/>
  <c r="P298" i="1"/>
  <c r="Q293" i="35" s="1"/>
  <c r="O298" i="1"/>
  <c r="P293" i="35" s="1"/>
  <c r="N298" i="1"/>
  <c r="M298" i="1"/>
  <c r="N293" i="35" s="1"/>
  <c r="L298" i="1"/>
  <c r="M293" i="35" s="1"/>
  <c r="K298" i="1"/>
  <c r="L293" i="35" s="1"/>
  <c r="J298" i="1"/>
  <c r="I298" i="1"/>
  <c r="H298" i="1"/>
  <c r="G298" i="1"/>
  <c r="Q297" i="1"/>
  <c r="R292" i="35" s="1"/>
  <c r="P297" i="1"/>
  <c r="Q292" i="35" s="1"/>
  <c r="O297" i="1"/>
  <c r="P292" i="35" s="1"/>
  <c r="N297" i="1"/>
  <c r="O292" i="35" s="1"/>
  <c r="M297" i="1"/>
  <c r="N292" i="35" s="1"/>
  <c r="L297" i="1"/>
  <c r="M292" i="35" s="1"/>
  <c r="K297" i="1"/>
  <c r="L292" i="35" s="1"/>
  <c r="J297" i="1"/>
  <c r="K292" i="35" s="1"/>
  <c r="I297" i="1"/>
  <c r="H297" i="1"/>
  <c r="G297" i="1"/>
  <c r="Q296" i="1"/>
  <c r="R291" i="35" s="1"/>
  <c r="P296" i="1"/>
  <c r="Q291" i="35" s="1"/>
  <c r="O296" i="1"/>
  <c r="P291" i="35" s="1"/>
  <c r="N296" i="1"/>
  <c r="O291" i="35" s="1"/>
  <c r="M296" i="1"/>
  <c r="N291" i="35" s="1"/>
  <c r="L296" i="1"/>
  <c r="M291" i="35" s="1"/>
  <c r="K296" i="1"/>
  <c r="L291" i="35" s="1"/>
  <c r="J296" i="1"/>
  <c r="K291" i="35" s="1"/>
  <c r="I296" i="1"/>
  <c r="H296" i="1"/>
  <c r="G296" i="1"/>
  <c r="Q295" i="1"/>
  <c r="R290" i="35" s="1"/>
  <c r="P295" i="1"/>
  <c r="Q290" i="35" s="1"/>
  <c r="O295" i="1"/>
  <c r="P290" i="35" s="1"/>
  <c r="N295" i="1"/>
  <c r="O290" i="35" s="1"/>
  <c r="M295" i="1"/>
  <c r="N290" i="35" s="1"/>
  <c r="L295" i="1"/>
  <c r="M290" i="35" s="1"/>
  <c r="K295" i="1"/>
  <c r="L290" i="35" s="1"/>
  <c r="J295" i="1"/>
  <c r="K290" i="35" s="1"/>
  <c r="I295" i="1"/>
  <c r="H295" i="1"/>
  <c r="G295" i="1"/>
  <c r="Q294" i="1"/>
  <c r="R289" i="35" s="1"/>
  <c r="P294" i="1"/>
  <c r="Q289" i="35" s="1"/>
  <c r="O294" i="1"/>
  <c r="P289" i="35" s="1"/>
  <c r="N294" i="1"/>
  <c r="O289" i="35" s="1"/>
  <c r="M294" i="1"/>
  <c r="N289" i="35" s="1"/>
  <c r="L294" i="1"/>
  <c r="M289" i="35" s="1"/>
  <c r="K294" i="1"/>
  <c r="L289" i="35" s="1"/>
  <c r="J294" i="1"/>
  <c r="I294" i="1"/>
  <c r="H294" i="1"/>
  <c r="G294" i="1"/>
  <c r="Q293" i="1"/>
  <c r="R288" i="35" s="1"/>
  <c r="P293" i="1"/>
  <c r="Q288" i="35" s="1"/>
  <c r="O293" i="1"/>
  <c r="P288" i="35" s="1"/>
  <c r="N293" i="1"/>
  <c r="O288" i="35" s="1"/>
  <c r="M293" i="1"/>
  <c r="N288" i="35" s="1"/>
  <c r="L293" i="1"/>
  <c r="M288" i="35" s="1"/>
  <c r="K293" i="1"/>
  <c r="L288" i="35" s="1"/>
  <c r="J293" i="1"/>
  <c r="K288" i="35" s="1"/>
  <c r="I293" i="1"/>
  <c r="H293" i="1"/>
  <c r="G293" i="1"/>
  <c r="Q292" i="1"/>
  <c r="R287" i="35" s="1"/>
  <c r="P292" i="1"/>
  <c r="Q287" i="35" s="1"/>
  <c r="O292" i="1"/>
  <c r="P287" i="35" s="1"/>
  <c r="N292" i="1"/>
  <c r="O287" i="35" s="1"/>
  <c r="M292" i="1"/>
  <c r="N287" i="35" s="1"/>
  <c r="L292" i="1"/>
  <c r="M287" i="35" s="1"/>
  <c r="K292" i="1"/>
  <c r="L287" i="35" s="1"/>
  <c r="J292" i="1"/>
  <c r="K287" i="35" s="1"/>
  <c r="I292" i="1"/>
  <c r="H292" i="1"/>
  <c r="G292" i="1"/>
  <c r="Q291" i="1"/>
  <c r="R286" i="35" s="1"/>
  <c r="P291" i="1"/>
  <c r="Q286" i="35" s="1"/>
  <c r="O291" i="1"/>
  <c r="P286" i="35" s="1"/>
  <c r="N291" i="1"/>
  <c r="O286" i="35" s="1"/>
  <c r="M291" i="1"/>
  <c r="N286" i="35" s="1"/>
  <c r="L291" i="1"/>
  <c r="M286" i="35" s="1"/>
  <c r="K291" i="1"/>
  <c r="L286" i="35" s="1"/>
  <c r="J291" i="1"/>
  <c r="K286" i="35" s="1"/>
  <c r="I291" i="1"/>
  <c r="H291" i="1"/>
  <c r="G291" i="1"/>
  <c r="Q290" i="1"/>
  <c r="R285" i="35" s="1"/>
  <c r="P290" i="1"/>
  <c r="Q285" i="35" s="1"/>
  <c r="O290" i="1"/>
  <c r="P285" i="35" s="1"/>
  <c r="N290" i="1"/>
  <c r="O285" i="35" s="1"/>
  <c r="M290" i="1"/>
  <c r="N285" i="35" s="1"/>
  <c r="L290" i="1"/>
  <c r="M285" i="35" s="1"/>
  <c r="K290" i="1"/>
  <c r="L285" i="35" s="1"/>
  <c r="J290" i="1"/>
  <c r="I290" i="1"/>
  <c r="H290" i="1"/>
  <c r="G290" i="1"/>
  <c r="Q289" i="1"/>
  <c r="R284" i="35" s="1"/>
  <c r="P289" i="1"/>
  <c r="Q284" i="35" s="1"/>
  <c r="O289" i="1"/>
  <c r="P284" i="35" s="1"/>
  <c r="N289" i="1"/>
  <c r="O284" i="35" s="1"/>
  <c r="M289" i="1"/>
  <c r="N284" i="35" s="1"/>
  <c r="L289" i="1"/>
  <c r="K289" i="1"/>
  <c r="L284" i="35" s="1"/>
  <c r="J289" i="1"/>
  <c r="K284" i="35" s="1"/>
  <c r="I289" i="1"/>
  <c r="H289" i="1"/>
  <c r="G289" i="1"/>
  <c r="Q288" i="1"/>
  <c r="R283" i="35" s="1"/>
  <c r="P288" i="1"/>
  <c r="Q283" i="35" s="1"/>
  <c r="O288" i="1"/>
  <c r="P283" i="35" s="1"/>
  <c r="N288" i="1"/>
  <c r="O283" i="35" s="1"/>
  <c r="M288" i="1"/>
  <c r="N283" i="35" s="1"/>
  <c r="L288" i="1"/>
  <c r="M283" i="35" s="1"/>
  <c r="K288" i="1"/>
  <c r="L283" i="35" s="1"/>
  <c r="J288" i="1"/>
  <c r="K283" i="35" s="1"/>
  <c r="I288" i="1"/>
  <c r="H288" i="1"/>
  <c r="G288" i="1"/>
  <c r="Q287" i="1"/>
  <c r="R282" i="35" s="1"/>
  <c r="P287" i="1"/>
  <c r="Q282" i="35" s="1"/>
  <c r="O287" i="1"/>
  <c r="P282" i="35" s="1"/>
  <c r="N287" i="1"/>
  <c r="O282" i="35" s="1"/>
  <c r="M287" i="1"/>
  <c r="N282" i="35" s="1"/>
  <c r="L287" i="1"/>
  <c r="M282" i="35" s="1"/>
  <c r="K287" i="1"/>
  <c r="L282" i="35" s="1"/>
  <c r="J287" i="1"/>
  <c r="K282" i="35" s="1"/>
  <c r="I287" i="1"/>
  <c r="H287" i="1"/>
  <c r="G287" i="1"/>
  <c r="Q286" i="1"/>
  <c r="R281" i="35" s="1"/>
  <c r="P286" i="1"/>
  <c r="Q281" i="35" s="1"/>
  <c r="O286" i="1"/>
  <c r="P281" i="35" s="1"/>
  <c r="N286" i="1"/>
  <c r="M286" i="1"/>
  <c r="N281" i="35" s="1"/>
  <c r="L286" i="1"/>
  <c r="M281" i="35" s="1"/>
  <c r="K286" i="1"/>
  <c r="L281" i="35" s="1"/>
  <c r="J286" i="1"/>
  <c r="K281" i="35" s="1"/>
  <c r="I286" i="1"/>
  <c r="H286" i="1"/>
  <c r="G286" i="1"/>
  <c r="Q285" i="1"/>
  <c r="R280" i="35" s="1"/>
  <c r="P285" i="1"/>
  <c r="Q280" i="35" s="1"/>
  <c r="O285" i="1"/>
  <c r="P280" i="35" s="1"/>
  <c r="N285" i="1"/>
  <c r="O280" i="35" s="1"/>
  <c r="M285" i="1"/>
  <c r="N280" i="35" s="1"/>
  <c r="L285" i="1"/>
  <c r="K285" i="1"/>
  <c r="J285" i="1"/>
  <c r="K280" i="35" s="1"/>
  <c r="I285" i="1"/>
  <c r="H285" i="1"/>
  <c r="G285" i="1"/>
  <c r="Q284" i="1"/>
  <c r="R279" i="35" s="1"/>
  <c r="P284" i="1"/>
  <c r="Q279" i="35" s="1"/>
  <c r="O284" i="1"/>
  <c r="P279" i="35" s="1"/>
  <c r="N284" i="1"/>
  <c r="M284" i="1"/>
  <c r="L284" i="1"/>
  <c r="M279" i="35" s="1"/>
  <c r="K284" i="1"/>
  <c r="L279" i="35" s="1"/>
  <c r="J284" i="1"/>
  <c r="K279" i="35" s="1"/>
  <c r="I284" i="1"/>
  <c r="H284" i="1"/>
  <c r="G284" i="1"/>
  <c r="Q283" i="1"/>
  <c r="R278" i="35" s="1"/>
  <c r="P283" i="1"/>
  <c r="Q278" i="35" s="1"/>
  <c r="O283" i="1"/>
  <c r="P278" i="35" s="1"/>
  <c r="N283" i="1"/>
  <c r="O278" i="35" s="1"/>
  <c r="M283" i="1"/>
  <c r="N278" i="35" s="1"/>
  <c r="L283" i="1"/>
  <c r="M278" i="35" s="1"/>
  <c r="K283" i="1"/>
  <c r="L278" i="35" s="1"/>
  <c r="J283" i="1"/>
  <c r="I283" i="1"/>
  <c r="H283" i="1"/>
  <c r="G283" i="1"/>
  <c r="Q271" i="1"/>
  <c r="R266" i="35" s="1"/>
  <c r="P271" i="1"/>
  <c r="Q266" i="35" s="1"/>
  <c r="O271" i="1"/>
  <c r="P266" i="35" s="1"/>
  <c r="N271" i="1"/>
  <c r="O266" i="35" s="1"/>
  <c r="M271" i="1"/>
  <c r="N266" i="35" s="1"/>
  <c r="L271" i="1"/>
  <c r="M266" i="35" s="1"/>
  <c r="K271" i="1"/>
  <c r="L266" i="35" s="1"/>
  <c r="J271" i="1"/>
  <c r="K266" i="35" s="1"/>
  <c r="I271" i="1"/>
  <c r="H271" i="1"/>
  <c r="G271" i="1"/>
  <c r="Q270" i="1"/>
  <c r="R265" i="35" s="1"/>
  <c r="P270" i="1"/>
  <c r="Q265" i="35" s="1"/>
  <c r="O270" i="1"/>
  <c r="P265" i="35" s="1"/>
  <c r="N270" i="1"/>
  <c r="O265" i="35" s="1"/>
  <c r="M270" i="1"/>
  <c r="N265" i="35" s="1"/>
  <c r="L270" i="1"/>
  <c r="M265" i="35" s="1"/>
  <c r="K270" i="1"/>
  <c r="L265" i="35" s="1"/>
  <c r="J270" i="1"/>
  <c r="K265" i="35" s="1"/>
  <c r="I270" i="1"/>
  <c r="H270" i="1"/>
  <c r="G270" i="1"/>
  <c r="Q269" i="1"/>
  <c r="R264" i="35" s="1"/>
  <c r="P269" i="1"/>
  <c r="Q264" i="35" s="1"/>
  <c r="O269" i="1"/>
  <c r="P264" i="35" s="1"/>
  <c r="N269" i="1"/>
  <c r="O264" i="35" s="1"/>
  <c r="M269" i="1"/>
  <c r="L269" i="1"/>
  <c r="M264" i="35" s="1"/>
  <c r="K269" i="1"/>
  <c r="L264" i="35" s="1"/>
  <c r="J269" i="1"/>
  <c r="K264" i="35" s="1"/>
  <c r="I269" i="1"/>
  <c r="H269" i="1"/>
  <c r="G269" i="1"/>
  <c r="Q267" i="1"/>
  <c r="R258" i="35" s="1"/>
  <c r="P267" i="1"/>
  <c r="Q258" i="35" s="1"/>
  <c r="O267" i="1"/>
  <c r="P258" i="35" s="1"/>
  <c r="N267" i="1"/>
  <c r="O258" i="35" s="1"/>
  <c r="M267" i="1"/>
  <c r="N258" i="35" s="1"/>
  <c r="L267" i="1"/>
  <c r="M258" i="35" s="1"/>
  <c r="K267" i="1"/>
  <c r="L258" i="35" s="1"/>
  <c r="J267" i="1"/>
  <c r="K258" i="35" s="1"/>
  <c r="I267" i="1"/>
  <c r="H267" i="1"/>
  <c r="G267" i="1"/>
  <c r="Q266" i="1"/>
  <c r="R255" i="35" s="1"/>
  <c r="P266" i="1"/>
  <c r="Q255" i="35" s="1"/>
  <c r="O266" i="1"/>
  <c r="P255" i="35" s="1"/>
  <c r="N266" i="1"/>
  <c r="O255" i="35" s="1"/>
  <c r="M266" i="1"/>
  <c r="N255" i="35" s="1"/>
  <c r="L266" i="1"/>
  <c r="M255" i="35" s="1"/>
  <c r="K266" i="1"/>
  <c r="L255" i="35" s="1"/>
  <c r="J266" i="1"/>
  <c r="K255" i="35" s="1"/>
  <c r="I266" i="1"/>
  <c r="H266" i="1"/>
  <c r="G266" i="1"/>
  <c r="Q265" i="1"/>
  <c r="R254" i="35" s="1"/>
  <c r="P265" i="1"/>
  <c r="Q254" i="35" s="1"/>
  <c r="O265" i="1"/>
  <c r="P254" i="35" s="1"/>
  <c r="N265" i="1"/>
  <c r="O254" i="35" s="1"/>
  <c r="M265" i="1"/>
  <c r="L265" i="1"/>
  <c r="K265" i="1"/>
  <c r="L254" i="35" s="1"/>
  <c r="J265" i="1"/>
  <c r="K254" i="35" s="1"/>
  <c r="I265" i="1"/>
  <c r="H265" i="1"/>
  <c r="G265" i="1"/>
  <c r="Q256" i="1"/>
  <c r="P256" i="1"/>
  <c r="O256" i="1"/>
  <c r="N256" i="1"/>
  <c r="M256" i="1"/>
  <c r="L256" i="1"/>
  <c r="K256" i="1"/>
  <c r="J256" i="1"/>
  <c r="I256" i="1"/>
  <c r="H256" i="1"/>
  <c r="G256" i="1"/>
  <c r="Q255" i="1"/>
  <c r="R248" i="35" s="1"/>
  <c r="P255" i="1"/>
  <c r="Q248" i="35" s="1"/>
  <c r="O255" i="1"/>
  <c r="P248" i="35" s="1"/>
  <c r="N255" i="1"/>
  <c r="O248" i="35" s="1"/>
  <c r="M255" i="1"/>
  <c r="N248" i="35" s="1"/>
  <c r="L255" i="1"/>
  <c r="M248" i="35" s="1"/>
  <c r="K255" i="1"/>
  <c r="L248" i="35" s="1"/>
  <c r="J255" i="1"/>
  <c r="K248" i="35" s="1"/>
  <c r="I255" i="1"/>
  <c r="H255" i="1"/>
  <c r="G255" i="1"/>
  <c r="Q252" i="1"/>
  <c r="R245" i="35" s="1"/>
  <c r="P252" i="1"/>
  <c r="Q245" i="35" s="1"/>
  <c r="O252" i="1"/>
  <c r="P245" i="35" s="1"/>
  <c r="N252" i="1"/>
  <c r="O245" i="35" s="1"/>
  <c r="M252" i="1"/>
  <c r="N245" i="35" s="1"/>
  <c r="L252" i="1"/>
  <c r="M245" i="35" s="1"/>
  <c r="K252" i="1"/>
  <c r="L245" i="35" s="1"/>
  <c r="J252" i="1"/>
  <c r="K245" i="35" s="1"/>
  <c r="I252" i="1"/>
  <c r="H252" i="1"/>
  <c r="G252" i="1"/>
  <c r="Q251" i="1"/>
  <c r="R244" i="35" s="1"/>
  <c r="P251" i="1"/>
  <c r="Q244" i="35" s="1"/>
  <c r="O251" i="1"/>
  <c r="P244" i="35" s="1"/>
  <c r="N251" i="1"/>
  <c r="O244" i="35" s="1"/>
  <c r="M251" i="1"/>
  <c r="N244" i="35" s="1"/>
  <c r="L251" i="1"/>
  <c r="M244" i="35" s="1"/>
  <c r="K251" i="1"/>
  <c r="L244" i="35" s="1"/>
  <c r="J251" i="1"/>
  <c r="K244" i="35" s="1"/>
  <c r="I251" i="1"/>
  <c r="H251" i="1"/>
  <c r="G251" i="1"/>
  <c r="R243" i="35"/>
  <c r="Q243" i="35"/>
  <c r="P243" i="35"/>
  <c r="O243" i="35"/>
  <c r="N243" i="35"/>
  <c r="M243" i="35"/>
  <c r="K243" i="35"/>
  <c r="Q249" i="1"/>
  <c r="R241" i="35" s="1"/>
  <c r="P249" i="1"/>
  <c r="Q241" i="35" s="1"/>
  <c r="O249" i="1"/>
  <c r="P241" i="35" s="1"/>
  <c r="N249" i="1"/>
  <c r="O241" i="35" s="1"/>
  <c r="M249" i="1"/>
  <c r="N241" i="35" s="1"/>
  <c r="L249" i="1"/>
  <c r="M241" i="35" s="1"/>
  <c r="K249" i="1"/>
  <c r="L241" i="35" s="1"/>
  <c r="J249" i="1"/>
  <c r="K241" i="35" s="1"/>
  <c r="I249" i="1"/>
  <c r="H249" i="1"/>
  <c r="G249" i="1"/>
  <c r="Q248" i="1"/>
  <c r="R240" i="35" s="1"/>
  <c r="P248" i="1"/>
  <c r="Q240" i="35" s="1"/>
  <c r="O248" i="1"/>
  <c r="P240" i="35" s="1"/>
  <c r="N248" i="1"/>
  <c r="O240" i="35" s="1"/>
  <c r="M248" i="1"/>
  <c r="N240" i="35" s="1"/>
  <c r="L248" i="1"/>
  <c r="M240" i="35" s="1"/>
  <c r="K248" i="1"/>
  <c r="L240" i="35" s="1"/>
  <c r="J248" i="1"/>
  <c r="K240" i="35" s="1"/>
  <c r="I248" i="1"/>
  <c r="H248" i="1"/>
  <c r="G248" i="1"/>
  <c r="Q247" i="1"/>
  <c r="R239" i="35" s="1"/>
  <c r="P247" i="1"/>
  <c r="Q239" i="35" s="1"/>
  <c r="O247" i="1"/>
  <c r="P239" i="35" s="1"/>
  <c r="N247" i="1"/>
  <c r="O239" i="35" s="1"/>
  <c r="M247" i="1"/>
  <c r="N239" i="35" s="1"/>
  <c r="L247" i="1"/>
  <c r="M239" i="35" s="1"/>
  <c r="K247" i="1"/>
  <c r="J247" i="1"/>
  <c r="K239" i="35" s="1"/>
  <c r="I247" i="1"/>
  <c r="H247" i="1"/>
  <c r="G247" i="1"/>
  <c r="R238" i="35"/>
  <c r="Q238" i="35"/>
  <c r="P238" i="35"/>
  <c r="N238" i="35"/>
  <c r="M238" i="35"/>
  <c r="L238" i="35"/>
  <c r="K238" i="35"/>
  <c r="Q246" i="1"/>
  <c r="R237" i="35" s="1"/>
  <c r="P246" i="1"/>
  <c r="Q237" i="35" s="1"/>
  <c r="O246" i="1"/>
  <c r="P237" i="35" s="1"/>
  <c r="N246" i="1"/>
  <c r="O237" i="35" s="1"/>
  <c r="M246" i="1"/>
  <c r="N237" i="35" s="1"/>
  <c r="L246" i="1"/>
  <c r="M237" i="35" s="1"/>
  <c r="K246" i="1"/>
  <c r="L237" i="35" s="1"/>
  <c r="J246" i="1"/>
  <c r="K237" i="35" s="1"/>
  <c r="I246" i="1"/>
  <c r="H246" i="1"/>
  <c r="G246" i="1"/>
  <c r="Q245" i="1"/>
  <c r="R236" i="35" s="1"/>
  <c r="P245" i="1"/>
  <c r="Q236" i="35" s="1"/>
  <c r="O245" i="1"/>
  <c r="P236" i="35" s="1"/>
  <c r="N245" i="1"/>
  <c r="O236" i="35" s="1"/>
  <c r="M245" i="1"/>
  <c r="N236" i="35" s="1"/>
  <c r="L245" i="1"/>
  <c r="M236" i="35" s="1"/>
  <c r="K245" i="1"/>
  <c r="L236" i="35" s="1"/>
  <c r="J245" i="1"/>
  <c r="I245" i="1"/>
  <c r="H245" i="1"/>
  <c r="G245" i="1"/>
  <c r="Q244" i="1"/>
  <c r="R235" i="35" s="1"/>
  <c r="P244" i="1"/>
  <c r="Q235" i="35" s="1"/>
  <c r="O244" i="1"/>
  <c r="P235" i="35" s="1"/>
  <c r="N244" i="1"/>
  <c r="O235" i="35" s="1"/>
  <c r="M244" i="1"/>
  <c r="N235" i="35" s="1"/>
  <c r="L244" i="1"/>
  <c r="M235" i="35" s="1"/>
  <c r="K244" i="1"/>
  <c r="L235" i="35" s="1"/>
  <c r="J244" i="1"/>
  <c r="K235" i="35" s="1"/>
  <c r="I244" i="1"/>
  <c r="H244" i="1"/>
  <c r="G244" i="1"/>
  <c r="Q243" i="1"/>
  <c r="R234" i="35" s="1"/>
  <c r="P243" i="1"/>
  <c r="Q234" i="35" s="1"/>
  <c r="O243" i="1"/>
  <c r="P234" i="35" s="1"/>
  <c r="N243" i="1"/>
  <c r="O234" i="35" s="1"/>
  <c r="M243" i="1"/>
  <c r="N234" i="35" s="1"/>
  <c r="L243" i="1"/>
  <c r="M234" i="35" s="1"/>
  <c r="K243" i="1"/>
  <c r="L234" i="35" s="1"/>
  <c r="J243" i="1"/>
  <c r="K234" i="35" s="1"/>
  <c r="I243" i="1"/>
  <c r="H243" i="1"/>
  <c r="G243" i="1"/>
  <c r="Q242" i="1"/>
  <c r="R233" i="35" s="1"/>
  <c r="P242" i="1"/>
  <c r="Q233" i="35" s="1"/>
  <c r="O242" i="1"/>
  <c r="P233" i="35" s="1"/>
  <c r="N242" i="1"/>
  <c r="O233" i="35" s="1"/>
  <c r="M242" i="1"/>
  <c r="N233" i="35" s="1"/>
  <c r="L242" i="1"/>
  <c r="M233" i="35" s="1"/>
  <c r="K242" i="1"/>
  <c r="L233" i="35" s="1"/>
  <c r="J242" i="1"/>
  <c r="K233" i="35" s="1"/>
  <c r="I242" i="1"/>
  <c r="H242" i="1"/>
  <c r="G242" i="1"/>
  <c r="Q241" i="1"/>
  <c r="R232" i="35" s="1"/>
  <c r="P241" i="1"/>
  <c r="Q232" i="35" s="1"/>
  <c r="O241" i="1"/>
  <c r="P232" i="35" s="1"/>
  <c r="N241" i="1"/>
  <c r="O232" i="35" s="1"/>
  <c r="M241" i="1"/>
  <c r="N232" i="35" s="1"/>
  <c r="L241" i="1"/>
  <c r="M232" i="35" s="1"/>
  <c r="K241" i="1"/>
  <c r="L232" i="35" s="1"/>
  <c r="J241" i="1"/>
  <c r="K232" i="35" s="1"/>
  <c r="I241" i="1"/>
  <c r="H241" i="1"/>
  <c r="G241" i="1"/>
  <c r="Q240" i="1"/>
  <c r="R231" i="35" s="1"/>
  <c r="P240" i="1"/>
  <c r="Q231" i="35" s="1"/>
  <c r="O240" i="1"/>
  <c r="P231" i="35" s="1"/>
  <c r="N240" i="1"/>
  <c r="O231" i="35" s="1"/>
  <c r="M240" i="1"/>
  <c r="N231" i="35" s="1"/>
  <c r="L240" i="1"/>
  <c r="M231" i="35" s="1"/>
  <c r="K240" i="1"/>
  <c r="J240" i="1"/>
  <c r="K231" i="35" s="1"/>
  <c r="I240" i="1"/>
  <c r="H240" i="1"/>
  <c r="G240" i="1"/>
  <c r="Q239" i="1"/>
  <c r="R230" i="35" s="1"/>
  <c r="P239" i="1"/>
  <c r="Q230" i="35" s="1"/>
  <c r="O239" i="1"/>
  <c r="P230" i="35" s="1"/>
  <c r="N239" i="1"/>
  <c r="O230" i="35" s="1"/>
  <c r="M239" i="1"/>
  <c r="L239" i="1"/>
  <c r="M230" i="35" s="1"/>
  <c r="K239" i="1"/>
  <c r="L230" i="35" s="1"/>
  <c r="J239" i="1"/>
  <c r="K230" i="35" s="1"/>
  <c r="I239" i="1"/>
  <c r="H239" i="1"/>
  <c r="G239" i="1"/>
  <c r="Q238" i="1"/>
  <c r="R229" i="35" s="1"/>
  <c r="P238" i="1"/>
  <c r="Q229" i="35" s="1"/>
  <c r="O238" i="1"/>
  <c r="N238" i="1"/>
  <c r="O229" i="35" s="1"/>
  <c r="M238" i="1"/>
  <c r="N229" i="35" s="1"/>
  <c r="L238" i="1"/>
  <c r="M229" i="35" s="1"/>
  <c r="K238" i="1"/>
  <c r="L229" i="35" s="1"/>
  <c r="J238" i="1"/>
  <c r="K229" i="35" s="1"/>
  <c r="I238" i="1"/>
  <c r="H238" i="1"/>
  <c r="G238" i="1"/>
  <c r="Q231" i="1"/>
  <c r="R222" i="35" s="1"/>
  <c r="P231" i="1"/>
  <c r="Q222" i="35" s="1"/>
  <c r="O231" i="1"/>
  <c r="P222" i="35" s="1"/>
  <c r="N231" i="1"/>
  <c r="O222" i="35" s="1"/>
  <c r="M231" i="1"/>
  <c r="N222" i="35" s="1"/>
  <c r="L231" i="1"/>
  <c r="M222" i="35" s="1"/>
  <c r="K231" i="1"/>
  <c r="L222" i="35" s="1"/>
  <c r="J231" i="1"/>
  <c r="I231" i="1"/>
  <c r="H231" i="1"/>
  <c r="G231" i="1"/>
  <c r="Q230" i="1"/>
  <c r="R221" i="35" s="1"/>
  <c r="P230" i="1"/>
  <c r="Q221" i="35" s="1"/>
  <c r="O230" i="1"/>
  <c r="P221" i="35" s="1"/>
  <c r="N230" i="1"/>
  <c r="O221" i="35" s="1"/>
  <c r="M230" i="1"/>
  <c r="N221" i="35" s="1"/>
  <c r="L230" i="1"/>
  <c r="M221" i="35" s="1"/>
  <c r="K230" i="1"/>
  <c r="L221" i="35" s="1"/>
  <c r="J230" i="1"/>
  <c r="K221" i="35" s="1"/>
  <c r="I230" i="1"/>
  <c r="H230" i="1"/>
  <c r="G230" i="1"/>
  <c r="Q229" i="1"/>
  <c r="R220" i="35" s="1"/>
  <c r="P229" i="1"/>
  <c r="Q220" i="35" s="1"/>
  <c r="O229" i="1"/>
  <c r="P220" i="35" s="1"/>
  <c r="N229" i="1"/>
  <c r="O220" i="35" s="1"/>
  <c r="M229" i="1"/>
  <c r="L229" i="1"/>
  <c r="M220" i="35" s="1"/>
  <c r="K229" i="1"/>
  <c r="L220" i="35" s="1"/>
  <c r="J229" i="1"/>
  <c r="K220" i="35" s="1"/>
  <c r="I229" i="1"/>
  <c r="H229" i="1"/>
  <c r="G229" i="1"/>
  <c r="Q228" i="1"/>
  <c r="R219" i="35" s="1"/>
  <c r="P228" i="1"/>
  <c r="Q219" i="35" s="1"/>
  <c r="O228" i="1"/>
  <c r="P219" i="35" s="1"/>
  <c r="N228" i="1"/>
  <c r="O219" i="35" s="1"/>
  <c r="M228" i="1"/>
  <c r="N219" i="35" s="1"/>
  <c r="L228" i="1"/>
  <c r="M219" i="35" s="1"/>
  <c r="K228" i="1"/>
  <c r="L219" i="35" s="1"/>
  <c r="J228" i="1"/>
  <c r="I228" i="1"/>
  <c r="H228" i="1"/>
  <c r="G228" i="1"/>
  <c r="Q227" i="1"/>
  <c r="R218" i="35" s="1"/>
  <c r="P227" i="1"/>
  <c r="Q218" i="35" s="1"/>
  <c r="O227" i="1"/>
  <c r="P218" i="35" s="1"/>
  <c r="N227" i="1"/>
  <c r="O218" i="35" s="1"/>
  <c r="M227" i="1"/>
  <c r="N218" i="35" s="1"/>
  <c r="L227" i="1"/>
  <c r="M218" i="35" s="1"/>
  <c r="K227" i="1"/>
  <c r="L218" i="35" s="1"/>
  <c r="J227" i="1"/>
  <c r="I227" i="1"/>
  <c r="H227" i="1"/>
  <c r="G227" i="1"/>
  <c r="Q226" i="1"/>
  <c r="R217" i="35" s="1"/>
  <c r="P226" i="1"/>
  <c r="Q217" i="35" s="1"/>
  <c r="O226" i="1"/>
  <c r="P217" i="35" s="1"/>
  <c r="N226" i="1"/>
  <c r="M226" i="1"/>
  <c r="N217" i="35" s="1"/>
  <c r="L226" i="1"/>
  <c r="M217" i="35" s="1"/>
  <c r="K226" i="1"/>
  <c r="L217" i="35" s="1"/>
  <c r="J226" i="1"/>
  <c r="K217" i="35" s="1"/>
  <c r="I226" i="1"/>
  <c r="H226" i="1"/>
  <c r="G226" i="1"/>
  <c r="Q225" i="1"/>
  <c r="R216" i="35" s="1"/>
  <c r="P225" i="1"/>
  <c r="Q216" i="35" s="1"/>
  <c r="O225" i="1"/>
  <c r="P216" i="35" s="1"/>
  <c r="N225" i="1"/>
  <c r="O216" i="35" s="1"/>
  <c r="M225" i="1"/>
  <c r="N216" i="35" s="1"/>
  <c r="L225" i="1"/>
  <c r="M216" i="35" s="1"/>
  <c r="K225" i="1"/>
  <c r="L216" i="35" s="1"/>
  <c r="J225" i="1"/>
  <c r="K216" i="35" s="1"/>
  <c r="I225" i="1"/>
  <c r="H225" i="1"/>
  <c r="G225" i="1"/>
  <c r="Q222" i="1"/>
  <c r="R213" i="35" s="1"/>
  <c r="P222" i="1"/>
  <c r="Q213" i="35" s="1"/>
  <c r="O222" i="1"/>
  <c r="N222" i="1"/>
  <c r="O213" i="35" s="1"/>
  <c r="M222" i="1"/>
  <c r="N213" i="35" s="1"/>
  <c r="L222" i="1"/>
  <c r="K222" i="1"/>
  <c r="L213" i="35" s="1"/>
  <c r="J222" i="1"/>
  <c r="K213" i="35" s="1"/>
  <c r="I222" i="1"/>
  <c r="H222" i="1"/>
  <c r="G222" i="1"/>
  <c r="Q221" i="1"/>
  <c r="R212" i="35" s="1"/>
  <c r="P221" i="1"/>
  <c r="Q212" i="35" s="1"/>
  <c r="O221" i="1"/>
  <c r="P212" i="35" s="1"/>
  <c r="N221" i="1"/>
  <c r="O212" i="35" s="1"/>
  <c r="M221" i="1"/>
  <c r="N212" i="35" s="1"/>
  <c r="L221" i="1"/>
  <c r="M212" i="35" s="1"/>
  <c r="K221" i="1"/>
  <c r="L212" i="35" s="1"/>
  <c r="J221" i="1"/>
  <c r="I221" i="1"/>
  <c r="H221" i="1"/>
  <c r="G221" i="1"/>
  <c r="Q219" i="1"/>
  <c r="R210" i="35" s="1"/>
  <c r="P219" i="1"/>
  <c r="Q210" i="35" s="1"/>
  <c r="O219" i="1"/>
  <c r="P210" i="35" s="1"/>
  <c r="N219" i="1"/>
  <c r="O210" i="35" s="1"/>
  <c r="M219" i="1"/>
  <c r="N210" i="35" s="1"/>
  <c r="L219" i="1"/>
  <c r="M210" i="35" s="1"/>
  <c r="K219" i="1"/>
  <c r="L210" i="35" s="1"/>
  <c r="J219" i="1"/>
  <c r="K210" i="35" s="1"/>
  <c r="I219" i="1"/>
  <c r="H219" i="1"/>
  <c r="G219" i="1"/>
  <c r="Q213" i="1"/>
  <c r="R204" i="35" s="1"/>
  <c r="P213" i="1"/>
  <c r="Q204" i="35" s="1"/>
  <c r="O213" i="1"/>
  <c r="P204" i="35" s="1"/>
  <c r="N213" i="1"/>
  <c r="O204" i="35" s="1"/>
  <c r="M213" i="1"/>
  <c r="N204" i="35" s="1"/>
  <c r="L213" i="1"/>
  <c r="M204" i="35" s="1"/>
  <c r="K213" i="1"/>
  <c r="L204" i="35" s="1"/>
  <c r="J213" i="1"/>
  <c r="K204" i="35" s="1"/>
  <c r="I213" i="1"/>
  <c r="H213" i="1"/>
  <c r="G213" i="1"/>
  <c r="Q212" i="1"/>
  <c r="R203" i="35" s="1"/>
  <c r="P212" i="1"/>
  <c r="Q203" i="35" s="1"/>
  <c r="O212" i="1"/>
  <c r="P203" i="35" s="1"/>
  <c r="N212" i="1"/>
  <c r="O203" i="35" s="1"/>
  <c r="M212" i="1"/>
  <c r="L212" i="1"/>
  <c r="M203" i="35" s="1"/>
  <c r="K212" i="1"/>
  <c r="L203" i="35" s="1"/>
  <c r="J212" i="1"/>
  <c r="K203" i="35" s="1"/>
  <c r="I212" i="1"/>
  <c r="H212" i="1"/>
  <c r="G212" i="1"/>
  <c r="Q211" i="1"/>
  <c r="R202" i="35" s="1"/>
  <c r="P211" i="1"/>
  <c r="Q202" i="35" s="1"/>
  <c r="O211" i="1"/>
  <c r="P202" i="35" s="1"/>
  <c r="N211" i="1"/>
  <c r="O202" i="35" s="1"/>
  <c r="M211" i="1"/>
  <c r="N202" i="35" s="1"/>
  <c r="L211" i="1"/>
  <c r="M202" i="35" s="1"/>
  <c r="K211" i="1"/>
  <c r="L202" i="35" s="1"/>
  <c r="J211" i="1"/>
  <c r="K202" i="35" s="1"/>
  <c r="I211" i="1"/>
  <c r="H211" i="1"/>
  <c r="G211" i="1"/>
  <c r="Q210" i="1"/>
  <c r="R201" i="35" s="1"/>
  <c r="P210" i="1"/>
  <c r="Q201" i="35" s="1"/>
  <c r="O210" i="1"/>
  <c r="P201" i="35" s="1"/>
  <c r="N210" i="1"/>
  <c r="O201" i="35" s="1"/>
  <c r="M210" i="1"/>
  <c r="N201" i="35" s="1"/>
  <c r="L210" i="1"/>
  <c r="M201" i="35" s="1"/>
  <c r="K210" i="1"/>
  <c r="L201" i="35" s="1"/>
  <c r="J210" i="1"/>
  <c r="K201" i="35" s="1"/>
  <c r="I210" i="1"/>
  <c r="H210" i="1"/>
  <c r="G210" i="1"/>
  <c r="Q209" i="1"/>
  <c r="R200" i="35" s="1"/>
  <c r="P209" i="1"/>
  <c r="Q200" i="35" s="1"/>
  <c r="O209" i="1"/>
  <c r="P200" i="35" s="1"/>
  <c r="N209" i="1"/>
  <c r="O200" i="35" s="1"/>
  <c r="M209" i="1"/>
  <c r="N200" i="35" s="1"/>
  <c r="L209" i="1"/>
  <c r="M200" i="35" s="1"/>
  <c r="K209" i="1"/>
  <c r="L200" i="35" s="1"/>
  <c r="J209" i="1"/>
  <c r="K200" i="35" s="1"/>
  <c r="I209" i="1"/>
  <c r="H209" i="1"/>
  <c r="G209" i="1"/>
  <c r="Q208" i="1"/>
  <c r="R199" i="35" s="1"/>
  <c r="P208" i="1"/>
  <c r="Q199" i="35" s="1"/>
  <c r="O208" i="1"/>
  <c r="P199" i="35" s="1"/>
  <c r="N208" i="1"/>
  <c r="O199" i="35" s="1"/>
  <c r="M208" i="1"/>
  <c r="L208" i="1"/>
  <c r="M199" i="35" s="1"/>
  <c r="K208" i="1"/>
  <c r="L199" i="35" s="1"/>
  <c r="J208" i="1"/>
  <c r="K199" i="35" s="1"/>
  <c r="I208" i="1"/>
  <c r="H208" i="1"/>
  <c r="G208" i="1"/>
  <c r="Q207" i="1"/>
  <c r="R198" i="35" s="1"/>
  <c r="P207" i="1"/>
  <c r="Q198" i="35" s="1"/>
  <c r="O207" i="1"/>
  <c r="P198" i="35" s="1"/>
  <c r="N207" i="1"/>
  <c r="O198" i="35" s="1"/>
  <c r="M207" i="1"/>
  <c r="N198" i="35" s="1"/>
  <c r="L207" i="1"/>
  <c r="M198" i="35" s="1"/>
  <c r="K207" i="1"/>
  <c r="L198" i="35" s="1"/>
  <c r="J207" i="1"/>
  <c r="K198" i="35" s="1"/>
  <c r="I207" i="1"/>
  <c r="H207" i="1"/>
  <c r="G207" i="1"/>
  <c r="Q206" i="1"/>
  <c r="R197" i="35" s="1"/>
  <c r="P206" i="1"/>
  <c r="Q197" i="35" s="1"/>
  <c r="O206" i="1"/>
  <c r="P197" i="35" s="1"/>
  <c r="N206" i="1"/>
  <c r="O197" i="35" s="1"/>
  <c r="M206" i="1"/>
  <c r="N197" i="35" s="1"/>
  <c r="L206" i="1"/>
  <c r="M197" i="35" s="1"/>
  <c r="K206" i="1"/>
  <c r="L197" i="35" s="1"/>
  <c r="J206" i="1"/>
  <c r="K197" i="35" s="1"/>
  <c r="I206" i="1"/>
  <c r="H206" i="1"/>
  <c r="G206" i="1"/>
  <c r="Q205" i="1"/>
  <c r="R196" i="35" s="1"/>
  <c r="P205" i="1"/>
  <c r="Q196" i="35" s="1"/>
  <c r="O205" i="1"/>
  <c r="P196" i="35" s="1"/>
  <c r="N205" i="1"/>
  <c r="O196" i="35" s="1"/>
  <c r="M205" i="1"/>
  <c r="N196" i="35" s="1"/>
  <c r="L205" i="1"/>
  <c r="M196" i="35" s="1"/>
  <c r="K205" i="1"/>
  <c r="J205" i="1"/>
  <c r="K196" i="35" s="1"/>
  <c r="I205" i="1"/>
  <c r="H205" i="1"/>
  <c r="G205" i="1"/>
  <c r="Q204" i="1"/>
  <c r="R195" i="35" s="1"/>
  <c r="P204" i="1"/>
  <c r="Q195" i="35" s="1"/>
  <c r="O204" i="1"/>
  <c r="P195" i="35" s="1"/>
  <c r="N204" i="1"/>
  <c r="O195" i="35" s="1"/>
  <c r="M204" i="1"/>
  <c r="N195" i="35" s="1"/>
  <c r="L204" i="1"/>
  <c r="M195" i="35" s="1"/>
  <c r="K204" i="1"/>
  <c r="L195" i="35" s="1"/>
  <c r="J204" i="1"/>
  <c r="K195" i="35" s="1"/>
  <c r="I204" i="1"/>
  <c r="H204" i="1"/>
  <c r="G204" i="1"/>
  <c r="Q203" i="1"/>
  <c r="R194" i="35" s="1"/>
  <c r="P203" i="1"/>
  <c r="Q194" i="35" s="1"/>
  <c r="O203" i="1"/>
  <c r="P194" i="35" s="1"/>
  <c r="N203" i="1"/>
  <c r="O194" i="35" s="1"/>
  <c r="M203" i="1"/>
  <c r="N194" i="35" s="1"/>
  <c r="L203" i="1"/>
  <c r="M194" i="35" s="1"/>
  <c r="K203" i="1"/>
  <c r="L194" i="35" s="1"/>
  <c r="J203" i="1"/>
  <c r="K194" i="35" s="1"/>
  <c r="I203" i="1"/>
  <c r="H203" i="1"/>
  <c r="G203" i="1"/>
  <c r="Q202" i="1"/>
  <c r="R193" i="35" s="1"/>
  <c r="P202" i="1"/>
  <c r="Q193" i="35" s="1"/>
  <c r="O202" i="1"/>
  <c r="P193" i="35" s="1"/>
  <c r="N202" i="1"/>
  <c r="O193" i="35" s="1"/>
  <c r="M202" i="1"/>
  <c r="N193" i="35" s="1"/>
  <c r="L202" i="1"/>
  <c r="M193" i="35" s="1"/>
  <c r="K202" i="1"/>
  <c r="L193" i="35" s="1"/>
  <c r="J202" i="1"/>
  <c r="K193" i="35" s="1"/>
  <c r="I202" i="1"/>
  <c r="H202" i="1"/>
  <c r="G202" i="1"/>
  <c r="Q201" i="1"/>
  <c r="R192" i="35" s="1"/>
  <c r="P201" i="1"/>
  <c r="Q192" i="35" s="1"/>
  <c r="O201" i="1"/>
  <c r="P192" i="35" s="1"/>
  <c r="N201" i="1"/>
  <c r="O192" i="35" s="1"/>
  <c r="M201" i="1"/>
  <c r="N192" i="35" s="1"/>
  <c r="L201" i="1"/>
  <c r="M192" i="35" s="1"/>
  <c r="K201" i="1"/>
  <c r="J201" i="1"/>
  <c r="K192" i="35" s="1"/>
  <c r="I201" i="1"/>
  <c r="H201" i="1"/>
  <c r="G201" i="1"/>
  <c r="Q200" i="1"/>
  <c r="R191" i="35" s="1"/>
  <c r="P200" i="1"/>
  <c r="Q191" i="35" s="1"/>
  <c r="O200" i="1"/>
  <c r="N200" i="1"/>
  <c r="O191" i="35" s="1"/>
  <c r="M200" i="1"/>
  <c r="L200" i="1"/>
  <c r="M191" i="35" s="1"/>
  <c r="K200" i="1"/>
  <c r="L191" i="35" s="1"/>
  <c r="J200" i="1"/>
  <c r="K191" i="35" s="1"/>
  <c r="I200" i="1"/>
  <c r="H200" i="1"/>
  <c r="G200" i="1"/>
  <c r="Q198" i="1"/>
  <c r="R189" i="35" s="1"/>
  <c r="P198" i="1"/>
  <c r="Q189" i="35" s="1"/>
  <c r="O198" i="1"/>
  <c r="P189" i="35" s="1"/>
  <c r="N198" i="1"/>
  <c r="O189" i="35" s="1"/>
  <c r="M198" i="1"/>
  <c r="N189" i="35" s="1"/>
  <c r="L198" i="1"/>
  <c r="M189" i="35" s="1"/>
  <c r="K198" i="1"/>
  <c r="L189" i="35" s="1"/>
  <c r="J198" i="1"/>
  <c r="K189" i="35" s="1"/>
  <c r="I198" i="1"/>
  <c r="H198" i="1"/>
  <c r="G198" i="1"/>
  <c r="Q197" i="1"/>
  <c r="R188" i="35" s="1"/>
  <c r="P197" i="1"/>
  <c r="Q188" i="35" s="1"/>
  <c r="O197" i="1"/>
  <c r="P188" i="35" s="1"/>
  <c r="N197" i="1"/>
  <c r="O188" i="35" s="1"/>
  <c r="M197" i="1"/>
  <c r="N188" i="35" s="1"/>
  <c r="L197" i="1"/>
  <c r="M188" i="35" s="1"/>
  <c r="K197" i="1"/>
  <c r="L188" i="35" s="1"/>
  <c r="J197" i="1"/>
  <c r="K188" i="35" s="1"/>
  <c r="I197" i="1"/>
  <c r="H197" i="1"/>
  <c r="G197" i="1"/>
  <c r="Q196" i="1"/>
  <c r="R187" i="35" s="1"/>
  <c r="P196" i="1"/>
  <c r="Q187" i="35" s="1"/>
  <c r="O196" i="1"/>
  <c r="P187" i="35" s="1"/>
  <c r="N196" i="1"/>
  <c r="O187" i="35" s="1"/>
  <c r="M196" i="1"/>
  <c r="N187" i="35" s="1"/>
  <c r="L196" i="1"/>
  <c r="M187" i="35" s="1"/>
  <c r="K196" i="1"/>
  <c r="L187" i="35" s="1"/>
  <c r="J196" i="1"/>
  <c r="K187" i="35" s="1"/>
  <c r="I196" i="1"/>
  <c r="H196" i="1"/>
  <c r="G196" i="1"/>
  <c r="Q195" i="1"/>
  <c r="R186" i="35" s="1"/>
  <c r="P195" i="1"/>
  <c r="Q186" i="35" s="1"/>
  <c r="O195" i="1"/>
  <c r="P186" i="35" s="1"/>
  <c r="N195" i="1"/>
  <c r="O186" i="35" s="1"/>
  <c r="M195" i="1"/>
  <c r="N186" i="35" s="1"/>
  <c r="L195" i="1"/>
  <c r="M186" i="35" s="1"/>
  <c r="K195" i="1"/>
  <c r="L186" i="35" s="1"/>
  <c r="J195" i="1"/>
  <c r="K186" i="35" s="1"/>
  <c r="I195" i="1"/>
  <c r="H195" i="1"/>
  <c r="G195" i="1"/>
  <c r="Q194" i="1"/>
  <c r="R185" i="35" s="1"/>
  <c r="P194" i="1"/>
  <c r="Q185" i="35" s="1"/>
  <c r="O194" i="1"/>
  <c r="P185" i="35" s="1"/>
  <c r="N194" i="1"/>
  <c r="O185" i="35" s="1"/>
  <c r="M194" i="1"/>
  <c r="N185" i="35" s="1"/>
  <c r="L194" i="1"/>
  <c r="M185" i="35" s="1"/>
  <c r="K194" i="1"/>
  <c r="L185" i="35" s="1"/>
  <c r="J194" i="1"/>
  <c r="K185" i="35" s="1"/>
  <c r="I194" i="1"/>
  <c r="H194" i="1"/>
  <c r="G194" i="1"/>
  <c r="Q193" i="1"/>
  <c r="R184" i="35" s="1"/>
  <c r="P193" i="1"/>
  <c r="Q184" i="35" s="1"/>
  <c r="O193" i="1"/>
  <c r="P184" i="35" s="1"/>
  <c r="N193" i="1"/>
  <c r="O184" i="35" s="1"/>
  <c r="M193" i="1"/>
  <c r="N184" i="35" s="1"/>
  <c r="L193" i="1"/>
  <c r="M184" i="35" s="1"/>
  <c r="K193" i="1"/>
  <c r="L184" i="35" s="1"/>
  <c r="J193" i="1"/>
  <c r="K184" i="35" s="1"/>
  <c r="I193" i="1"/>
  <c r="H193" i="1"/>
  <c r="G193" i="1"/>
  <c r="Q192" i="1"/>
  <c r="R183" i="35" s="1"/>
  <c r="P192" i="1"/>
  <c r="Q183" i="35" s="1"/>
  <c r="O192" i="1"/>
  <c r="P183" i="35" s="1"/>
  <c r="N192" i="1"/>
  <c r="O183" i="35" s="1"/>
  <c r="M192" i="1"/>
  <c r="L192" i="1"/>
  <c r="M183" i="35" s="1"/>
  <c r="K192" i="1"/>
  <c r="L183" i="35" s="1"/>
  <c r="J192" i="1"/>
  <c r="K183" i="35" s="1"/>
  <c r="I192" i="1"/>
  <c r="H192" i="1"/>
  <c r="G192" i="1"/>
  <c r="Q191" i="1"/>
  <c r="R182" i="35" s="1"/>
  <c r="P191" i="1"/>
  <c r="Q182" i="35" s="1"/>
  <c r="O191" i="1"/>
  <c r="P182" i="35" s="1"/>
  <c r="N191" i="1"/>
  <c r="O182" i="35" s="1"/>
  <c r="M191" i="1"/>
  <c r="N182" i="35" s="1"/>
  <c r="L191" i="1"/>
  <c r="M182" i="35" s="1"/>
  <c r="K191" i="1"/>
  <c r="L182" i="35" s="1"/>
  <c r="J191" i="1"/>
  <c r="K182" i="35" s="1"/>
  <c r="I191" i="1"/>
  <c r="H191" i="1"/>
  <c r="G191" i="1"/>
  <c r="Q190" i="1"/>
  <c r="R181" i="35" s="1"/>
  <c r="P190" i="1"/>
  <c r="Q181" i="35" s="1"/>
  <c r="O190" i="1"/>
  <c r="P181" i="35" s="1"/>
  <c r="N190" i="1"/>
  <c r="O181" i="35" s="1"/>
  <c r="M190" i="1"/>
  <c r="N181" i="35" s="1"/>
  <c r="L190" i="1"/>
  <c r="M181" i="35" s="1"/>
  <c r="K190" i="1"/>
  <c r="L181" i="35" s="1"/>
  <c r="J190" i="1"/>
  <c r="K181" i="35" s="1"/>
  <c r="I190" i="1"/>
  <c r="H190" i="1"/>
  <c r="G190" i="1"/>
  <c r="Q189" i="1"/>
  <c r="R180" i="35" s="1"/>
  <c r="P189" i="1"/>
  <c r="Q180" i="35" s="1"/>
  <c r="O189" i="1"/>
  <c r="P180" i="35" s="1"/>
  <c r="N189" i="1"/>
  <c r="O180" i="35" s="1"/>
  <c r="M189" i="1"/>
  <c r="N180" i="35" s="1"/>
  <c r="L189" i="1"/>
  <c r="M180" i="35" s="1"/>
  <c r="K189" i="1"/>
  <c r="L180" i="35" s="1"/>
  <c r="J189" i="1"/>
  <c r="K180" i="35" s="1"/>
  <c r="I189" i="1"/>
  <c r="H189" i="1"/>
  <c r="G189" i="1"/>
  <c r="Q188" i="1"/>
  <c r="R179" i="35" s="1"/>
  <c r="P188" i="1"/>
  <c r="Q179" i="35" s="1"/>
  <c r="O188" i="1"/>
  <c r="P179" i="35" s="1"/>
  <c r="N188" i="1"/>
  <c r="O179" i="35" s="1"/>
  <c r="M188" i="1"/>
  <c r="N179" i="35" s="1"/>
  <c r="L188" i="1"/>
  <c r="M179" i="35" s="1"/>
  <c r="K188" i="1"/>
  <c r="L179" i="35" s="1"/>
  <c r="J188" i="1"/>
  <c r="K179" i="35" s="1"/>
  <c r="I188" i="1"/>
  <c r="H188" i="1"/>
  <c r="G188" i="1"/>
  <c r="Q187" i="1"/>
  <c r="R178" i="35" s="1"/>
  <c r="P187" i="1"/>
  <c r="Q178" i="35" s="1"/>
  <c r="O187" i="1"/>
  <c r="P178" i="35" s="1"/>
  <c r="N187" i="1"/>
  <c r="O178" i="35" s="1"/>
  <c r="M187" i="1"/>
  <c r="N178" i="35" s="1"/>
  <c r="L187" i="1"/>
  <c r="M178" i="35" s="1"/>
  <c r="K187" i="1"/>
  <c r="L178" i="35" s="1"/>
  <c r="J187" i="1"/>
  <c r="K178" i="35" s="1"/>
  <c r="I187" i="1"/>
  <c r="H187" i="1"/>
  <c r="G187" i="1"/>
  <c r="Q186" i="1"/>
  <c r="R177" i="35" s="1"/>
  <c r="P186" i="1"/>
  <c r="Q177" i="35" s="1"/>
  <c r="O186" i="1"/>
  <c r="P177" i="35" s="1"/>
  <c r="N186" i="1"/>
  <c r="O177" i="35" s="1"/>
  <c r="M186" i="1"/>
  <c r="N177" i="35" s="1"/>
  <c r="L186" i="1"/>
  <c r="M177" i="35" s="1"/>
  <c r="K186" i="1"/>
  <c r="L177" i="35" s="1"/>
  <c r="J186" i="1"/>
  <c r="K177" i="35" s="1"/>
  <c r="I186" i="1"/>
  <c r="H186" i="1"/>
  <c r="G186" i="1"/>
  <c r="Q185" i="1"/>
  <c r="R176" i="35" s="1"/>
  <c r="P185" i="1"/>
  <c r="Q176" i="35" s="1"/>
  <c r="O185" i="1"/>
  <c r="P176" i="35" s="1"/>
  <c r="N185" i="1"/>
  <c r="O176" i="35" s="1"/>
  <c r="M185" i="1"/>
  <c r="N176" i="35" s="1"/>
  <c r="L185" i="1"/>
  <c r="M176" i="35" s="1"/>
  <c r="K185" i="1"/>
  <c r="L176" i="35" s="1"/>
  <c r="J185" i="1"/>
  <c r="K176" i="35" s="1"/>
  <c r="I185" i="1"/>
  <c r="H185" i="1"/>
  <c r="G185" i="1"/>
  <c r="Q184" i="1"/>
  <c r="R175" i="35" s="1"/>
  <c r="P184" i="1"/>
  <c r="Q175" i="35" s="1"/>
  <c r="O184" i="1"/>
  <c r="P175" i="35" s="1"/>
  <c r="N184" i="1"/>
  <c r="O175" i="35" s="1"/>
  <c r="M184" i="1"/>
  <c r="N175" i="35" s="1"/>
  <c r="L184" i="1"/>
  <c r="M175" i="35" s="1"/>
  <c r="K184" i="1"/>
  <c r="L175" i="35" s="1"/>
  <c r="J184" i="1"/>
  <c r="K175" i="35" s="1"/>
  <c r="I184" i="1"/>
  <c r="H184" i="1"/>
  <c r="G184" i="1"/>
  <c r="Q183" i="1"/>
  <c r="R174" i="35" s="1"/>
  <c r="P183" i="1"/>
  <c r="Q174" i="35" s="1"/>
  <c r="O183" i="1"/>
  <c r="P174" i="35" s="1"/>
  <c r="N183" i="1"/>
  <c r="O174" i="35" s="1"/>
  <c r="M183" i="1"/>
  <c r="N174" i="35" s="1"/>
  <c r="L183" i="1"/>
  <c r="M174" i="35" s="1"/>
  <c r="K183" i="1"/>
  <c r="L174" i="35" s="1"/>
  <c r="J183" i="1"/>
  <c r="K174" i="35" s="1"/>
  <c r="I183" i="1"/>
  <c r="H183" i="1"/>
  <c r="G183" i="1"/>
  <c r="Q182" i="1"/>
  <c r="R173" i="35" s="1"/>
  <c r="P182" i="1"/>
  <c r="Q173" i="35" s="1"/>
  <c r="O182" i="1"/>
  <c r="P173" i="35" s="1"/>
  <c r="N182" i="1"/>
  <c r="O173" i="35" s="1"/>
  <c r="M182" i="1"/>
  <c r="N173" i="35" s="1"/>
  <c r="L182" i="1"/>
  <c r="M173" i="35" s="1"/>
  <c r="K182" i="1"/>
  <c r="L173" i="35" s="1"/>
  <c r="J182" i="1"/>
  <c r="K173" i="35" s="1"/>
  <c r="I182" i="1"/>
  <c r="H182" i="1"/>
  <c r="G182" i="1"/>
  <c r="Q181" i="1"/>
  <c r="R172" i="35" s="1"/>
  <c r="P181" i="1"/>
  <c r="Q172" i="35" s="1"/>
  <c r="O181" i="1"/>
  <c r="P172" i="35" s="1"/>
  <c r="N181" i="1"/>
  <c r="O172" i="35" s="1"/>
  <c r="M181" i="1"/>
  <c r="N172" i="35" s="1"/>
  <c r="L181" i="1"/>
  <c r="M172" i="35" s="1"/>
  <c r="K181" i="1"/>
  <c r="L172" i="35" s="1"/>
  <c r="J181" i="1"/>
  <c r="K172" i="35" s="1"/>
  <c r="I181" i="1"/>
  <c r="H181" i="1"/>
  <c r="G181" i="1"/>
  <c r="Q180" i="1"/>
  <c r="R171" i="35" s="1"/>
  <c r="P180" i="1"/>
  <c r="Q171" i="35" s="1"/>
  <c r="O180" i="1"/>
  <c r="P171" i="35" s="1"/>
  <c r="N180" i="1"/>
  <c r="O171" i="35" s="1"/>
  <c r="M180" i="1"/>
  <c r="N171" i="35" s="1"/>
  <c r="L180" i="1"/>
  <c r="M171" i="35" s="1"/>
  <c r="K180" i="1"/>
  <c r="L171" i="35" s="1"/>
  <c r="J180" i="1"/>
  <c r="K171" i="35" s="1"/>
  <c r="I180" i="1"/>
  <c r="H180" i="1"/>
  <c r="G180" i="1"/>
  <c r="Q179" i="1"/>
  <c r="R170" i="35" s="1"/>
  <c r="P179" i="1"/>
  <c r="Q170" i="35" s="1"/>
  <c r="O179" i="1"/>
  <c r="P170" i="35" s="1"/>
  <c r="N179" i="1"/>
  <c r="O170" i="35" s="1"/>
  <c r="M179" i="1"/>
  <c r="N170" i="35" s="1"/>
  <c r="L179" i="1"/>
  <c r="M170" i="35" s="1"/>
  <c r="K179" i="1"/>
  <c r="L170" i="35" s="1"/>
  <c r="J179" i="1"/>
  <c r="K170" i="35" s="1"/>
  <c r="I179" i="1"/>
  <c r="H179" i="1"/>
  <c r="G179" i="1"/>
  <c r="Q178" i="1"/>
  <c r="R169" i="35" s="1"/>
  <c r="P178" i="1"/>
  <c r="Q169" i="35" s="1"/>
  <c r="O178" i="1"/>
  <c r="P169" i="35" s="1"/>
  <c r="N178" i="1"/>
  <c r="O169" i="35" s="1"/>
  <c r="M178" i="1"/>
  <c r="N169" i="35" s="1"/>
  <c r="L178" i="1"/>
  <c r="M169" i="35" s="1"/>
  <c r="K178" i="1"/>
  <c r="L169" i="35" s="1"/>
  <c r="J178" i="1"/>
  <c r="K169" i="35" s="1"/>
  <c r="I178" i="1"/>
  <c r="H178" i="1"/>
  <c r="G178" i="1"/>
  <c r="Q177" i="1"/>
  <c r="R168" i="35" s="1"/>
  <c r="P177" i="1"/>
  <c r="Q168" i="35" s="1"/>
  <c r="O177" i="1"/>
  <c r="P168" i="35" s="1"/>
  <c r="N177" i="1"/>
  <c r="O168" i="35" s="1"/>
  <c r="M177" i="1"/>
  <c r="N168" i="35" s="1"/>
  <c r="L177" i="1"/>
  <c r="M168" i="35" s="1"/>
  <c r="K177" i="1"/>
  <c r="J177" i="1"/>
  <c r="K168" i="35" s="1"/>
  <c r="I177" i="1"/>
  <c r="H177" i="1"/>
  <c r="G177" i="1"/>
  <c r="Q176" i="1"/>
  <c r="R167" i="35" s="1"/>
  <c r="P176" i="1"/>
  <c r="O176" i="1"/>
  <c r="P167" i="35" s="1"/>
  <c r="N176" i="1"/>
  <c r="O167" i="35" s="1"/>
  <c r="M176" i="1"/>
  <c r="N167" i="35" s="1"/>
  <c r="L176" i="1"/>
  <c r="M167" i="35" s="1"/>
  <c r="K176" i="1"/>
  <c r="L167" i="35" s="1"/>
  <c r="J176" i="1"/>
  <c r="K167" i="35" s="1"/>
  <c r="I176" i="1"/>
  <c r="H176" i="1"/>
  <c r="G176" i="1"/>
  <c r="Q175" i="1"/>
  <c r="R166" i="35" s="1"/>
  <c r="P175" i="1"/>
  <c r="Q166" i="35" s="1"/>
  <c r="O175" i="1"/>
  <c r="P166" i="35" s="1"/>
  <c r="N175" i="1"/>
  <c r="O166" i="35" s="1"/>
  <c r="M175" i="1"/>
  <c r="N166" i="35" s="1"/>
  <c r="L175" i="1"/>
  <c r="M166" i="35" s="1"/>
  <c r="K175" i="1"/>
  <c r="L166" i="35" s="1"/>
  <c r="J175" i="1"/>
  <c r="I175" i="1"/>
  <c r="H175" i="1"/>
  <c r="G175" i="1"/>
  <c r="Q174" i="1"/>
  <c r="R165" i="35" s="1"/>
  <c r="P174" i="1"/>
  <c r="Q165" i="35" s="1"/>
  <c r="O174" i="1"/>
  <c r="P165" i="35" s="1"/>
  <c r="N174" i="1"/>
  <c r="O165" i="35" s="1"/>
  <c r="M174" i="1"/>
  <c r="N165" i="35" s="1"/>
  <c r="L174" i="1"/>
  <c r="M165" i="35" s="1"/>
  <c r="K174" i="1"/>
  <c r="L165" i="35" s="1"/>
  <c r="J174" i="1"/>
  <c r="K165" i="35" s="1"/>
  <c r="I174" i="1"/>
  <c r="H174" i="1"/>
  <c r="G174" i="1"/>
  <c r="Q173" i="1"/>
  <c r="R164" i="35" s="1"/>
  <c r="P173" i="1"/>
  <c r="Q164" i="35" s="1"/>
  <c r="O173" i="1"/>
  <c r="P164" i="35" s="1"/>
  <c r="N173" i="1"/>
  <c r="O164" i="35" s="1"/>
  <c r="M173" i="1"/>
  <c r="N164" i="35" s="1"/>
  <c r="L173" i="1"/>
  <c r="M164" i="35" s="1"/>
  <c r="K173" i="1"/>
  <c r="L164" i="35" s="1"/>
  <c r="J173" i="1"/>
  <c r="K164" i="35" s="1"/>
  <c r="I173" i="1"/>
  <c r="H173" i="1"/>
  <c r="G173" i="1"/>
  <c r="Q172" i="1"/>
  <c r="R163" i="35" s="1"/>
  <c r="P172" i="1"/>
  <c r="Q163" i="35" s="1"/>
  <c r="O172" i="1"/>
  <c r="P163" i="35" s="1"/>
  <c r="N172" i="1"/>
  <c r="M172" i="1"/>
  <c r="N163" i="35" s="1"/>
  <c r="L172" i="1"/>
  <c r="M163" i="35" s="1"/>
  <c r="K172" i="1"/>
  <c r="L163" i="35" s="1"/>
  <c r="J172" i="1"/>
  <c r="K163" i="35" s="1"/>
  <c r="I172" i="1"/>
  <c r="H172" i="1"/>
  <c r="G172" i="1"/>
  <c r="R143" i="35"/>
  <c r="Q143" i="35"/>
  <c r="P143" i="35"/>
  <c r="O143" i="35"/>
  <c r="N143" i="35"/>
  <c r="M143" i="35"/>
  <c r="R141" i="35"/>
  <c r="Q141" i="35"/>
  <c r="P141" i="35"/>
  <c r="O141" i="35"/>
  <c r="N141" i="35"/>
  <c r="M141" i="35"/>
  <c r="K141" i="35"/>
  <c r="Q140" i="35"/>
  <c r="P140" i="35"/>
  <c r="O140" i="35"/>
  <c r="N140" i="35"/>
  <c r="M140" i="35"/>
  <c r="L140" i="35"/>
  <c r="K140" i="35"/>
  <c r="R139" i="35"/>
  <c r="Q139" i="35"/>
  <c r="P139" i="35"/>
  <c r="O139" i="35"/>
  <c r="N139" i="35"/>
  <c r="M139" i="35"/>
  <c r="L139" i="35"/>
  <c r="K139" i="35"/>
  <c r="Q145" i="1"/>
  <c r="R135" i="35" s="1"/>
  <c r="P145" i="1"/>
  <c r="Q135" i="35" s="1"/>
  <c r="O145" i="1"/>
  <c r="P135" i="35" s="1"/>
  <c r="N145" i="1"/>
  <c r="O135" i="35" s="1"/>
  <c r="M145" i="1"/>
  <c r="N135" i="35" s="1"/>
  <c r="L145" i="1"/>
  <c r="M135" i="35" s="1"/>
  <c r="K145" i="1"/>
  <c r="L135" i="35" s="1"/>
  <c r="J145" i="1"/>
  <c r="K135" i="35" s="1"/>
  <c r="I145" i="1"/>
  <c r="H145" i="1"/>
  <c r="G145" i="1"/>
  <c r="Q144" i="1"/>
  <c r="R134" i="35" s="1"/>
  <c r="P144" i="1"/>
  <c r="Q134" i="35" s="1"/>
  <c r="O144" i="1"/>
  <c r="P134" i="35" s="1"/>
  <c r="N144" i="1"/>
  <c r="O134" i="35" s="1"/>
  <c r="M144" i="1"/>
  <c r="L144" i="1"/>
  <c r="M134" i="35" s="1"/>
  <c r="K144" i="1"/>
  <c r="L134" i="35" s="1"/>
  <c r="J144" i="1"/>
  <c r="K134" i="35" s="1"/>
  <c r="I144" i="1"/>
  <c r="H144" i="1"/>
  <c r="G144" i="1"/>
  <c r="Q143" i="1"/>
  <c r="R133" i="35" s="1"/>
  <c r="P143" i="1"/>
  <c r="Q133" i="35" s="1"/>
  <c r="O143" i="1"/>
  <c r="P133" i="35" s="1"/>
  <c r="N143" i="1"/>
  <c r="O133" i="35" s="1"/>
  <c r="M143" i="1"/>
  <c r="N133" i="35" s="1"/>
  <c r="L143" i="1"/>
  <c r="M133" i="35" s="1"/>
  <c r="K143" i="1"/>
  <c r="L133" i="35" s="1"/>
  <c r="J143" i="1"/>
  <c r="K133" i="35" s="1"/>
  <c r="I143" i="1"/>
  <c r="H143" i="1"/>
  <c r="G143" i="1"/>
  <c r="R262" i="35"/>
  <c r="Q262" i="35"/>
  <c r="P262" i="35"/>
  <c r="O262" i="35"/>
  <c r="N262" i="35"/>
  <c r="M262" i="35"/>
  <c r="L262" i="35"/>
  <c r="K262" i="35"/>
  <c r="R126" i="35"/>
  <c r="Q126" i="35"/>
  <c r="P126" i="35"/>
  <c r="O126" i="35"/>
  <c r="N126" i="35"/>
  <c r="M126" i="35"/>
  <c r="L126" i="35"/>
  <c r="K126" i="35"/>
  <c r="R125" i="35"/>
  <c r="Q125" i="35"/>
  <c r="P125" i="35"/>
  <c r="O125" i="35"/>
  <c r="N125" i="35"/>
  <c r="M125" i="35"/>
  <c r="L125" i="35"/>
  <c r="K125" i="35"/>
  <c r="R123" i="35"/>
  <c r="Q123" i="35"/>
  <c r="P123" i="35"/>
  <c r="O123" i="35"/>
  <c r="N123" i="35"/>
  <c r="M123" i="35"/>
  <c r="L123" i="35"/>
  <c r="K123" i="35"/>
  <c r="R122" i="35"/>
  <c r="Q122" i="35"/>
  <c r="P122" i="35"/>
  <c r="O122" i="35"/>
  <c r="N122" i="35"/>
  <c r="M122" i="35"/>
  <c r="L122" i="35"/>
  <c r="K122" i="35"/>
  <c r="R121" i="35"/>
  <c r="Q121" i="35"/>
  <c r="P121" i="35"/>
  <c r="O121" i="35"/>
  <c r="N121" i="35"/>
  <c r="M121" i="35"/>
  <c r="L121" i="35"/>
  <c r="K121" i="35"/>
  <c r="R118" i="35"/>
  <c r="Q118" i="35"/>
  <c r="P118" i="35"/>
  <c r="N118" i="35"/>
  <c r="M118" i="35"/>
  <c r="L118" i="35"/>
  <c r="K118" i="35"/>
  <c r="R116" i="35"/>
  <c r="Q116" i="35"/>
  <c r="P116" i="35"/>
  <c r="O116" i="35"/>
  <c r="N116" i="35"/>
  <c r="M116" i="35"/>
  <c r="L116" i="35"/>
  <c r="R115" i="35"/>
  <c r="Q115" i="35"/>
  <c r="P115" i="35"/>
  <c r="O115" i="35"/>
  <c r="N115" i="35"/>
  <c r="L115" i="35"/>
  <c r="K115" i="35"/>
  <c r="R113" i="35"/>
  <c r="Q113" i="35"/>
  <c r="P113" i="35"/>
  <c r="O113" i="35"/>
  <c r="N113" i="35"/>
  <c r="M113" i="35"/>
  <c r="L113" i="35"/>
  <c r="K113" i="35"/>
  <c r="R112" i="35"/>
  <c r="Q112" i="35"/>
  <c r="P112" i="35"/>
  <c r="O112" i="35"/>
  <c r="N112" i="35"/>
  <c r="M112" i="35"/>
  <c r="L112" i="35"/>
  <c r="K112" i="35"/>
  <c r="R111" i="35"/>
  <c r="Q111" i="35"/>
  <c r="P111" i="35"/>
  <c r="O111" i="35"/>
  <c r="N111" i="35"/>
  <c r="M111" i="35"/>
  <c r="L111" i="35"/>
  <c r="K111" i="35"/>
  <c r="R110" i="35"/>
  <c r="Q110" i="35"/>
  <c r="P110" i="35"/>
  <c r="O110" i="35"/>
  <c r="N110" i="35"/>
  <c r="M110" i="35"/>
  <c r="L110" i="35"/>
  <c r="K110" i="35"/>
  <c r="R109" i="35"/>
  <c r="Q109" i="35"/>
  <c r="P109" i="35"/>
  <c r="O109" i="35"/>
  <c r="N109" i="35"/>
  <c r="M109" i="35"/>
  <c r="L109" i="35"/>
  <c r="K109" i="35"/>
  <c r="R108" i="35"/>
  <c r="Q108" i="35"/>
  <c r="P108" i="35"/>
  <c r="O108" i="35"/>
  <c r="N108" i="35"/>
  <c r="M108" i="35"/>
  <c r="L108" i="35"/>
  <c r="R107" i="35"/>
  <c r="Q107" i="35"/>
  <c r="P107" i="35"/>
  <c r="O107" i="35"/>
  <c r="N107" i="35"/>
  <c r="L107" i="35"/>
  <c r="K107" i="35"/>
  <c r="Q108" i="1"/>
  <c r="R106" i="35" s="1"/>
  <c r="P108" i="1"/>
  <c r="Q106" i="35" s="1"/>
  <c r="O108" i="1"/>
  <c r="P106" i="35" s="1"/>
  <c r="N108" i="1"/>
  <c r="M108" i="1"/>
  <c r="N106" i="35" s="1"/>
  <c r="L108" i="1"/>
  <c r="M106" i="35" s="1"/>
  <c r="K108" i="1"/>
  <c r="L106" i="35" s="1"/>
  <c r="J108" i="1"/>
  <c r="K106" i="35" s="1"/>
  <c r="I108" i="1"/>
  <c r="H108" i="1"/>
  <c r="G108" i="1"/>
  <c r="Q107" i="1"/>
  <c r="R105" i="35" s="1"/>
  <c r="P107" i="1"/>
  <c r="Q105" i="35" s="1"/>
  <c r="O107" i="1"/>
  <c r="P105" i="35" s="1"/>
  <c r="N107" i="1"/>
  <c r="O105" i="35" s="1"/>
  <c r="M107" i="1"/>
  <c r="N105" i="35" s="1"/>
  <c r="L107" i="1"/>
  <c r="M105" i="35" s="1"/>
  <c r="K107" i="1"/>
  <c r="L105" i="35" s="1"/>
  <c r="J107" i="1"/>
  <c r="K105" i="35" s="1"/>
  <c r="I107" i="1"/>
  <c r="H107" i="1"/>
  <c r="G107" i="1"/>
  <c r="Q106" i="1"/>
  <c r="R104" i="35" s="1"/>
  <c r="P106" i="1"/>
  <c r="Q104" i="35" s="1"/>
  <c r="O106" i="1"/>
  <c r="P104" i="35" s="1"/>
  <c r="N106" i="1"/>
  <c r="O104" i="35" s="1"/>
  <c r="M106" i="1"/>
  <c r="N104" i="35" s="1"/>
  <c r="L106" i="1"/>
  <c r="M104" i="35" s="1"/>
  <c r="K106" i="1"/>
  <c r="L104" i="35" s="1"/>
  <c r="J106" i="1"/>
  <c r="K104" i="35" s="1"/>
  <c r="H106" i="1"/>
  <c r="G106" i="1"/>
  <c r="Q105" i="1"/>
  <c r="R102" i="35" s="1"/>
  <c r="P105" i="1"/>
  <c r="Q102" i="35" s="1"/>
  <c r="O105" i="1"/>
  <c r="P102" i="35" s="1"/>
  <c r="N105" i="1"/>
  <c r="O102" i="35" s="1"/>
  <c r="M105" i="1"/>
  <c r="N102" i="35" s="1"/>
  <c r="L105" i="1"/>
  <c r="M102" i="35" s="1"/>
  <c r="K105" i="1"/>
  <c r="J105" i="1"/>
  <c r="K102" i="35" s="1"/>
  <c r="I105" i="1"/>
  <c r="H105" i="1"/>
  <c r="G105" i="1"/>
  <c r="Q104" i="1"/>
  <c r="R101" i="35" s="1"/>
  <c r="P104" i="1"/>
  <c r="Q101" i="35" s="1"/>
  <c r="O104" i="1"/>
  <c r="P101" i="35" s="1"/>
  <c r="N104" i="1"/>
  <c r="O101" i="35" s="1"/>
  <c r="M104" i="1"/>
  <c r="N101" i="35" s="1"/>
  <c r="L104" i="1"/>
  <c r="M101" i="35" s="1"/>
  <c r="K104" i="1"/>
  <c r="L101" i="35" s="1"/>
  <c r="J104" i="1"/>
  <c r="K101" i="35" s="1"/>
  <c r="I104" i="1"/>
  <c r="H104" i="1"/>
  <c r="G104" i="1"/>
  <c r="Q103" i="1"/>
  <c r="R100" i="35" s="1"/>
  <c r="P103" i="1"/>
  <c r="Q100" i="35" s="1"/>
  <c r="O103" i="1"/>
  <c r="P100" i="35" s="1"/>
  <c r="N103" i="1"/>
  <c r="O100" i="35" s="1"/>
  <c r="M103" i="1"/>
  <c r="N100" i="35" s="1"/>
  <c r="L103" i="1"/>
  <c r="K103" i="1"/>
  <c r="L100" i="35" s="1"/>
  <c r="J103" i="1"/>
  <c r="K100" i="35" s="1"/>
  <c r="I103" i="1"/>
  <c r="H103" i="1"/>
  <c r="G103" i="1"/>
  <c r="Q102" i="1"/>
  <c r="R99" i="35" s="1"/>
  <c r="P102" i="1"/>
  <c r="Q99" i="35" s="1"/>
  <c r="O102" i="1"/>
  <c r="P99" i="35" s="1"/>
  <c r="N102" i="1"/>
  <c r="O99" i="35" s="1"/>
  <c r="M102" i="1"/>
  <c r="N99" i="35" s="1"/>
  <c r="L102" i="1"/>
  <c r="M99" i="35" s="1"/>
  <c r="K102" i="1"/>
  <c r="L99" i="35" s="1"/>
  <c r="J102" i="1"/>
  <c r="K99" i="35" s="1"/>
  <c r="H102" i="1"/>
  <c r="G102" i="1"/>
  <c r="Q101" i="1"/>
  <c r="R98" i="35" s="1"/>
  <c r="P101" i="1"/>
  <c r="Q98" i="35" s="1"/>
  <c r="O101" i="1"/>
  <c r="P98" i="35" s="1"/>
  <c r="N101" i="1"/>
  <c r="O98" i="35" s="1"/>
  <c r="M101" i="1"/>
  <c r="N98" i="35" s="1"/>
  <c r="L101" i="1"/>
  <c r="M98" i="35" s="1"/>
  <c r="K101" i="1"/>
  <c r="L98" i="35" s="1"/>
  <c r="J101" i="1"/>
  <c r="K98" i="35" s="1"/>
  <c r="I101" i="1"/>
  <c r="H101" i="1"/>
  <c r="G101" i="1"/>
  <c r="Q100" i="1"/>
  <c r="R97" i="35" s="1"/>
  <c r="P100" i="1"/>
  <c r="Q97" i="35" s="1"/>
  <c r="O100" i="1"/>
  <c r="P97" i="35" s="1"/>
  <c r="N100" i="1"/>
  <c r="O97" i="35" s="1"/>
  <c r="M100" i="1"/>
  <c r="L100" i="1"/>
  <c r="M97" i="35" s="1"/>
  <c r="K100" i="1"/>
  <c r="L97" i="35" s="1"/>
  <c r="J100" i="1"/>
  <c r="K97" i="35" s="1"/>
  <c r="I100" i="1"/>
  <c r="H100" i="1"/>
  <c r="G100" i="1"/>
  <c r="Q99" i="1"/>
  <c r="R95" i="35" s="1"/>
  <c r="P99" i="1"/>
  <c r="Q95" i="35" s="1"/>
  <c r="O99" i="1"/>
  <c r="P95" i="35" s="1"/>
  <c r="N99" i="1"/>
  <c r="O95" i="35" s="1"/>
  <c r="M99" i="1"/>
  <c r="N95" i="35" s="1"/>
  <c r="L99" i="1"/>
  <c r="M95" i="35" s="1"/>
  <c r="K99" i="1"/>
  <c r="L95" i="35" s="1"/>
  <c r="J99" i="1"/>
  <c r="K95" i="35" s="1"/>
  <c r="I99" i="1"/>
  <c r="H99" i="1"/>
  <c r="G99" i="1"/>
  <c r="Q98" i="1"/>
  <c r="R94" i="35" s="1"/>
  <c r="P98" i="1"/>
  <c r="Q94" i="35" s="1"/>
  <c r="O98" i="1"/>
  <c r="P94" i="35" s="1"/>
  <c r="N98" i="1"/>
  <c r="O94" i="35" s="1"/>
  <c r="M98" i="1"/>
  <c r="N94" i="35" s="1"/>
  <c r="L98" i="1"/>
  <c r="M94" i="35" s="1"/>
  <c r="K98" i="1"/>
  <c r="L94" i="35" s="1"/>
  <c r="J98" i="1"/>
  <c r="K94" i="35" s="1"/>
  <c r="I98" i="1"/>
  <c r="H98" i="1"/>
  <c r="G98" i="1"/>
  <c r="Q97" i="1"/>
  <c r="R93" i="35" s="1"/>
  <c r="P97" i="1"/>
  <c r="Q93" i="35" s="1"/>
  <c r="O97" i="1"/>
  <c r="P93" i="35" s="1"/>
  <c r="N97" i="1"/>
  <c r="O93" i="35" s="1"/>
  <c r="M97" i="1"/>
  <c r="N93" i="35" s="1"/>
  <c r="L97" i="1"/>
  <c r="M93" i="35" s="1"/>
  <c r="K97" i="1"/>
  <c r="L93" i="35" s="1"/>
  <c r="J97" i="1"/>
  <c r="K93" i="35" s="1"/>
  <c r="I97" i="1"/>
  <c r="H97" i="1"/>
  <c r="G97" i="1"/>
  <c r="Q96" i="1"/>
  <c r="R92" i="35" s="1"/>
  <c r="P96" i="1"/>
  <c r="Q92" i="35" s="1"/>
  <c r="O96" i="1"/>
  <c r="P92" i="35" s="1"/>
  <c r="N96" i="1"/>
  <c r="O92" i="35" s="1"/>
  <c r="M96" i="1"/>
  <c r="N92" i="35" s="1"/>
  <c r="L96" i="1"/>
  <c r="M92" i="35" s="1"/>
  <c r="K96" i="1"/>
  <c r="L92" i="35" s="1"/>
  <c r="J96" i="1"/>
  <c r="K92" i="35" s="1"/>
  <c r="I96" i="1"/>
  <c r="H96" i="1"/>
  <c r="G96" i="1"/>
  <c r="Q95" i="1"/>
  <c r="R91" i="35" s="1"/>
  <c r="P95" i="1"/>
  <c r="Q91" i="35" s="1"/>
  <c r="O95" i="1"/>
  <c r="P91" i="35" s="1"/>
  <c r="N95" i="1"/>
  <c r="O91" i="35" s="1"/>
  <c r="M95" i="1"/>
  <c r="N91" i="35" s="1"/>
  <c r="L95" i="1"/>
  <c r="M91" i="35" s="1"/>
  <c r="K95" i="1"/>
  <c r="L91" i="35" s="1"/>
  <c r="J95" i="1"/>
  <c r="K91" i="35" s="1"/>
  <c r="I95" i="1"/>
  <c r="H95" i="1"/>
  <c r="G95" i="1"/>
  <c r="Q93" i="1"/>
  <c r="P93" i="1"/>
  <c r="O93" i="1"/>
  <c r="N93" i="1"/>
  <c r="M93" i="1"/>
  <c r="L93" i="1"/>
  <c r="K93" i="1"/>
  <c r="J93" i="1"/>
  <c r="I93" i="1"/>
  <c r="H93" i="1"/>
  <c r="G93" i="1"/>
  <c r="Q87" i="1"/>
  <c r="R83" i="35" s="1"/>
  <c r="P87" i="1"/>
  <c r="Q83" i="35" s="1"/>
  <c r="O87" i="1"/>
  <c r="P83" i="35" s="1"/>
  <c r="N87" i="1"/>
  <c r="O83" i="35" s="1"/>
  <c r="M87" i="1"/>
  <c r="N83" i="35" s="1"/>
  <c r="L87" i="1"/>
  <c r="K87" i="1"/>
  <c r="L83" i="35" s="1"/>
  <c r="J87" i="1"/>
  <c r="K83" i="35" s="1"/>
  <c r="I87" i="1"/>
  <c r="H87" i="1"/>
  <c r="G87" i="1"/>
  <c r="Q86" i="1"/>
  <c r="R82" i="35" s="1"/>
  <c r="P86" i="1"/>
  <c r="Q82" i="35" s="1"/>
  <c r="O86" i="1"/>
  <c r="P82" i="35" s="1"/>
  <c r="N86" i="1"/>
  <c r="O82" i="35" s="1"/>
  <c r="M86" i="1"/>
  <c r="N82" i="35" s="1"/>
  <c r="L86" i="1"/>
  <c r="M82" i="35" s="1"/>
  <c r="K86" i="1"/>
  <c r="L82" i="35" s="1"/>
  <c r="J86" i="1"/>
  <c r="K82" i="35" s="1"/>
  <c r="I86" i="1"/>
  <c r="H86" i="1"/>
  <c r="G86" i="1"/>
  <c r="Q84" i="1"/>
  <c r="R80" i="35" s="1"/>
  <c r="P84" i="1"/>
  <c r="Q80" i="35" s="1"/>
  <c r="O84" i="1"/>
  <c r="P80" i="35" s="1"/>
  <c r="N84" i="1"/>
  <c r="O80" i="35" s="1"/>
  <c r="M84" i="1"/>
  <c r="N80" i="35" s="1"/>
  <c r="L84" i="1"/>
  <c r="M80" i="35" s="1"/>
  <c r="K84" i="1"/>
  <c r="L80" i="35" s="1"/>
  <c r="J84" i="1"/>
  <c r="K80" i="35" s="1"/>
  <c r="I84" i="1"/>
  <c r="H84" i="1"/>
  <c r="G84" i="1"/>
  <c r="Q82" i="1"/>
  <c r="R78" i="35" s="1"/>
  <c r="P82" i="1"/>
  <c r="Q78" i="35" s="1"/>
  <c r="O82" i="1"/>
  <c r="P78" i="35" s="1"/>
  <c r="N82" i="1"/>
  <c r="O78" i="35" s="1"/>
  <c r="M82" i="1"/>
  <c r="N78" i="35" s="1"/>
  <c r="L82" i="1"/>
  <c r="M78" i="35" s="1"/>
  <c r="K82" i="1"/>
  <c r="L78" i="35" s="1"/>
  <c r="J82" i="1"/>
  <c r="K78" i="35" s="1"/>
  <c r="I82" i="1"/>
  <c r="H82" i="1"/>
  <c r="G82" i="1"/>
  <c r="Q81" i="1"/>
  <c r="R77" i="35" s="1"/>
  <c r="P81" i="1"/>
  <c r="Q77" i="35" s="1"/>
  <c r="O81" i="1"/>
  <c r="P77" i="35" s="1"/>
  <c r="N81" i="1"/>
  <c r="O77" i="35" s="1"/>
  <c r="M81" i="1"/>
  <c r="N77" i="35" s="1"/>
  <c r="L81" i="1"/>
  <c r="M77" i="35" s="1"/>
  <c r="K81" i="1"/>
  <c r="L77" i="35" s="1"/>
  <c r="J81" i="1"/>
  <c r="K77" i="35" s="1"/>
  <c r="I81" i="1"/>
  <c r="H81" i="1"/>
  <c r="G81" i="1"/>
  <c r="H31" i="14"/>
  <c r="H33" i="14" s="1"/>
  <c r="I31" i="14"/>
  <c r="I33" i="14" s="1"/>
  <c r="J31" i="14"/>
  <c r="J33" i="14" s="1"/>
  <c r="K31" i="14"/>
  <c r="K33" i="14" s="1"/>
  <c r="L31" i="14"/>
  <c r="L33" i="14" s="1"/>
  <c r="M31" i="14"/>
  <c r="M33" i="14" s="1"/>
  <c r="N31" i="14"/>
  <c r="N33" i="14" s="1"/>
  <c r="O31" i="14"/>
  <c r="O33" i="14" s="1"/>
  <c r="D159" i="38"/>
  <c r="E158" i="38"/>
  <c r="E157" i="38"/>
  <c r="E156" i="38"/>
  <c r="E155" i="38"/>
  <c r="E154" i="38"/>
  <c r="E153" i="38"/>
  <c r="E152" i="38"/>
  <c r="E151" i="38"/>
  <c r="E149" i="38"/>
  <c r="E148" i="38"/>
  <c r="E147" i="38"/>
  <c r="E146" i="38"/>
  <c r="E145" i="38"/>
  <c r="E144" i="38"/>
  <c r="E143" i="38"/>
  <c r="E142" i="38"/>
  <c r="E141" i="38"/>
  <c r="E140" i="38"/>
  <c r="E139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E114" i="38"/>
  <c r="E113" i="38"/>
  <c r="E112" i="38"/>
  <c r="E111" i="38"/>
  <c r="E110" i="38"/>
  <c r="E109" i="38"/>
  <c r="E108" i="38"/>
  <c r="E107" i="38"/>
  <c r="E106" i="38"/>
  <c r="E103" i="38"/>
  <c r="E102" i="38"/>
  <c r="E101" i="38"/>
  <c r="E100" i="38"/>
  <c r="E99" i="38"/>
  <c r="E96" i="38"/>
  <c r="E95" i="38"/>
  <c r="E94" i="38"/>
  <c r="E93" i="38"/>
  <c r="E92" i="38"/>
  <c r="E91" i="38"/>
  <c r="E90" i="38"/>
  <c r="E89" i="38"/>
  <c r="E88" i="38"/>
  <c r="E87" i="38"/>
  <c r="E86" i="38"/>
  <c r="E85" i="38"/>
  <c r="E84" i="38"/>
  <c r="E83" i="38"/>
  <c r="E80" i="38"/>
  <c r="E79" i="38"/>
  <c r="E78" i="38"/>
  <c r="E77" i="38"/>
  <c r="E74" i="38"/>
  <c r="E73" i="38"/>
  <c r="E72" i="38"/>
  <c r="E71" i="38"/>
  <c r="E70" i="38"/>
  <c r="E69" i="38"/>
  <c r="E68" i="38"/>
  <c r="E67" i="38"/>
  <c r="E66" i="38"/>
  <c r="E65" i="38"/>
  <c r="E64" i="38"/>
  <c r="E63" i="38"/>
  <c r="E62" i="38"/>
  <c r="E61" i="38"/>
  <c r="E60" i="38"/>
  <c r="E59" i="38"/>
  <c r="E58" i="38"/>
  <c r="E57" i="38"/>
  <c r="E56" i="38"/>
  <c r="E55" i="38"/>
  <c r="E54" i="38"/>
  <c r="E53" i="38"/>
  <c r="E52" i="38"/>
  <c r="E51" i="38"/>
  <c r="E50" i="38"/>
  <c r="E49" i="38"/>
  <c r="E46" i="38"/>
  <c r="E45" i="38"/>
  <c r="E44" i="38"/>
  <c r="E41" i="38"/>
  <c r="E40" i="38"/>
  <c r="E39" i="38"/>
  <c r="E38" i="38"/>
  <c r="E37" i="38"/>
  <c r="E36" i="38"/>
  <c r="E35" i="38"/>
  <c r="E34" i="38"/>
  <c r="E33" i="38"/>
  <c r="E32" i="38"/>
  <c r="E31" i="38"/>
  <c r="E30" i="38"/>
  <c r="E29" i="38"/>
  <c r="E28" i="38"/>
  <c r="E27" i="38"/>
  <c r="E26" i="38"/>
  <c r="E25" i="38"/>
  <c r="E24" i="38"/>
  <c r="E23" i="38"/>
  <c r="E20" i="38"/>
  <c r="E17" i="38"/>
  <c r="E8" i="38"/>
  <c r="D9" i="37"/>
  <c r="D8" i="37"/>
  <c r="C38" i="36"/>
  <c r="D47" i="13"/>
  <c r="K141" i="1"/>
  <c r="L141" i="1"/>
  <c r="N141" i="1"/>
  <c r="F80" i="28"/>
  <c r="G80" i="28"/>
  <c r="D37" i="28"/>
  <c r="E37" i="28"/>
  <c r="F37" i="28"/>
  <c r="I16" i="1"/>
  <c r="H16" i="1"/>
  <c r="G16" i="1"/>
  <c r="E27" i="14"/>
  <c r="E29" i="14" s="1"/>
  <c r="F27" i="14"/>
  <c r="F29" i="14" s="1"/>
  <c r="G27" i="14"/>
  <c r="G29" i="14" s="1"/>
  <c r="E31" i="14"/>
  <c r="E33" i="14" s="1"/>
  <c r="F31" i="14"/>
  <c r="F33" i="14" s="1"/>
  <c r="G31" i="14"/>
  <c r="G33" i="14" s="1"/>
  <c r="H347" i="1"/>
  <c r="E80" i="28"/>
  <c r="G347" i="1"/>
  <c r="D80" i="28"/>
  <c r="P49" i="14"/>
  <c r="P16" i="14"/>
  <c r="F4" i="1"/>
  <c r="D314" i="1"/>
  <c r="O33" i="18"/>
  <c r="O32" i="18"/>
  <c r="O31" i="18"/>
  <c r="O30" i="18"/>
  <c r="O29" i="18"/>
  <c r="O28" i="18"/>
  <c r="O27" i="18"/>
  <c r="O24" i="18"/>
  <c r="O23" i="18"/>
  <c r="O21" i="18"/>
  <c r="Q76" i="13"/>
  <c r="Q38" i="13"/>
  <c r="O19" i="1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43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6" i="28"/>
  <c r="O41" i="28"/>
  <c r="O4" i="28"/>
  <c r="O154" i="23"/>
  <c r="O153" i="23"/>
  <c r="O152" i="23"/>
  <c r="O150" i="23"/>
  <c r="O149" i="23"/>
  <c r="O140" i="23"/>
  <c r="O139" i="23"/>
  <c r="O136" i="23"/>
  <c r="O135" i="23"/>
  <c r="O133" i="23"/>
  <c r="O132" i="23"/>
  <c r="O131" i="23"/>
  <c r="O130" i="23"/>
  <c r="O129" i="23"/>
  <c r="O128" i="23"/>
  <c r="O127" i="23"/>
  <c r="O126" i="23"/>
  <c r="O124" i="23"/>
  <c r="O123" i="23"/>
  <c r="O122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8" i="23"/>
  <c r="O97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63" i="23"/>
  <c r="O62" i="23"/>
  <c r="O61" i="23"/>
  <c r="O59" i="23"/>
  <c r="O58" i="23"/>
  <c r="O57" i="23"/>
  <c r="O50" i="23"/>
  <c r="O48" i="23"/>
  <c r="O47" i="23"/>
  <c r="O45" i="23"/>
  <c r="O44" i="23"/>
  <c r="O43" i="23"/>
  <c r="O42" i="23"/>
  <c r="O41" i="23"/>
  <c r="O40" i="23"/>
  <c r="O39" i="23"/>
  <c r="O37" i="23"/>
  <c r="O36" i="23"/>
  <c r="O34" i="23"/>
  <c r="O33" i="23"/>
  <c r="O32" i="23"/>
  <c r="O30" i="23"/>
  <c r="O29" i="23"/>
  <c r="O28" i="23"/>
  <c r="O27" i="23"/>
  <c r="O25" i="23"/>
  <c r="O22" i="23"/>
  <c r="O11" i="23"/>
  <c r="O12" i="23"/>
  <c r="O9" i="23"/>
  <c r="O7" i="23"/>
  <c r="O6" i="23"/>
  <c r="O70" i="23"/>
  <c r="O119" i="23" s="1"/>
  <c r="O146" i="23" s="1"/>
  <c r="O20" i="23"/>
  <c r="O4" i="23"/>
  <c r="P12" i="14"/>
  <c r="P11" i="14"/>
  <c r="P9" i="14"/>
  <c r="O125" i="23"/>
  <c r="L79" i="13"/>
  <c r="M146" i="1" s="1"/>
  <c r="N136" i="35" s="1"/>
  <c r="F256" i="1"/>
  <c r="F255" i="1"/>
  <c r="J248" i="35" s="1"/>
  <c r="F252" i="1"/>
  <c r="J245" i="35" s="1"/>
  <c r="F251" i="1"/>
  <c r="J244" i="35" s="1"/>
  <c r="J243" i="35"/>
  <c r="F249" i="1"/>
  <c r="J241" i="35" s="1"/>
  <c r="F248" i="1"/>
  <c r="F247" i="1"/>
  <c r="J239" i="35" s="1"/>
  <c r="J238" i="35"/>
  <c r="F246" i="1"/>
  <c r="J237" i="35" s="1"/>
  <c r="F245" i="1"/>
  <c r="J236" i="35" s="1"/>
  <c r="F244" i="1"/>
  <c r="J235" i="35" s="1"/>
  <c r="F243" i="1"/>
  <c r="J234" i="35" s="1"/>
  <c r="F242" i="1"/>
  <c r="J233" i="35" s="1"/>
  <c r="F241" i="1"/>
  <c r="J232" i="35" s="1"/>
  <c r="F240" i="1"/>
  <c r="J231" i="35" s="1"/>
  <c r="F239" i="1"/>
  <c r="J230" i="35" s="1"/>
  <c r="F238" i="1"/>
  <c r="J229" i="35" s="1"/>
  <c r="B256" i="1"/>
  <c r="A256" i="1" s="1"/>
  <c r="B143" i="35"/>
  <c r="A143" i="35"/>
  <c r="H18" i="29"/>
  <c r="F318" i="1"/>
  <c r="J315" i="35" s="1"/>
  <c r="I315" i="35"/>
  <c r="I352" i="35" s="1"/>
  <c r="J10" i="13"/>
  <c r="J12" i="13"/>
  <c r="J13" i="13"/>
  <c r="J14" i="13"/>
  <c r="J15" i="13"/>
  <c r="J16" i="13"/>
  <c r="J17" i="13"/>
  <c r="J18" i="13"/>
  <c r="J19" i="13"/>
  <c r="J20" i="13"/>
  <c r="J21" i="13"/>
  <c r="G141" i="1"/>
  <c r="H141" i="1"/>
  <c r="I141" i="1"/>
  <c r="J141" i="1"/>
  <c r="O141" i="1"/>
  <c r="P141" i="1"/>
  <c r="Q141" i="1"/>
  <c r="F143" i="1"/>
  <c r="J133" i="35" s="1"/>
  <c r="F144" i="1"/>
  <c r="J134" i="35" s="1"/>
  <c r="I135" i="35"/>
  <c r="F145" i="1"/>
  <c r="J135" i="35" s="1"/>
  <c r="H136" i="35"/>
  <c r="I136" i="35"/>
  <c r="H138" i="35"/>
  <c r="I138" i="35"/>
  <c r="H139" i="35"/>
  <c r="I139" i="35"/>
  <c r="J139" i="35"/>
  <c r="H140" i="35"/>
  <c r="I140" i="35"/>
  <c r="J140" i="35"/>
  <c r="R140" i="35"/>
  <c r="H141" i="35"/>
  <c r="I141" i="35"/>
  <c r="J141" i="35"/>
  <c r="L141" i="35"/>
  <c r="H142" i="35"/>
  <c r="C22" i="29"/>
  <c r="D27" i="14"/>
  <c r="D29" i="14" s="1"/>
  <c r="D31" i="14"/>
  <c r="D33" i="14" s="1"/>
  <c r="H27" i="14"/>
  <c r="H29" i="14" s="1"/>
  <c r="I27" i="14"/>
  <c r="I29" i="14" s="1"/>
  <c r="J27" i="14"/>
  <c r="J29" i="14" s="1"/>
  <c r="K27" i="14"/>
  <c r="K29" i="14" s="1"/>
  <c r="L27" i="14"/>
  <c r="L29" i="14" s="1"/>
  <c r="M27" i="14"/>
  <c r="M29" i="14" s="1"/>
  <c r="N27" i="14"/>
  <c r="N29" i="14" s="1"/>
  <c r="O27" i="14"/>
  <c r="O29" i="14" s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H15" i="29"/>
  <c r="H4" i="29" s="1"/>
  <c r="H16" i="29"/>
  <c r="H17" i="29"/>
  <c r="H19" i="29"/>
  <c r="H20" i="29"/>
  <c r="H7" i="29"/>
  <c r="H77" i="35"/>
  <c r="H86" i="35" s="1"/>
  <c r="H272" i="35" s="1"/>
  <c r="H274" i="35" s="1"/>
  <c r="I77" i="35"/>
  <c r="I86" i="35" s="1"/>
  <c r="I272" i="35" s="1"/>
  <c r="I274" i="35" s="1"/>
  <c r="F81" i="1"/>
  <c r="J77" i="35" s="1"/>
  <c r="H83" i="35"/>
  <c r="I83" i="35"/>
  <c r="F87" i="1"/>
  <c r="J83" i="35" s="1"/>
  <c r="H78" i="35"/>
  <c r="I78" i="35"/>
  <c r="F82" i="1"/>
  <c r="J78" i="35" s="1"/>
  <c r="H80" i="35"/>
  <c r="I80" i="35"/>
  <c r="F84" i="1"/>
  <c r="J80" i="35" s="1"/>
  <c r="H82" i="35"/>
  <c r="I82" i="35"/>
  <c r="F86" i="1"/>
  <c r="J82" i="35" s="1"/>
  <c r="H91" i="35"/>
  <c r="I91" i="35"/>
  <c r="F95" i="1"/>
  <c r="J91" i="35" s="1"/>
  <c r="H93" i="35"/>
  <c r="I93" i="35"/>
  <c r="F97" i="1"/>
  <c r="J93" i="35" s="1"/>
  <c r="H122" i="35"/>
  <c r="I122" i="35"/>
  <c r="J122" i="35"/>
  <c r="I124" i="35"/>
  <c r="H124" i="35"/>
  <c r="J118" i="35"/>
  <c r="H118" i="35"/>
  <c r="I118" i="35"/>
  <c r="H107" i="35"/>
  <c r="I107" i="35"/>
  <c r="J107" i="35"/>
  <c r="H117" i="35"/>
  <c r="I117" i="35"/>
  <c r="F93" i="1"/>
  <c r="H92" i="35"/>
  <c r="I92" i="35"/>
  <c r="F96" i="1"/>
  <c r="J92" i="35" s="1"/>
  <c r="H94" i="35"/>
  <c r="I94" i="35"/>
  <c r="F98" i="1"/>
  <c r="J94" i="35" s="1"/>
  <c r="H95" i="35"/>
  <c r="I95" i="35"/>
  <c r="F99" i="1"/>
  <c r="H96" i="35"/>
  <c r="I96" i="35"/>
  <c r="K96" i="35"/>
  <c r="L96" i="35"/>
  <c r="M96" i="35"/>
  <c r="N96" i="35"/>
  <c r="O96" i="35"/>
  <c r="P96" i="35"/>
  <c r="Q96" i="35"/>
  <c r="R96" i="35"/>
  <c r="H97" i="35"/>
  <c r="I97" i="35"/>
  <c r="F100" i="1"/>
  <c r="J97" i="35" s="1"/>
  <c r="H98" i="35"/>
  <c r="I98" i="35"/>
  <c r="F101" i="1"/>
  <c r="J98" i="35" s="1"/>
  <c r="H100" i="35"/>
  <c r="I100" i="35"/>
  <c r="F103" i="1"/>
  <c r="J100" i="35" s="1"/>
  <c r="H101" i="35"/>
  <c r="I101" i="35"/>
  <c r="F104" i="1"/>
  <c r="J101" i="35" s="1"/>
  <c r="H102" i="35"/>
  <c r="I102" i="35"/>
  <c r="F105" i="1"/>
  <c r="J102" i="35" s="1"/>
  <c r="H103" i="35"/>
  <c r="I103" i="35"/>
  <c r="K103" i="35"/>
  <c r="L103" i="35"/>
  <c r="M103" i="35"/>
  <c r="N103" i="35"/>
  <c r="O103" i="35"/>
  <c r="P103" i="35"/>
  <c r="Q103" i="35"/>
  <c r="R103" i="35"/>
  <c r="H105" i="35"/>
  <c r="I105" i="35"/>
  <c r="F107" i="1"/>
  <c r="H106" i="35"/>
  <c r="I106" i="35"/>
  <c r="F108" i="1"/>
  <c r="J106" i="35" s="1"/>
  <c r="H108" i="35"/>
  <c r="I108" i="35"/>
  <c r="J108" i="35"/>
  <c r="H109" i="35"/>
  <c r="I109" i="35"/>
  <c r="J109" i="35"/>
  <c r="H110" i="35"/>
  <c r="I110" i="35"/>
  <c r="J110" i="35"/>
  <c r="H111" i="35"/>
  <c r="I111" i="35"/>
  <c r="J111" i="35"/>
  <c r="H112" i="35"/>
  <c r="I112" i="35"/>
  <c r="J112" i="35"/>
  <c r="H113" i="35"/>
  <c r="I113" i="35"/>
  <c r="J113" i="35"/>
  <c r="H114" i="35"/>
  <c r="I114" i="35"/>
  <c r="H115" i="35"/>
  <c r="I115" i="35"/>
  <c r="J115" i="35"/>
  <c r="H116" i="35"/>
  <c r="I116" i="35"/>
  <c r="H121" i="35"/>
  <c r="I121" i="35"/>
  <c r="J121" i="35"/>
  <c r="H123" i="35"/>
  <c r="I123" i="35"/>
  <c r="J123" i="35"/>
  <c r="H125" i="35"/>
  <c r="I125" i="35"/>
  <c r="J125" i="35"/>
  <c r="H126" i="35"/>
  <c r="I126" i="35"/>
  <c r="H127" i="35"/>
  <c r="I127" i="35"/>
  <c r="H210" i="35"/>
  <c r="I210" i="35"/>
  <c r="I224" i="35" s="1"/>
  <c r="F219" i="1"/>
  <c r="J210" i="35" s="1"/>
  <c r="H212" i="35"/>
  <c r="I212" i="35"/>
  <c r="F221" i="1"/>
  <c r="H213" i="35"/>
  <c r="F222" i="1"/>
  <c r="J213" i="35" s="1"/>
  <c r="M213" i="35"/>
  <c r="P213" i="35"/>
  <c r="H216" i="35"/>
  <c r="I216" i="35"/>
  <c r="F225" i="1"/>
  <c r="J216" i="35" s="1"/>
  <c r="H217" i="35"/>
  <c r="I217" i="35"/>
  <c r="F226" i="1"/>
  <c r="J217" i="35" s="1"/>
  <c r="O217" i="35"/>
  <c r="H218" i="35"/>
  <c r="I218" i="35"/>
  <c r="F227" i="1"/>
  <c r="J218" i="35" s="1"/>
  <c r="H219" i="35"/>
  <c r="F228" i="1"/>
  <c r="J219" i="35" s="1"/>
  <c r="K219" i="35"/>
  <c r="H220" i="35"/>
  <c r="F229" i="1"/>
  <c r="J220" i="35" s="1"/>
  <c r="N220" i="35"/>
  <c r="H221" i="35"/>
  <c r="I221" i="35"/>
  <c r="F230" i="1"/>
  <c r="J221" i="35" s="1"/>
  <c r="H222" i="35"/>
  <c r="I222" i="35"/>
  <c r="F231" i="1"/>
  <c r="F16" i="1"/>
  <c r="J16" i="1"/>
  <c r="K16" i="1"/>
  <c r="L16" i="1"/>
  <c r="M16" i="1"/>
  <c r="N16" i="1"/>
  <c r="O16" i="1"/>
  <c r="P16" i="1"/>
  <c r="Q16" i="1"/>
  <c r="I163" i="35"/>
  <c r="I206" i="35" s="1"/>
  <c r="F172" i="1"/>
  <c r="J163" i="35" s="1"/>
  <c r="H163" i="35"/>
  <c r="H206" i="35" s="1"/>
  <c r="H165" i="35"/>
  <c r="I165" i="35"/>
  <c r="F174" i="1"/>
  <c r="J165" i="35" s="1"/>
  <c r="F177" i="1"/>
  <c r="J168" i="35" s="1"/>
  <c r="I168" i="35"/>
  <c r="H169" i="35"/>
  <c r="I169" i="35"/>
  <c r="F178" i="1"/>
  <c r="J169" i="35" s="1"/>
  <c r="H171" i="35"/>
  <c r="F180" i="1"/>
  <c r="J171" i="35" s="1"/>
  <c r="H182" i="35"/>
  <c r="I182" i="35"/>
  <c r="F191" i="1"/>
  <c r="J182" i="35" s="1"/>
  <c r="H186" i="35"/>
  <c r="I186" i="35"/>
  <c r="F195" i="1"/>
  <c r="J186" i="35" s="1"/>
  <c r="I187" i="35"/>
  <c r="F196" i="1"/>
  <c r="J187" i="35" s="1"/>
  <c r="H188" i="35"/>
  <c r="I188" i="35"/>
  <c r="F197" i="1"/>
  <c r="J188" i="35" s="1"/>
  <c r="H189" i="35"/>
  <c r="I189" i="35"/>
  <c r="F198" i="1"/>
  <c r="J189" i="35" s="1"/>
  <c r="H190" i="35"/>
  <c r="I190" i="35"/>
  <c r="H192" i="35"/>
  <c r="F201" i="1"/>
  <c r="J192" i="35" s="1"/>
  <c r="F203" i="1"/>
  <c r="J194" i="35" s="1"/>
  <c r="H194" i="35"/>
  <c r="F205" i="1"/>
  <c r="J196" i="35" s="1"/>
  <c r="H196" i="35"/>
  <c r="I196" i="35"/>
  <c r="I200" i="35"/>
  <c r="H200" i="35"/>
  <c r="F209" i="1"/>
  <c r="H164" i="35"/>
  <c r="I164" i="35"/>
  <c r="F173" i="1"/>
  <c r="J164" i="35" s="1"/>
  <c r="H166" i="35"/>
  <c r="I166" i="35"/>
  <c r="F175" i="1"/>
  <c r="J166" i="35" s="1"/>
  <c r="H167" i="35"/>
  <c r="I167" i="35"/>
  <c r="F176" i="1"/>
  <c r="J167" i="35" s="1"/>
  <c r="H170" i="35"/>
  <c r="I170" i="35"/>
  <c r="F179" i="1"/>
  <c r="J170" i="35" s="1"/>
  <c r="H172" i="35"/>
  <c r="I172" i="35"/>
  <c r="F181" i="1"/>
  <c r="H173" i="35"/>
  <c r="I173" i="35"/>
  <c r="F182" i="1"/>
  <c r="J173" i="35" s="1"/>
  <c r="H174" i="35"/>
  <c r="I174" i="35"/>
  <c r="F183" i="1"/>
  <c r="J174" i="35" s="1"/>
  <c r="H175" i="35"/>
  <c r="I175" i="35"/>
  <c r="F184" i="1"/>
  <c r="J175" i="35" s="1"/>
  <c r="H176" i="35"/>
  <c r="I176" i="35"/>
  <c r="F185" i="1"/>
  <c r="J176" i="35" s="1"/>
  <c r="H177" i="35"/>
  <c r="I177" i="35"/>
  <c r="F186" i="1"/>
  <c r="J177" i="35" s="1"/>
  <c r="H178" i="35"/>
  <c r="I178" i="35"/>
  <c r="F187" i="1"/>
  <c r="J178" i="35" s="1"/>
  <c r="H179" i="35"/>
  <c r="I179" i="35"/>
  <c r="F188" i="1"/>
  <c r="J179" i="35" s="1"/>
  <c r="H180" i="35"/>
  <c r="I180" i="35"/>
  <c r="F189" i="1"/>
  <c r="H181" i="35"/>
  <c r="I181" i="35"/>
  <c r="F190" i="1"/>
  <c r="J181" i="35" s="1"/>
  <c r="H183" i="35"/>
  <c r="I183" i="35"/>
  <c r="F192" i="1"/>
  <c r="J183" i="35" s="1"/>
  <c r="H184" i="35"/>
  <c r="I184" i="35"/>
  <c r="F193" i="1"/>
  <c r="J184" i="35" s="1"/>
  <c r="H185" i="35"/>
  <c r="I185" i="35"/>
  <c r="F194" i="1"/>
  <c r="J185" i="35" s="1"/>
  <c r="H191" i="35"/>
  <c r="I191" i="35"/>
  <c r="F200" i="1"/>
  <c r="J191" i="35" s="1"/>
  <c r="P191" i="35"/>
  <c r="H193" i="35"/>
  <c r="I193" i="35"/>
  <c r="F202" i="1"/>
  <c r="J193" i="35" s="1"/>
  <c r="H195" i="35"/>
  <c r="I195" i="35"/>
  <c r="F204" i="1"/>
  <c r="J195" i="35" s="1"/>
  <c r="H197" i="35"/>
  <c r="I197" i="35"/>
  <c r="F206" i="1"/>
  <c r="J197" i="35" s="1"/>
  <c r="H198" i="35"/>
  <c r="I198" i="35"/>
  <c r="F207" i="1"/>
  <c r="J198" i="35" s="1"/>
  <c r="H199" i="35"/>
  <c r="I199" i="35"/>
  <c r="F208" i="1"/>
  <c r="J199" i="35" s="1"/>
  <c r="H201" i="35"/>
  <c r="I201" i="35"/>
  <c r="F210" i="1"/>
  <c r="J201" i="35" s="1"/>
  <c r="H202" i="35"/>
  <c r="I202" i="35"/>
  <c r="F211" i="1"/>
  <c r="J202" i="35" s="1"/>
  <c r="H203" i="35"/>
  <c r="I203" i="35"/>
  <c r="F212" i="1"/>
  <c r="J203" i="35" s="1"/>
  <c r="H204" i="35"/>
  <c r="I204" i="35"/>
  <c r="F213" i="1"/>
  <c r="H229" i="35"/>
  <c r="I229" i="35"/>
  <c r="G232" i="35"/>
  <c r="S232" i="35" s="1"/>
  <c r="I232" i="35"/>
  <c r="H236" i="35"/>
  <c r="I236" i="35"/>
  <c r="I237" i="35"/>
  <c r="G240" i="35"/>
  <c r="S240" i="35" s="1"/>
  <c r="I240" i="35"/>
  <c r="G228" i="35"/>
  <c r="G250" i="35" s="1"/>
  <c r="H228" i="35"/>
  <c r="I228" i="35"/>
  <c r="I250" i="35" s="1"/>
  <c r="G230" i="35"/>
  <c r="S230" i="35" s="1"/>
  <c r="G231" i="35"/>
  <c r="S231" i="35" s="1"/>
  <c r="I231" i="35"/>
  <c r="G233" i="35"/>
  <c r="S233" i="35" s="1"/>
  <c r="I233" i="35"/>
  <c r="I234" i="35"/>
  <c r="G235" i="35"/>
  <c r="S235" i="35" s="1"/>
  <c r="I235" i="35"/>
  <c r="G238" i="35"/>
  <c r="S238" i="35" s="1"/>
  <c r="I238" i="35"/>
  <c r="G239" i="35"/>
  <c r="S239" i="35" s="1"/>
  <c r="I239" i="35"/>
  <c r="G243" i="35"/>
  <c r="S243" i="35" s="1"/>
  <c r="I243" i="35"/>
  <c r="G244" i="35"/>
  <c r="S244" i="35" s="1"/>
  <c r="I244" i="35"/>
  <c r="G245" i="35"/>
  <c r="S245" i="35" s="1"/>
  <c r="I245" i="35"/>
  <c r="G247" i="35"/>
  <c r="S247" i="35" s="1"/>
  <c r="I247" i="35"/>
  <c r="G248" i="35"/>
  <c r="S248" i="35" s="1"/>
  <c r="H255" i="35"/>
  <c r="I255" i="35"/>
  <c r="F266" i="1"/>
  <c r="J255" i="35" s="1"/>
  <c r="H256" i="35"/>
  <c r="I256" i="35"/>
  <c r="K256" i="35"/>
  <c r="L256" i="35"/>
  <c r="M256" i="35"/>
  <c r="N256" i="35"/>
  <c r="P256" i="35"/>
  <c r="Q256" i="35"/>
  <c r="R256" i="35"/>
  <c r="H257" i="35"/>
  <c r="I257" i="35"/>
  <c r="K257" i="35"/>
  <c r="L257" i="35"/>
  <c r="M257" i="35"/>
  <c r="N257" i="35"/>
  <c r="O257" i="35"/>
  <c r="P257" i="35"/>
  <c r="Q257" i="35"/>
  <c r="R257" i="35"/>
  <c r="H258" i="35"/>
  <c r="I258" i="35"/>
  <c r="F267" i="1"/>
  <c r="J258" i="35" s="1"/>
  <c r="H259" i="35"/>
  <c r="I259" i="35"/>
  <c r="K259" i="35"/>
  <c r="L259" i="35"/>
  <c r="M259" i="35"/>
  <c r="N259" i="35"/>
  <c r="O259" i="35"/>
  <c r="P259" i="35"/>
  <c r="Q259" i="35"/>
  <c r="R259" i="35"/>
  <c r="H261" i="35"/>
  <c r="I261" i="35"/>
  <c r="K261" i="35"/>
  <c r="L261" i="35"/>
  <c r="M261" i="35"/>
  <c r="N261" i="35"/>
  <c r="O261" i="35"/>
  <c r="P261" i="35"/>
  <c r="Q261" i="35"/>
  <c r="R261" i="35"/>
  <c r="H262" i="35"/>
  <c r="I262" i="35"/>
  <c r="J262" i="35"/>
  <c r="H263" i="35"/>
  <c r="I263" i="35"/>
  <c r="K263" i="35"/>
  <c r="L263" i="35"/>
  <c r="M263" i="35"/>
  <c r="N263" i="35"/>
  <c r="O263" i="35"/>
  <c r="Q263" i="35"/>
  <c r="R263" i="35"/>
  <c r="I264" i="35"/>
  <c r="F269" i="1"/>
  <c r="J264" i="35" s="1"/>
  <c r="H265" i="35"/>
  <c r="I265" i="35"/>
  <c r="F270" i="1"/>
  <c r="J265" i="35" s="1"/>
  <c r="H266" i="35"/>
  <c r="F271" i="1"/>
  <c r="J266" i="35" s="1"/>
  <c r="I278" i="35"/>
  <c r="I311" i="35" s="1"/>
  <c r="F283" i="1"/>
  <c r="J278" i="35" s="1"/>
  <c r="H279" i="35"/>
  <c r="I279" i="35"/>
  <c r="F284" i="1"/>
  <c r="J279" i="35" s="1"/>
  <c r="H280" i="35"/>
  <c r="I280" i="35"/>
  <c r="F285" i="1"/>
  <c r="H281" i="35"/>
  <c r="I281" i="35"/>
  <c r="F286" i="1"/>
  <c r="J281" i="35" s="1"/>
  <c r="O281" i="35"/>
  <c r="I282" i="35"/>
  <c r="F287" i="1"/>
  <c r="J282" i="35" s="1"/>
  <c r="H283" i="35"/>
  <c r="I283" i="35"/>
  <c r="F288" i="1"/>
  <c r="J283" i="35" s="1"/>
  <c r="H284" i="35"/>
  <c r="I284" i="35"/>
  <c r="F289" i="1"/>
  <c r="J284" i="35" s="1"/>
  <c r="H285" i="35"/>
  <c r="I285" i="35"/>
  <c r="F290" i="1"/>
  <c r="J285" i="35" s="1"/>
  <c r="I286" i="35"/>
  <c r="F291" i="1"/>
  <c r="J286" i="35" s="1"/>
  <c r="H287" i="35"/>
  <c r="I287" i="35"/>
  <c r="F292" i="1"/>
  <c r="J287" i="35" s="1"/>
  <c r="H288" i="35"/>
  <c r="I288" i="35"/>
  <c r="F293" i="1"/>
  <c r="J288" i="35" s="1"/>
  <c r="H289" i="35"/>
  <c r="I289" i="35"/>
  <c r="F294" i="1"/>
  <c r="J289" i="35" s="1"/>
  <c r="I290" i="35"/>
  <c r="F295" i="1"/>
  <c r="H291" i="35"/>
  <c r="I291" i="35"/>
  <c r="F296" i="1"/>
  <c r="J291" i="35" s="1"/>
  <c r="H292" i="35"/>
  <c r="I292" i="35"/>
  <c r="F297" i="1"/>
  <c r="J292" i="35" s="1"/>
  <c r="H293" i="35"/>
  <c r="I293" i="35"/>
  <c r="F298" i="1"/>
  <c r="J293" i="35" s="1"/>
  <c r="O293" i="35"/>
  <c r="I294" i="35"/>
  <c r="F299" i="1"/>
  <c r="J294" i="35" s="1"/>
  <c r="H295" i="35"/>
  <c r="F300" i="1"/>
  <c r="J295" i="35" s="1"/>
  <c r="K295" i="35"/>
  <c r="H296" i="35"/>
  <c r="I296" i="35"/>
  <c r="F301" i="1"/>
  <c r="J296" i="35" s="1"/>
  <c r="H297" i="35"/>
  <c r="I297" i="35"/>
  <c r="F302" i="1"/>
  <c r="J297" i="35" s="1"/>
  <c r="O297" i="35"/>
  <c r="H298" i="35"/>
  <c r="I298" i="35"/>
  <c r="J298" i="35"/>
  <c r="H299" i="35"/>
  <c r="K299" i="35"/>
  <c r="L299" i="35"/>
  <c r="M299" i="35"/>
  <c r="N299" i="35"/>
  <c r="O299" i="35"/>
  <c r="P299" i="35"/>
  <c r="Q299" i="35"/>
  <c r="R299" i="35"/>
  <c r="H300" i="35"/>
  <c r="I300" i="35"/>
  <c r="F303" i="1"/>
  <c r="J300" i="35" s="1"/>
  <c r="H301" i="35"/>
  <c r="F304" i="1"/>
  <c r="L301" i="35"/>
  <c r="H302" i="35"/>
  <c r="I302" i="35"/>
  <c r="F305" i="1"/>
  <c r="J302" i="35" s="1"/>
  <c r="H303" i="35"/>
  <c r="I303" i="35"/>
  <c r="F306" i="1"/>
  <c r="J303" i="35" s="1"/>
  <c r="I304" i="35"/>
  <c r="F307" i="1"/>
  <c r="J304" i="35" s="1"/>
  <c r="H305" i="35"/>
  <c r="I305" i="35"/>
  <c r="F308" i="1"/>
  <c r="H306" i="35"/>
  <c r="I306" i="35"/>
  <c r="F309" i="1"/>
  <c r="J306" i="35" s="1"/>
  <c r="H307" i="35"/>
  <c r="I307" i="35"/>
  <c r="F310" i="1"/>
  <c r="J307" i="35" s="1"/>
  <c r="H308" i="35"/>
  <c r="I308" i="35"/>
  <c r="F311" i="1"/>
  <c r="J308" i="35" s="1"/>
  <c r="H309" i="35"/>
  <c r="I309" i="35"/>
  <c r="F312" i="1"/>
  <c r="J309" i="35" s="1"/>
  <c r="I316" i="35"/>
  <c r="F319" i="1"/>
  <c r="J316" i="35" s="1"/>
  <c r="H317" i="35"/>
  <c r="I317" i="35"/>
  <c r="F320" i="1"/>
  <c r="J317" i="35" s="1"/>
  <c r="H318" i="35"/>
  <c r="I318" i="35"/>
  <c r="F321" i="1"/>
  <c r="J318" i="35" s="1"/>
  <c r="H319" i="35"/>
  <c r="I319" i="35"/>
  <c r="F322" i="1"/>
  <c r="J319" i="35" s="1"/>
  <c r="H320" i="35"/>
  <c r="I320" i="35"/>
  <c r="F323" i="1"/>
  <c r="J320" i="35" s="1"/>
  <c r="I321" i="35"/>
  <c r="F324" i="1"/>
  <c r="J321" i="35" s="1"/>
  <c r="H322" i="35"/>
  <c r="I322" i="35"/>
  <c r="F325" i="1"/>
  <c r="J322" i="35" s="1"/>
  <c r="H323" i="35"/>
  <c r="I323" i="35"/>
  <c r="F326" i="1"/>
  <c r="J323" i="35" s="1"/>
  <c r="O323" i="35"/>
  <c r="H324" i="35"/>
  <c r="I324" i="35"/>
  <c r="F327" i="1"/>
  <c r="J324" i="35" s="1"/>
  <c r="H325" i="35"/>
  <c r="I325" i="35"/>
  <c r="F328" i="1"/>
  <c r="J325" i="35" s="1"/>
  <c r="H326" i="35"/>
  <c r="I326" i="35"/>
  <c r="F329" i="1"/>
  <c r="J326" i="35" s="1"/>
  <c r="H327" i="35"/>
  <c r="I327" i="35"/>
  <c r="F330" i="1"/>
  <c r="J327" i="35" s="1"/>
  <c r="H328" i="35"/>
  <c r="I328" i="35"/>
  <c r="F331" i="1"/>
  <c r="J328" i="35" s="1"/>
  <c r="H329" i="35"/>
  <c r="I329" i="35"/>
  <c r="F332" i="1"/>
  <c r="J329" i="35" s="1"/>
  <c r="H330" i="35"/>
  <c r="I330" i="35"/>
  <c r="F333" i="1"/>
  <c r="J330" i="35" s="1"/>
  <c r="H331" i="35"/>
  <c r="I331" i="35"/>
  <c r="F334" i="1"/>
  <c r="J331" i="35" s="1"/>
  <c r="H332" i="35"/>
  <c r="I332" i="35"/>
  <c r="F335" i="1"/>
  <c r="J332" i="35" s="1"/>
  <c r="H333" i="35"/>
  <c r="I333" i="35"/>
  <c r="F336" i="1"/>
  <c r="J333" i="35" s="1"/>
  <c r="H334" i="35"/>
  <c r="I334" i="35"/>
  <c r="F337" i="1"/>
  <c r="J334" i="35" s="1"/>
  <c r="H335" i="35"/>
  <c r="I335" i="35"/>
  <c r="F338" i="1"/>
  <c r="J335" i="35" s="1"/>
  <c r="H336" i="35"/>
  <c r="I336" i="35"/>
  <c r="F339" i="1"/>
  <c r="J336" i="35" s="1"/>
  <c r="P336" i="35"/>
  <c r="H337" i="35"/>
  <c r="I337" i="35"/>
  <c r="F340" i="1"/>
  <c r="H339" i="35"/>
  <c r="I339" i="35"/>
  <c r="F342" i="1"/>
  <c r="J339" i="35" s="1"/>
  <c r="O339" i="35"/>
  <c r="H340" i="35"/>
  <c r="I340" i="35"/>
  <c r="F343" i="1"/>
  <c r="J340" i="35" s="1"/>
  <c r="H341" i="35"/>
  <c r="I341" i="35"/>
  <c r="F344" i="1"/>
  <c r="J341" i="35" s="1"/>
  <c r="H342" i="35"/>
  <c r="I342" i="35"/>
  <c r="F345" i="1"/>
  <c r="H343" i="35"/>
  <c r="I343" i="35"/>
  <c r="F346" i="1"/>
  <c r="J343" i="35" s="1"/>
  <c r="M343" i="35"/>
  <c r="I344" i="35"/>
  <c r="F347" i="1"/>
  <c r="J344" i="35" s="1"/>
  <c r="I345" i="35"/>
  <c r="F348" i="1"/>
  <c r="J345" i="35" s="1"/>
  <c r="O345" i="35"/>
  <c r="H346" i="35"/>
  <c r="I346" i="35"/>
  <c r="F349" i="1"/>
  <c r="J346" i="35" s="1"/>
  <c r="H347" i="35"/>
  <c r="I347" i="35"/>
  <c r="F350" i="1"/>
  <c r="J347" i="35" s="1"/>
  <c r="H348" i="35"/>
  <c r="I348" i="35"/>
  <c r="F351" i="1"/>
  <c r="J348" i="35" s="1"/>
  <c r="H349" i="35"/>
  <c r="I349" i="35"/>
  <c r="F352" i="1"/>
  <c r="H350" i="35"/>
  <c r="I350" i="35"/>
  <c r="F353" i="1"/>
  <c r="J350" i="35" s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50" i="1"/>
  <c r="B141" i="35"/>
  <c r="B140" i="35"/>
  <c r="B139" i="35"/>
  <c r="B149" i="1"/>
  <c r="B147" i="1"/>
  <c r="B146" i="1"/>
  <c r="B145" i="1"/>
  <c r="B144" i="1"/>
  <c r="B143" i="1"/>
  <c r="B142" i="1"/>
  <c r="A142" i="1" s="1"/>
  <c r="B141" i="1"/>
  <c r="A141" i="1" s="1"/>
  <c r="B140" i="1"/>
  <c r="A140" i="1" s="1"/>
  <c r="A141" i="35"/>
  <c r="A140" i="35"/>
  <c r="A139" i="35"/>
  <c r="B103" i="35"/>
  <c r="B96" i="35"/>
  <c r="B95" i="35"/>
  <c r="A103" i="35"/>
  <c r="A96" i="35"/>
  <c r="B82" i="35"/>
  <c r="B66" i="35"/>
  <c r="B63" i="35"/>
  <c r="B53" i="35"/>
  <c r="B49" i="35"/>
  <c r="B32" i="35"/>
  <c r="B28" i="35"/>
  <c r="B24" i="35"/>
  <c r="D71" i="35"/>
  <c r="G315" i="35"/>
  <c r="S315" i="35" s="1"/>
  <c r="D77" i="35"/>
  <c r="D86" i="35"/>
  <c r="D272" i="35"/>
  <c r="E77" i="35"/>
  <c r="E86" i="35"/>
  <c r="E272" i="35"/>
  <c r="F77" i="35"/>
  <c r="F86" i="35"/>
  <c r="F272" i="35"/>
  <c r="C77" i="35"/>
  <c r="C86" i="35"/>
  <c r="C272" i="35"/>
  <c r="F350" i="35"/>
  <c r="E350" i="35"/>
  <c r="D350" i="35"/>
  <c r="C350" i="35"/>
  <c r="F349" i="35"/>
  <c r="E349" i="35"/>
  <c r="D349" i="35"/>
  <c r="C349" i="35"/>
  <c r="F348" i="35"/>
  <c r="E348" i="35"/>
  <c r="D348" i="35"/>
  <c r="C348" i="35"/>
  <c r="F347" i="35"/>
  <c r="E347" i="35"/>
  <c r="D347" i="35"/>
  <c r="C347" i="35"/>
  <c r="F346" i="35"/>
  <c r="E346" i="35"/>
  <c r="D346" i="35"/>
  <c r="C346" i="35"/>
  <c r="F345" i="35"/>
  <c r="E345" i="35"/>
  <c r="D345" i="35"/>
  <c r="C345" i="35"/>
  <c r="F344" i="35"/>
  <c r="E344" i="35"/>
  <c r="D344" i="35"/>
  <c r="C344" i="35"/>
  <c r="F343" i="35"/>
  <c r="E343" i="35"/>
  <c r="D343" i="35"/>
  <c r="C343" i="35"/>
  <c r="F342" i="35"/>
  <c r="E342" i="35"/>
  <c r="D342" i="35"/>
  <c r="C342" i="35"/>
  <c r="F341" i="35"/>
  <c r="E341" i="35"/>
  <c r="D341" i="35"/>
  <c r="C341" i="35"/>
  <c r="F340" i="35"/>
  <c r="E340" i="35"/>
  <c r="D340" i="35"/>
  <c r="C340" i="35"/>
  <c r="F339" i="35"/>
  <c r="E339" i="35"/>
  <c r="D339" i="35"/>
  <c r="C339" i="35"/>
  <c r="F338" i="35"/>
  <c r="E338" i="35"/>
  <c r="D338" i="35"/>
  <c r="C338" i="35"/>
  <c r="F337" i="35"/>
  <c r="E337" i="35"/>
  <c r="D337" i="35"/>
  <c r="C337" i="35"/>
  <c r="F336" i="35"/>
  <c r="E336" i="35"/>
  <c r="D336" i="35"/>
  <c r="C336" i="35"/>
  <c r="F335" i="35"/>
  <c r="E335" i="35"/>
  <c r="D335" i="35"/>
  <c r="C335" i="35"/>
  <c r="F334" i="35"/>
  <c r="E334" i="35"/>
  <c r="D334" i="35"/>
  <c r="C334" i="35"/>
  <c r="F333" i="35"/>
  <c r="E333" i="35"/>
  <c r="D333" i="35"/>
  <c r="C333" i="35"/>
  <c r="F332" i="35"/>
  <c r="E332" i="35"/>
  <c r="D332" i="35"/>
  <c r="C332" i="35"/>
  <c r="F331" i="35"/>
  <c r="E331" i="35"/>
  <c r="D331" i="35"/>
  <c r="C331" i="35"/>
  <c r="F330" i="35"/>
  <c r="E330" i="35"/>
  <c r="D330" i="35"/>
  <c r="C330" i="35"/>
  <c r="F329" i="35"/>
  <c r="E329" i="35"/>
  <c r="D329" i="35"/>
  <c r="C329" i="35"/>
  <c r="F328" i="35"/>
  <c r="E328" i="35"/>
  <c r="D328" i="35"/>
  <c r="C328" i="35"/>
  <c r="F327" i="35"/>
  <c r="E327" i="35"/>
  <c r="D327" i="35"/>
  <c r="C327" i="35"/>
  <c r="F326" i="35"/>
  <c r="E326" i="35"/>
  <c r="D326" i="35"/>
  <c r="C326" i="35"/>
  <c r="F325" i="35"/>
  <c r="E325" i="35"/>
  <c r="D325" i="35"/>
  <c r="C325" i="35"/>
  <c r="F324" i="35"/>
  <c r="E324" i="35"/>
  <c r="D324" i="35"/>
  <c r="C324" i="35"/>
  <c r="F323" i="35"/>
  <c r="E323" i="35"/>
  <c r="D323" i="35"/>
  <c r="C323" i="35"/>
  <c r="F322" i="35"/>
  <c r="E322" i="35"/>
  <c r="D322" i="35"/>
  <c r="C322" i="35"/>
  <c r="F321" i="35"/>
  <c r="E321" i="35"/>
  <c r="D321" i="35"/>
  <c r="C321" i="35"/>
  <c r="F320" i="35"/>
  <c r="E320" i="35"/>
  <c r="D320" i="35"/>
  <c r="C320" i="35"/>
  <c r="F319" i="35"/>
  <c r="E319" i="35"/>
  <c r="D319" i="35"/>
  <c r="C319" i="35"/>
  <c r="F318" i="35"/>
  <c r="E318" i="35"/>
  <c r="D318" i="35"/>
  <c r="C318" i="35"/>
  <c r="F317" i="35"/>
  <c r="E317" i="35"/>
  <c r="D317" i="35"/>
  <c r="C317" i="35"/>
  <c r="F316" i="35"/>
  <c r="E316" i="35"/>
  <c r="D316" i="35"/>
  <c r="C316" i="35"/>
  <c r="E315" i="35"/>
  <c r="E352" i="35"/>
  <c r="D315" i="35"/>
  <c r="D352" i="35"/>
  <c r="C315" i="35"/>
  <c r="C352" i="35"/>
  <c r="F315" i="35"/>
  <c r="F309" i="35"/>
  <c r="E309" i="35"/>
  <c r="D309" i="35"/>
  <c r="C309" i="35"/>
  <c r="F308" i="35"/>
  <c r="E308" i="35"/>
  <c r="D308" i="35"/>
  <c r="C308" i="35"/>
  <c r="F307" i="35"/>
  <c r="E307" i="35"/>
  <c r="D307" i="35"/>
  <c r="C307" i="35"/>
  <c r="F306" i="35"/>
  <c r="E306" i="35"/>
  <c r="D306" i="35"/>
  <c r="C306" i="35"/>
  <c r="F305" i="35"/>
  <c r="E305" i="35"/>
  <c r="D305" i="35"/>
  <c r="C305" i="35"/>
  <c r="F304" i="35"/>
  <c r="E304" i="35"/>
  <c r="D304" i="35"/>
  <c r="C304" i="35"/>
  <c r="F303" i="35"/>
  <c r="E303" i="35"/>
  <c r="D303" i="35"/>
  <c r="C303" i="35"/>
  <c r="F302" i="35"/>
  <c r="E302" i="35"/>
  <c r="D302" i="35"/>
  <c r="C302" i="35"/>
  <c r="F301" i="35"/>
  <c r="E301" i="35"/>
  <c r="D301" i="35"/>
  <c r="C301" i="35"/>
  <c r="F300" i="35"/>
  <c r="E300" i="35"/>
  <c r="D300" i="35"/>
  <c r="C300" i="35"/>
  <c r="F299" i="35"/>
  <c r="E299" i="35"/>
  <c r="D299" i="35"/>
  <c r="C299" i="35"/>
  <c r="F298" i="35"/>
  <c r="E298" i="35"/>
  <c r="D298" i="35"/>
  <c r="C298" i="35"/>
  <c r="F297" i="35"/>
  <c r="E297" i="35"/>
  <c r="D297" i="35"/>
  <c r="C297" i="35"/>
  <c r="F296" i="35"/>
  <c r="E296" i="35"/>
  <c r="D296" i="35"/>
  <c r="C296" i="35"/>
  <c r="F295" i="35"/>
  <c r="E295" i="35"/>
  <c r="D295" i="35"/>
  <c r="C295" i="35"/>
  <c r="F294" i="35"/>
  <c r="E294" i="35"/>
  <c r="D294" i="35"/>
  <c r="C294" i="35"/>
  <c r="F293" i="35"/>
  <c r="E293" i="35"/>
  <c r="D293" i="35"/>
  <c r="C293" i="35"/>
  <c r="F292" i="35"/>
  <c r="E292" i="35"/>
  <c r="D292" i="35"/>
  <c r="C292" i="35"/>
  <c r="F291" i="35"/>
  <c r="E291" i="35"/>
  <c r="D291" i="35"/>
  <c r="C291" i="35"/>
  <c r="F290" i="35"/>
  <c r="E290" i="35"/>
  <c r="D290" i="35"/>
  <c r="C290" i="35"/>
  <c r="F289" i="35"/>
  <c r="E289" i="35"/>
  <c r="D289" i="35"/>
  <c r="C289" i="35"/>
  <c r="F288" i="35"/>
  <c r="E288" i="35"/>
  <c r="D288" i="35"/>
  <c r="C288" i="35"/>
  <c r="F287" i="35"/>
  <c r="E287" i="35"/>
  <c r="D287" i="35"/>
  <c r="C287" i="35"/>
  <c r="F286" i="35"/>
  <c r="E286" i="35"/>
  <c r="D286" i="35"/>
  <c r="C286" i="35"/>
  <c r="F285" i="35"/>
  <c r="E285" i="35"/>
  <c r="D285" i="35"/>
  <c r="C285" i="35"/>
  <c r="F284" i="35"/>
  <c r="E284" i="35"/>
  <c r="D284" i="35"/>
  <c r="C284" i="35"/>
  <c r="F283" i="35"/>
  <c r="E283" i="35"/>
  <c r="D283" i="35"/>
  <c r="C283" i="35"/>
  <c r="F282" i="35"/>
  <c r="E282" i="35"/>
  <c r="D282" i="35"/>
  <c r="C282" i="35"/>
  <c r="F281" i="35"/>
  <c r="E281" i="35"/>
  <c r="D281" i="35"/>
  <c r="C281" i="35"/>
  <c r="F280" i="35"/>
  <c r="E280" i="35"/>
  <c r="D280" i="35"/>
  <c r="C280" i="35"/>
  <c r="F279" i="35"/>
  <c r="E279" i="35"/>
  <c r="D279" i="35"/>
  <c r="C279" i="35"/>
  <c r="E278" i="35"/>
  <c r="E311" i="35"/>
  <c r="D278" i="35"/>
  <c r="D311" i="35"/>
  <c r="C278" i="35"/>
  <c r="C311" i="35"/>
  <c r="F266" i="35"/>
  <c r="E266" i="35"/>
  <c r="D266" i="35"/>
  <c r="C266" i="35"/>
  <c r="F265" i="35"/>
  <c r="E265" i="35"/>
  <c r="D265" i="35"/>
  <c r="C265" i="35"/>
  <c r="F264" i="35"/>
  <c r="E264" i="35"/>
  <c r="D264" i="35"/>
  <c r="C264" i="35"/>
  <c r="F263" i="35"/>
  <c r="E263" i="35"/>
  <c r="D263" i="35"/>
  <c r="C263" i="35"/>
  <c r="F262" i="35"/>
  <c r="E262" i="35"/>
  <c r="D262" i="35"/>
  <c r="C262" i="35"/>
  <c r="F261" i="35"/>
  <c r="E261" i="35"/>
  <c r="D261" i="35"/>
  <c r="C261" i="35"/>
  <c r="F260" i="35"/>
  <c r="E260" i="35"/>
  <c r="D260" i="35"/>
  <c r="C260" i="35"/>
  <c r="F259" i="35"/>
  <c r="E259" i="35"/>
  <c r="D259" i="35"/>
  <c r="C259" i="35"/>
  <c r="F258" i="35"/>
  <c r="E258" i="35"/>
  <c r="D258" i="35"/>
  <c r="C258" i="35"/>
  <c r="F257" i="35"/>
  <c r="E257" i="35"/>
  <c r="D257" i="35"/>
  <c r="C257" i="35"/>
  <c r="F256" i="35"/>
  <c r="E256" i="35"/>
  <c r="D256" i="35"/>
  <c r="C256" i="35"/>
  <c r="F255" i="35"/>
  <c r="E255" i="35"/>
  <c r="D255" i="35"/>
  <c r="C255" i="35"/>
  <c r="E254" i="35"/>
  <c r="E268" i="35"/>
  <c r="D254" i="35"/>
  <c r="D268" i="35"/>
  <c r="C254" i="35"/>
  <c r="C268" i="35"/>
  <c r="F248" i="35"/>
  <c r="E248" i="35"/>
  <c r="D248" i="35"/>
  <c r="C248" i="35"/>
  <c r="F247" i="35"/>
  <c r="E247" i="35"/>
  <c r="D247" i="35"/>
  <c r="C247" i="35"/>
  <c r="F246" i="35"/>
  <c r="E246" i="35"/>
  <c r="D246" i="35"/>
  <c r="C246" i="35"/>
  <c r="F245" i="35"/>
  <c r="E245" i="35"/>
  <c r="D245" i="35"/>
  <c r="C245" i="35"/>
  <c r="F244" i="35"/>
  <c r="E244" i="35"/>
  <c r="D244" i="35"/>
  <c r="C244" i="35"/>
  <c r="F243" i="35"/>
  <c r="E243" i="35"/>
  <c r="D243" i="35"/>
  <c r="C243" i="35"/>
  <c r="F242" i="35"/>
  <c r="E242" i="35"/>
  <c r="D242" i="35"/>
  <c r="C242" i="35"/>
  <c r="F241" i="35"/>
  <c r="E241" i="35"/>
  <c r="D241" i="35"/>
  <c r="C241" i="35"/>
  <c r="F240" i="35"/>
  <c r="E240" i="35"/>
  <c r="D240" i="35"/>
  <c r="C240" i="35"/>
  <c r="F239" i="35"/>
  <c r="E239" i="35"/>
  <c r="D239" i="35"/>
  <c r="C239" i="35"/>
  <c r="F238" i="35"/>
  <c r="E238" i="35"/>
  <c r="D238" i="35"/>
  <c r="C238" i="35"/>
  <c r="F237" i="35"/>
  <c r="E237" i="35"/>
  <c r="D237" i="35"/>
  <c r="C237" i="35"/>
  <c r="F236" i="35"/>
  <c r="E236" i="35"/>
  <c r="D236" i="35"/>
  <c r="C236" i="35"/>
  <c r="F235" i="35"/>
  <c r="E235" i="35"/>
  <c r="D235" i="35"/>
  <c r="C235" i="35"/>
  <c r="F234" i="35"/>
  <c r="E234" i="35"/>
  <c r="D234" i="35"/>
  <c r="C234" i="35"/>
  <c r="F233" i="35"/>
  <c r="E233" i="35"/>
  <c r="D233" i="35"/>
  <c r="C233" i="35"/>
  <c r="F232" i="35"/>
  <c r="E232" i="35"/>
  <c r="D232" i="35"/>
  <c r="C232" i="35"/>
  <c r="F231" i="35"/>
  <c r="E231" i="35"/>
  <c r="D231" i="35"/>
  <c r="C231" i="35"/>
  <c r="F230" i="35"/>
  <c r="E230" i="35"/>
  <c r="D230" i="35"/>
  <c r="C230" i="35"/>
  <c r="F229" i="35"/>
  <c r="E229" i="35"/>
  <c r="D229" i="35"/>
  <c r="C229" i="35"/>
  <c r="E228" i="35"/>
  <c r="E250" i="35"/>
  <c r="D228" i="35"/>
  <c r="D250" i="35"/>
  <c r="C228" i="35"/>
  <c r="C250" i="35"/>
  <c r="F222" i="35"/>
  <c r="E222" i="35"/>
  <c r="D222" i="35"/>
  <c r="C222" i="35"/>
  <c r="F221" i="35"/>
  <c r="E221" i="35"/>
  <c r="D221" i="35"/>
  <c r="C221" i="35"/>
  <c r="F220" i="35"/>
  <c r="E220" i="35"/>
  <c r="D220" i="35"/>
  <c r="C220" i="35"/>
  <c r="F219" i="35"/>
  <c r="E219" i="35"/>
  <c r="D219" i="35"/>
  <c r="C219" i="35"/>
  <c r="F218" i="35"/>
  <c r="E218" i="35"/>
  <c r="D218" i="35"/>
  <c r="C218" i="35"/>
  <c r="F217" i="35"/>
  <c r="E217" i="35"/>
  <c r="D217" i="35"/>
  <c r="C217" i="35"/>
  <c r="F216" i="35"/>
  <c r="E216" i="35"/>
  <c r="D216" i="35"/>
  <c r="C216" i="35"/>
  <c r="F215" i="35"/>
  <c r="E215" i="35"/>
  <c r="D215" i="35"/>
  <c r="C215" i="35"/>
  <c r="F214" i="35"/>
  <c r="E214" i="35"/>
  <c r="D214" i="35"/>
  <c r="C214" i="35"/>
  <c r="F213" i="35"/>
  <c r="E213" i="35"/>
  <c r="D213" i="35"/>
  <c r="C213" i="35"/>
  <c r="F212" i="35"/>
  <c r="E212" i="35"/>
  <c r="D212" i="35"/>
  <c r="C212" i="35"/>
  <c r="F211" i="35"/>
  <c r="E211" i="35"/>
  <c r="D211" i="35"/>
  <c r="C211" i="35"/>
  <c r="E210" i="35"/>
  <c r="E224" i="35"/>
  <c r="D210" i="35"/>
  <c r="D224" i="35"/>
  <c r="C210" i="35"/>
  <c r="C224" i="35"/>
  <c r="F204" i="35"/>
  <c r="E204" i="35"/>
  <c r="D204" i="35"/>
  <c r="C204" i="35"/>
  <c r="F203" i="35"/>
  <c r="E203" i="35"/>
  <c r="D203" i="35"/>
  <c r="C203" i="35"/>
  <c r="F202" i="35"/>
  <c r="E202" i="35"/>
  <c r="D202" i="35"/>
  <c r="C202" i="35"/>
  <c r="F201" i="35"/>
  <c r="E201" i="35"/>
  <c r="D201" i="35"/>
  <c r="C201" i="35"/>
  <c r="F200" i="35"/>
  <c r="E200" i="35"/>
  <c r="D200" i="35"/>
  <c r="C200" i="35"/>
  <c r="F199" i="35"/>
  <c r="E199" i="35"/>
  <c r="D199" i="35"/>
  <c r="C199" i="35"/>
  <c r="F198" i="35"/>
  <c r="E198" i="35"/>
  <c r="D198" i="35"/>
  <c r="C198" i="35"/>
  <c r="F197" i="35"/>
  <c r="E197" i="35"/>
  <c r="D197" i="35"/>
  <c r="C197" i="35"/>
  <c r="F196" i="35"/>
  <c r="E196" i="35"/>
  <c r="D196" i="35"/>
  <c r="C196" i="35"/>
  <c r="F195" i="35"/>
  <c r="E195" i="35"/>
  <c r="D195" i="35"/>
  <c r="C195" i="35"/>
  <c r="F194" i="35"/>
  <c r="E194" i="35"/>
  <c r="D194" i="35"/>
  <c r="C194" i="35"/>
  <c r="F193" i="35"/>
  <c r="E193" i="35"/>
  <c r="D193" i="35"/>
  <c r="C193" i="35"/>
  <c r="F192" i="35"/>
  <c r="E192" i="35"/>
  <c r="D192" i="35"/>
  <c r="C192" i="35"/>
  <c r="F191" i="35"/>
  <c r="E191" i="35"/>
  <c r="D191" i="35"/>
  <c r="C191" i="35"/>
  <c r="F190" i="35"/>
  <c r="E190" i="35"/>
  <c r="D190" i="35"/>
  <c r="C190" i="35"/>
  <c r="F189" i="35"/>
  <c r="E189" i="35"/>
  <c r="D189" i="35"/>
  <c r="C189" i="35"/>
  <c r="F188" i="35"/>
  <c r="E188" i="35"/>
  <c r="D188" i="35"/>
  <c r="C188" i="35"/>
  <c r="F187" i="35"/>
  <c r="E187" i="35"/>
  <c r="D187" i="35"/>
  <c r="C187" i="35"/>
  <c r="F186" i="35"/>
  <c r="E186" i="35"/>
  <c r="D186" i="35"/>
  <c r="C186" i="35"/>
  <c r="F185" i="35"/>
  <c r="E185" i="35"/>
  <c r="D185" i="35"/>
  <c r="C185" i="35"/>
  <c r="F184" i="35"/>
  <c r="E184" i="35"/>
  <c r="D184" i="35"/>
  <c r="C184" i="35"/>
  <c r="F183" i="35"/>
  <c r="E183" i="35"/>
  <c r="D183" i="35"/>
  <c r="C183" i="35"/>
  <c r="F182" i="35"/>
  <c r="E182" i="35"/>
  <c r="D182" i="35"/>
  <c r="C182" i="35"/>
  <c r="F181" i="35"/>
  <c r="E181" i="35"/>
  <c r="D181" i="35"/>
  <c r="C181" i="35"/>
  <c r="F180" i="35"/>
  <c r="E180" i="35"/>
  <c r="D180" i="35"/>
  <c r="C180" i="35"/>
  <c r="F179" i="35"/>
  <c r="E179" i="35"/>
  <c r="D179" i="35"/>
  <c r="C179" i="35"/>
  <c r="F178" i="35"/>
  <c r="E178" i="35"/>
  <c r="D178" i="35"/>
  <c r="C178" i="35"/>
  <c r="F177" i="35"/>
  <c r="E177" i="35"/>
  <c r="D177" i="35"/>
  <c r="C177" i="35"/>
  <c r="F176" i="35"/>
  <c r="E176" i="35"/>
  <c r="D176" i="35"/>
  <c r="C176" i="35"/>
  <c r="F175" i="35"/>
  <c r="E175" i="35"/>
  <c r="D175" i="35"/>
  <c r="C175" i="35"/>
  <c r="F174" i="35"/>
  <c r="E174" i="35"/>
  <c r="D174" i="35"/>
  <c r="C174" i="35"/>
  <c r="F173" i="35"/>
  <c r="E173" i="35"/>
  <c r="D173" i="35"/>
  <c r="C173" i="35"/>
  <c r="F172" i="35"/>
  <c r="E172" i="35"/>
  <c r="D172" i="35"/>
  <c r="C172" i="35"/>
  <c r="F171" i="35"/>
  <c r="E171" i="35"/>
  <c r="D171" i="35"/>
  <c r="C171" i="35"/>
  <c r="F170" i="35"/>
  <c r="E170" i="35"/>
  <c r="D170" i="35"/>
  <c r="C170" i="35"/>
  <c r="F169" i="35"/>
  <c r="E169" i="35"/>
  <c r="D169" i="35"/>
  <c r="C169" i="35"/>
  <c r="F168" i="35"/>
  <c r="E168" i="35"/>
  <c r="D168" i="35"/>
  <c r="C168" i="35"/>
  <c r="F167" i="35"/>
  <c r="E167" i="35"/>
  <c r="D167" i="35"/>
  <c r="C167" i="35"/>
  <c r="F166" i="35"/>
  <c r="E166" i="35"/>
  <c r="D166" i="35"/>
  <c r="C166" i="35"/>
  <c r="F165" i="35"/>
  <c r="E165" i="35"/>
  <c r="D165" i="35"/>
  <c r="C165" i="35"/>
  <c r="F164" i="35"/>
  <c r="E164" i="35"/>
  <c r="D164" i="35"/>
  <c r="C164" i="35"/>
  <c r="E163" i="35"/>
  <c r="E206" i="35"/>
  <c r="D163" i="35"/>
  <c r="D206" i="35"/>
  <c r="C163" i="35"/>
  <c r="C206" i="35"/>
  <c r="F157" i="35"/>
  <c r="E157" i="35"/>
  <c r="D157" i="35"/>
  <c r="C157" i="35"/>
  <c r="F156" i="35"/>
  <c r="E156" i="35"/>
  <c r="D156" i="35"/>
  <c r="C156" i="35"/>
  <c r="F155" i="35"/>
  <c r="E155" i="35"/>
  <c r="D155" i="35"/>
  <c r="C155" i="35"/>
  <c r="F154" i="35"/>
  <c r="E154" i="35"/>
  <c r="D154" i="35"/>
  <c r="C154" i="35"/>
  <c r="F153" i="35"/>
  <c r="E153" i="35"/>
  <c r="D153" i="35"/>
  <c r="C153" i="35"/>
  <c r="F152" i="35"/>
  <c r="E152" i="35"/>
  <c r="D152" i="35"/>
  <c r="C152" i="35"/>
  <c r="F151" i="35"/>
  <c r="E151" i="35"/>
  <c r="D151" i="35"/>
  <c r="C151" i="35"/>
  <c r="F150" i="35"/>
  <c r="E150" i="35"/>
  <c r="D150" i="35"/>
  <c r="C150" i="35"/>
  <c r="E149" i="35"/>
  <c r="E159" i="35"/>
  <c r="D149" i="35"/>
  <c r="D159" i="35"/>
  <c r="C149" i="35"/>
  <c r="C159" i="35"/>
  <c r="F143" i="35"/>
  <c r="E143" i="35"/>
  <c r="D143" i="35"/>
  <c r="C143" i="35"/>
  <c r="F142" i="35"/>
  <c r="E142" i="35"/>
  <c r="D142" i="35"/>
  <c r="C142" i="35"/>
  <c r="F141" i="35"/>
  <c r="E141" i="35"/>
  <c r="D141" i="35"/>
  <c r="C141" i="35"/>
  <c r="F140" i="35"/>
  <c r="E140" i="35"/>
  <c r="D140" i="35"/>
  <c r="C140" i="35"/>
  <c r="F139" i="35"/>
  <c r="E139" i="35"/>
  <c r="D139" i="35"/>
  <c r="C139" i="35"/>
  <c r="F138" i="35"/>
  <c r="E138" i="35"/>
  <c r="D138" i="35"/>
  <c r="C138" i="35"/>
  <c r="F137" i="35"/>
  <c r="E137" i="35"/>
  <c r="D137" i="35"/>
  <c r="C137" i="35"/>
  <c r="F136" i="35"/>
  <c r="E136" i="35"/>
  <c r="D136" i="35"/>
  <c r="C136" i="35"/>
  <c r="F135" i="35"/>
  <c r="E135" i="35"/>
  <c r="D135" i="35"/>
  <c r="C135" i="35"/>
  <c r="F134" i="35"/>
  <c r="E134" i="35"/>
  <c r="D134" i="35"/>
  <c r="C134" i="35"/>
  <c r="E133" i="35"/>
  <c r="E145" i="35"/>
  <c r="D133" i="35"/>
  <c r="D145" i="35"/>
  <c r="C133" i="35"/>
  <c r="C145" i="35"/>
  <c r="F84" i="35"/>
  <c r="E84" i="35"/>
  <c r="D84" i="35"/>
  <c r="C84" i="35"/>
  <c r="F83" i="35"/>
  <c r="E83" i="35"/>
  <c r="D83" i="35"/>
  <c r="C83" i="35"/>
  <c r="F82" i="35"/>
  <c r="E82" i="35"/>
  <c r="D82" i="35"/>
  <c r="C82" i="35"/>
  <c r="F81" i="35"/>
  <c r="E81" i="35"/>
  <c r="D81" i="35"/>
  <c r="C81" i="35"/>
  <c r="F80" i="35"/>
  <c r="E80" i="35"/>
  <c r="D80" i="35"/>
  <c r="C80" i="35"/>
  <c r="F79" i="35"/>
  <c r="E79" i="35"/>
  <c r="D79" i="35"/>
  <c r="C79" i="35"/>
  <c r="F78" i="35"/>
  <c r="E78" i="35"/>
  <c r="D78" i="35"/>
  <c r="C78" i="35"/>
  <c r="F127" i="35"/>
  <c r="E127" i="35"/>
  <c r="D127" i="35"/>
  <c r="C127" i="35"/>
  <c r="F126" i="35"/>
  <c r="E126" i="35"/>
  <c r="D126" i="35"/>
  <c r="C126" i="35"/>
  <c r="F125" i="35"/>
  <c r="E125" i="35"/>
  <c r="D125" i="35"/>
  <c r="C125" i="35"/>
  <c r="F124" i="35"/>
  <c r="E124" i="35"/>
  <c r="D124" i="35"/>
  <c r="C124" i="35"/>
  <c r="F123" i="35"/>
  <c r="E123" i="35"/>
  <c r="D123" i="35"/>
  <c r="C123" i="35"/>
  <c r="F122" i="35"/>
  <c r="E122" i="35"/>
  <c r="D122" i="35"/>
  <c r="C122" i="35"/>
  <c r="F121" i="35"/>
  <c r="E121" i="35"/>
  <c r="D121" i="35"/>
  <c r="C121" i="35"/>
  <c r="F120" i="35"/>
  <c r="E120" i="35"/>
  <c r="D120" i="35"/>
  <c r="C120" i="35"/>
  <c r="F119" i="35"/>
  <c r="E119" i="35"/>
  <c r="D119" i="35"/>
  <c r="C119" i="35"/>
  <c r="F118" i="35"/>
  <c r="E118" i="35"/>
  <c r="D118" i="35"/>
  <c r="C118" i="35"/>
  <c r="F117" i="35"/>
  <c r="E117" i="35"/>
  <c r="D117" i="35"/>
  <c r="C117" i="35"/>
  <c r="F116" i="35"/>
  <c r="E116" i="35"/>
  <c r="D116" i="35"/>
  <c r="C116" i="35"/>
  <c r="F115" i="35"/>
  <c r="E115" i="35"/>
  <c r="D115" i="35"/>
  <c r="C115" i="35"/>
  <c r="F114" i="35"/>
  <c r="E114" i="35"/>
  <c r="D114" i="35"/>
  <c r="C114" i="35"/>
  <c r="F113" i="35"/>
  <c r="E113" i="35"/>
  <c r="D113" i="35"/>
  <c r="C113" i="35"/>
  <c r="F112" i="35"/>
  <c r="E112" i="35"/>
  <c r="D112" i="35"/>
  <c r="C112" i="35"/>
  <c r="F111" i="35"/>
  <c r="E111" i="35"/>
  <c r="D111" i="35"/>
  <c r="C111" i="35"/>
  <c r="F110" i="35"/>
  <c r="E110" i="35"/>
  <c r="D110" i="35"/>
  <c r="C110" i="35"/>
  <c r="F109" i="35"/>
  <c r="E109" i="35"/>
  <c r="D109" i="35"/>
  <c r="C109" i="35"/>
  <c r="F108" i="35"/>
  <c r="E108" i="35"/>
  <c r="D108" i="35"/>
  <c r="C108" i="35"/>
  <c r="F107" i="35"/>
  <c r="E107" i="35"/>
  <c r="D107" i="35"/>
  <c r="C107" i="35"/>
  <c r="F106" i="35"/>
  <c r="E106" i="35"/>
  <c r="D106" i="35"/>
  <c r="C106" i="35"/>
  <c r="F105" i="35"/>
  <c r="E105" i="35"/>
  <c r="D105" i="35"/>
  <c r="C105" i="35"/>
  <c r="F104" i="35"/>
  <c r="E104" i="35"/>
  <c r="D104" i="35"/>
  <c r="C104" i="35"/>
  <c r="F103" i="35"/>
  <c r="E103" i="35"/>
  <c r="D103" i="35"/>
  <c r="C103" i="35"/>
  <c r="F102" i="35"/>
  <c r="E102" i="35"/>
  <c r="D102" i="35"/>
  <c r="C102" i="35"/>
  <c r="F101" i="35"/>
  <c r="E101" i="35"/>
  <c r="D101" i="35"/>
  <c r="C101" i="35"/>
  <c r="F100" i="35"/>
  <c r="E100" i="35"/>
  <c r="D100" i="35"/>
  <c r="C100" i="35"/>
  <c r="F99" i="35"/>
  <c r="E99" i="35"/>
  <c r="D99" i="35"/>
  <c r="C99" i="35"/>
  <c r="F98" i="35"/>
  <c r="E98" i="35"/>
  <c r="D98" i="35"/>
  <c r="C98" i="35"/>
  <c r="F97" i="35"/>
  <c r="E97" i="35"/>
  <c r="D97" i="35"/>
  <c r="C97" i="35"/>
  <c r="F96" i="35"/>
  <c r="E96" i="35"/>
  <c r="D96" i="35"/>
  <c r="C96" i="35"/>
  <c r="F95" i="35"/>
  <c r="E95" i="35"/>
  <c r="D95" i="35"/>
  <c r="C95" i="35"/>
  <c r="F94" i="35"/>
  <c r="E94" i="35"/>
  <c r="D94" i="35"/>
  <c r="C94" i="35"/>
  <c r="F93" i="35"/>
  <c r="E93" i="35"/>
  <c r="D93" i="35"/>
  <c r="C93" i="35"/>
  <c r="F92" i="35"/>
  <c r="E92" i="35"/>
  <c r="D92" i="35"/>
  <c r="C92" i="35"/>
  <c r="F91" i="35"/>
  <c r="E91" i="35"/>
  <c r="D91" i="35"/>
  <c r="C91" i="35"/>
  <c r="E90" i="35"/>
  <c r="E129" i="35"/>
  <c r="D90" i="35"/>
  <c r="D129" i="35"/>
  <c r="C90" i="35"/>
  <c r="C129" i="35"/>
  <c r="C69" i="35"/>
  <c r="C22" i="35"/>
  <c r="C71" i="35"/>
  <c r="E22" i="35"/>
  <c r="E71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F13" i="35"/>
  <c r="E13" i="35"/>
  <c r="D13" i="35"/>
  <c r="C13" i="35"/>
  <c r="F12" i="35"/>
  <c r="E12" i="35"/>
  <c r="D12" i="35"/>
  <c r="C12" i="35"/>
  <c r="F11" i="35"/>
  <c r="E11" i="35"/>
  <c r="D11" i="35"/>
  <c r="C11" i="35"/>
  <c r="F10" i="35"/>
  <c r="E10" i="35"/>
  <c r="D10" i="35"/>
  <c r="C10" i="35"/>
  <c r="F9" i="35"/>
  <c r="E9" i="35"/>
  <c r="D9" i="35"/>
  <c r="C9" i="35"/>
  <c r="F8" i="35"/>
  <c r="E8" i="35"/>
  <c r="D8" i="35"/>
  <c r="C8" i="35"/>
  <c r="C7" i="35"/>
  <c r="C18" i="35"/>
  <c r="C73" i="35"/>
  <c r="E7" i="35"/>
  <c r="E18" i="35"/>
  <c r="E73" i="35"/>
  <c r="D7" i="35"/>
  <c r="D18" i="35"/>
  <c r="D73" i="35"/>
  <c r="C68" i="35"/>
  <c r="C66" i="35"/>
  <c r="C65" i="35"/>
  <c r="C64" i="35"/>
  <c r="C62" i="35"/>
  <c r="C61" i="35"/>
  <c r="C60" i="35"/>
  <c r="C58" i="35"/>
  <c r="C57" i="35"/>
  <c r="C56" i="35"/>
  <c r="C54" i="35"/>
  <c r="C53" i="35"/>
  <c r="C52" i="35"/>
  <c r="C50" i="35"/>
  <c r="C49" i="35"/>
  <c r="C48" i="35"/>
  <c r="C46" i="35"/>
  <c r="C45" i="35"/>
  <c r="C44" i="35"/>
  <c r="C42" i="35"/>
  <c r="C41" i="35"/>
  <c r="C40" i="35"/>
  <c r="C38" i="35"/>
  <c r="C37" i="35"/>
  <c r="C36" i="35"/>
  <c r="C34" i="35"/>
  <c r="C33" i="35"/>
  <c r="C32" i="35"/>
  <c r="C30" i="35"/>
  <c r="C29" i="35"/>
  <c r="C28" i="35"/>
  <c r="C26" i="35"/>
  <c r="C25" i="35"/>
  <c r="C24" i="35"/>
  <c r="F22" i="35"/>
  <c r="F71" i="35"/>
  <c r="F278" i="35"/>
  <c r="F311" i="35"/>
  <c r="F254" i="35"/>
  <c r="F268" i="35"/>
  <c r="F228" i="35"/>
  <c r="F250" i="35"/>
  <c r="F210" i="35"/>
  <c r="F163" i="35"/>
  <c r="F206" i="35"/>
  <c r="F149" i="35"/>
  <c r="F159" i="35"/>
  <c r="F133" i="35"/>
  <c r="F145" i="35"/>
  <c r="F90" i="35"/>
  <c r="F69" i="35"/>
  <c r="E69" i="35"/>
  <c r="F68" i="35"/>
  <c r="E68" i="35"/>
  <c r="F67" i="35"/>
  <c r="E67" i="35"/>
  <c r="C67" i="35"/>
  <c r="F66" i="35"/>
  <c r="E66" i="35"/>
  <c r="F65" i="35"/>
  <c r="E65" i="35"/>
  <c r="F64" i="35"/>
  <c r="E64" i="35"/>
  <c r="F63" i="35"/>
  <c r="E63" i="35"/>
  <c r="C63" i="35"/>
  <c r="F62" i="35"/>
  <c r="E62" i="35"/>
  <c r="F61" i="35"/>
  <c r="E61" i="35"/>
  <c r="F60" i="35"/>
  <c r="E60" i="35"/>
  <c r="F59" i="35"/>
  <c r="E59" i="35"/>
  <c r="C59" i="35"/>
  <c r="F58" i="35"/>
  <c r="E58" i="35"/>
  <c r="F57" i="35"/>
  <c r="E57" i="35"/>
  <c r="F56" i="35"/>
  <c r="E56" i="35"/>
  <c r="F55" i="35"/>
  <c r="E55" i="35"/>
  <c r="C55" i="35"/>
  <c r="F54" i="35"/>
  <c r="E54" i="35"/>
  <c r="F53" i="35"/>
  <c r="E53" i="35"/>
  <c r="F52" i="35"/>
  <c r="E52" i="35"/>
  <c r="F51" i="35"/>
  <c r="E51" i="35"/>
  <c r="C51" i="35"/>
  <c r="F50" i="35"/>
  <c r="E50" i="35"/>
  <c r="F49" i="35"/>
  <c r="E49" i="35"/>
  <c r="F48" i="35"/>
  <c r="E48" i="35"/>
  <c r="F47" i="35"/>
  <c r="E47" i="35"/>
  <c r="C47" i="35"/>
  <c r="F46" i="35"/>
  <c r="E46" i="35"/>
  <c r="F45" i="35"/>
  <c r="E45" i="35"/>
  <c r="F44" i="35"/>
  <c r="E44" i="35"/>
  <c r="F43" i="35"/>
  <c r="E43" i="35"/>
  <c r="C43" i="35"/>
  <c r="F42" i="35"/>
  <c r="E42" i="35"/>
  <c r="F41" i="35"/>
  <c r="E41" i="35"/>
  <c r="F40" i="35"/>
  <c r="E40" i="35"/>
  <c r="F39" i="35"/>
  <c r="E39" i="35"/>
  <c r="C39" i="35"/>
  <c r="F38" i="35"/>
  <c r="E38" i="35"/>
  <c r="F37" i="35"/>
  <c r="E37" i="35"/>
  <c r="F36" i="35"/>
  <c r="E36" i="35"/>
  <c r="F35" i="35"/>
  <c r="E35" i="35"/>
  <c r="C35" i="35"/>
  <c r="F34" i="35"/>
  <c r="E34" i="35"/>
  <c r="F33" i="35"/>
  <c r="E33" i="35"/>
  <c r="F32" i="35"/>
  <c r="E32" i="35"/>
  <c r="F31" i="35"/>
  <c r="E31" i="35"/>
  <c r="C31" i="35"/>
  <c r="F30" i="35"/>
  <c r="E30" i="35"/>
  <c r="F29" i="35"/>
  <c r="E29" i="35"/>
  <c r="F28" i="35"/>
  <c r="E28" i="35"/>
  <c r="F27" i="35"/>
  <c r="E27" i="35"/>
  <c r="C27" i="35"/>
  <c r="F26" i="35"/>
  <c r="E26" i="35"/>
  <c r="F25" i="35"/>
  <c r="E25" i="35"/>
  <c r="F24" i="35"/>
  <c r="E24" i="35"/>
  <c r="F23" i="35"/>
  <c r="E23" i="35"/>
  <c r="C23" i="35"/>
  <c r="F7" i="35"/>
  <c r="F18" i="35"/>
  <c r="F73" i="35"/>
  <c r="F341" i="1"/>
  <c r="I338" i="35"/>
  <c r="H338" i="35"/>
  <c r="H315" i="35"/>
  <c r="H352" i="35" s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H304" i="35"/>
  <c r="H294" i="35"/>
  <c r="H290" i="35"/>
  <c r="H286" i="35"/>
  <c r="H282" i="35"/>
  <c r="H278" i="35"/>
  <c r="H311" i="35" s="1"/>
  <c r="B312" i="1"/>
  <c r="B311" i="1"/>
  <c r="B310" i="1"/>
  <c r="B309" i="1"/>
  <c r="B308" i="1"/>
  <c r="B307" i="1"/>
  <c r="B306" i="1"/>
  <c r="B305" i="1"/>
  <c r="B304" i="1"/>
  <c r="B303" i="1"/>
  <c r="B299" i="35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A299" i="35"/>
  <c r="F352" i="35"/>
  <c r="F224" i="35"/>
  <c r="F129" i="35"/>
  <c r="G18" i="35"/>
  <c r="B157" i="35"/>
  <c r="B16" i="35"/>
  <c r="A16" i="35"/>
  <c r="B15" i="35"/>
  <c r="A15" i="35"/>
  <c r="B14" i="35"/>
  <c r="A14" i="35"/>
  <c r="B13" i="35"/>
  <c r="A13" i="35"/>
  <c r="B12" i="35"/>
  <c r="A12" i="35"/>
  <c r="B11" i="35"/>
  <c r="A11" i="35"/>
  <c r="B10" i="35"/>
  <c r="A10" i="35"/>
  <c r="B8" i="35"/>
  <c r="A8" i="35"/>
  <c r="B7" i="35"/>
  <c r="A7" i="35"/>
  <c r="G4" i="35"/>
  <c r="S50" i="35"/>
  <c r="S9" i="35"/>
  <c r="S48" i="35"/>
  <c r="S54" i="35"/>
  <c r="S14" i="35"/>
  <c r="S68" i="35"/>
  <c r="S270" i="35"/>
  <c r="S49" i="35"/>
  <c r="B266" i="1"/>
  <c r="B256" i="35"/>
  <c r="B257" i="35"/>
  <c r="B267" i="1"/>
  <c r="B259" i="35"/>
  <c r="B268" i="1"/>
  <c r="B261" i="35"/>
  <c r="B263" i="35"/>
  <c r="B269" i="1"/>
  <c r="B270" i="1"/>
  <c r="B271" i="1"/>
  <c r="H248" i="35"/>
  <c r="H247" i="35"/>
  <c r="H245" i="35"/>
  <c r="H244" i="35"/>
  <c r="H243" i="35"/>
  <c r="I241" i="35"/>
  <c r="H240" i="35"/>
  <c r="H239" i="35"/>
  <c r="H238" i="35"/>
  <c r="G237" i="35"/>
  <c r="S237" i="35" s="1"/>
  <c r="H235" i="35"/>
  <c r="H234" i="35"/>
  <c r="G234" i="35"/>
  <c r="S234" i="35" s="1"/>
  <c r="H233" i="35"/>
  <c r="H231" i="35"/>
  <c r="H230" i="35"/>
  <c r="G229" i="35"/>
  <c r="S229" i="35" s="1"/>
  <c r="B220" i="1"/>
  <c r="B221" i="1"/>
  <c r="B222" i="1"/>
  <c r="I213" i="35"/>
  <c r="B223" i="1"/>
  <c r="B224" i="1"/>
  <c r="B225" i="1"/>
  <c r="B226" i="1"/>
  <c r="B217" i="35" s="1"/>
  <c r="B227" i="1"/>
  <c r="B218" i="35" s="1"/>
  <c r="B228" i="1"/>
  <c r="I219" i="35"/>
  <c r="B229" i="1"/>
  <c r="I220" i="35"/>
  <c r="B230" i="1"/>
  <c r="B231" i="1"/>
  <c r="B23" i="35"/>
  <c r="A157" i="35"/>
  <c r="A53" i="35"/>
  <c r="A63" i="35"/>
  <c r="S16" i="35"/>
  <c r="S46" i="35"/>
  <c r="I157" i="35"/>
  <c r="R157" i="35"/>
  <c r="Q157" i="35"/>
  <c r="P157" i="35"/>
  <c r="O157" i="35"/>
  <c r="N157" i="35"/>
  <c r="M157" i="35"/>
  <c r="L157" i="35"/>
  <c r="K157" i="35"/>
  <c r="J157" i="35"/>
  <c r="H157" i="35"/>
  <c r="G157" i="35"/>
  <c r="S157" i="35" s="1"/>
  <c r="D43" i="13"/>
  <c r="S36" i="35"/>
  <c r="S45" i="35"/>
  <c r="S66" i="35"/>
  <c r="S38" i="35"/>
  <c r="S58" i="35"/>
  <c r="S42" i="35"/>
  <c r="S67" i="35"/>
  <c r="S53" i="35"/>
  <c r="S33" i="35"/>
  <c r="S51" i="35"/>
  <c r="S34" i="35"/>
  <c r="S29" i="35"/>
  <c r="S47" i="35"/>
  <c r="S57" i="35"/>
  <c r="S52" i="35"/>
  <c r="S44" i="35"/>
  <c r="S28" i="35"/>
  <c r="S24" i="35"/>
  <c r="S40" i="35"/>
  <c r="S37" i="35"/>
  <c r="S25" i="35"/>
  <c r="S31" i="35"/>
  <c r="S43" i="35"/>
  <c r="S35" i="35"/>
  <c r="S65" i="35"/>
  <c r="S59" i="35"/>
  <c r="S64" i="35"/>
  <c r="S30" i="35"/>
  <c r="S55" i="35"/>
  <c r="S69" i="35"/>
  <c r="S39" i="35"/>
  <c r="S62" i="35"/>
  <c r="A259" i="35"/>
  <c r="A256" i="35"/>
  <c r="A257" i="35"/>
  <c r="A261" i="35"/>
  <c r="A262" i="35"/>
  <c r="A263" i="35"/>
  <c r="A49" i="35"/>
  <c r="A66" i="35"/>
  <c r="A23" i="35"/>
  <c r="A24" i="35"/>
  <c r="B9" i="1"/>
  <c r="I149" i="35"/>
  <c r="I159" i="35" s="1"/>
  <c r="H135" i="35"/>
  <c r="H152" i="35"/>
  <c r="H153" i="35"/>
  <c r="I153" i="35"/>
  <c r="H155" i="35"/>
  <c r="I156" i="35"/>
  <c r="H156" i="35"/>
  <c r="I154" i="35"/>
  <c r="H154" i="35"/>
  <c r="I152" i="35"/>
  <c r="I150" i="35"/>
  <c r="N37" i="28"/>
  <c r="M37" i="28"/>
  <c r="L37" i="28"/>
  <c r="K37" i="28"/>
  <c r="J37" i="28"/>
  <c r="I37" i="28"/>
  <c r="H37" i="28"/>
  <c r="G37" i="28"/>
  <c r="C37" i="28"/>
  <c r="N80" i="28"/>
  <c r="M80" i="28"/>
  <c r="L80" i="28"/>
  <c r="K80" i="28"/>
  <c r="J80" i="28"/>
  <c r="I80" i="28"/>
  <c r="H80" i="28"/>
  <c r="C80" i="28"/>
  <c r="B219" i="1"/>
  <c r="B3" i="14"/>
  <c r="B275" i="1"/>
  <c r="B265" i="1"/>
  <c r="B237" i="1"/>
  <c r="D59" i="13"/>
  <c r="C59" i="13"/>
  <c r="D58" i="13"/>
  <c r="C58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C47" i="13"/>
  <c r="D46" i="13"/>
  <c r="C46" i="13"/>
  <c r="D45" i="13"/>
  <c r="C45" i="13"/>
  <c r="D44" i="13"/>
  <c r="C44" i="13"/>
  <c r="C43" i="13"/>
  <c r="D42" i="13"/>
  <c r="C42" i="13"/>
  <c r="D41" i="13"/>
  <c r="C41" i="13"/>
  <c r="F106" i="13"/>
  <c r="E106" i="13"/>
  <c r="G106" i="13"/>
  <c r="H106" i="13"/>
  <c r="I106" i="13"/>
  <c r="J106" i="13"/>
  <c r="N106" i="13"/>
  <c r="O106" i="13"/>
  <c r="P106" i="13"/>
  <c r="I134" i="35"/>
  <c r="H134" i="35"/>
  <c r="S11" i="35"/>
  <c r="S13" i="35"/>
  <c r="S22" i="35"/>
  <c r="S27" i="35"/>
  <c r="S26" i="35"/>
  <c r="S23" i="35"/>
  <c r="S12" i="35"/>
  <c r="S15" i="35"/>
  <c r="H133" i="35"/>
  <c r="H145" i="35" s="1"/>
  <c r="S8" i="35"/>
  <c r="I133" i="35"/>
  <c r="I145" i="35" s="1"/>
  <c r="S7" i="35"/>
  <c r="S32" i="35"/>
  <c r="G71" i="35"/>
  <c r="G73" i="35"/>
  <c r="H18" i="35"/>
  <c r="K18" i="35"/>
  <c r="J18" i="35"/>
  <c r="I18" i="35"/>
  <c r="H71" i="35"/>
  <c r="H73" i="35"/>
  <c r="O18" i="35"/>
  <c r="P18" i="35"/>
  <c r="R18" i="35"/>
  <c r="Q18" i="35"/>
  <c r="N18" i="35"/>
  <c r="M18" i="35"/>
  <c r="L18" i="35"/>
  <c r="S10" i="35"/>
  <c r="I71" i="35"/>
  <c r="J71" i="35"/>
  <c r="S63" i="35"/>
  <c r="S56" i="35"/>
  <c r="S61" i="35"/>
  <c r="K71" i="35"/>
  <c r="Q71" i="35"/>
  <c r="P71" i="35"/>
  <c r="M71" i="35"/>
  <c r="N71" i="35"/>
  <c r="O71" i="35"/>
  <c r="L71" i="35"/>
  <c r="S60" i="35"/>
  <c r="R71" i="35"/>
  <c r="S41" i="35"/>
  <c r="H232" i="35"/>
  <c r="G236" i="35"/>
  <c r="S236" i="35" s="1"/>
  <c r="I99" i="35"/>
  <c r="A112" i="35"/>
  <c r="I73" i="35"/>
  <c r="D274" i="35"/>
  <c r="D354" i="35"/>
  <c r="C274" i="35"/>
  <c r="C354" i="35"/>
  <c r="R73" i="35"/>
  <c r="G178" i="35"/>
  <c r="S178" i="35" s="1"/>
  <c r="G176" i="35"/>
  <c r="S176" i="35" s="1"/>
  <c r="G99" i="35"/>
  <c r="S99" i="35" s="1"/>
  <c r="G151" i="35"/>
  <c r="S151" i="35" s="1"/>
  <c r="G202" i="35"/>
  <c r="S202" i="35" s="1"/>
  <c r="G184" i="35"/>
  <c r="S184" i="35" s="1"/>
  <c r="G104" i="35"/>
  <c r="S104" i="35" s="1"/>
  <c r="H150" i="35"/>
  <c r="F141" i="1"/>
  <c r="J299" i="35"/>
  <c r="J263" i="35"/>
  <c r="J261" i="35"/>
  <c r="J259" i="35"/>
  <c r="J257" i="35"/>
  <c r="J256" i="35"/>
  <c r="G187" i="35"/>
  <c r="S187" i="35" s="1"/>
  <c r="J222" i="35"/>
  <c r="J212" i="35"/>
  <c r="J116" i="35"/>
  <c r="J103" i="35"/>
  <c r="J96" i="35"/>
  <c r="G338" i="35"/>
  <c r="S338" i="35" s="1"/>
  <c r="J349" i="35"/>
  <c r="G344" i="35"/>
  <c r="S344" i="35" s="1"/>
  <c r="G149" i="35"/>
  <c r="S149" i="35" s="1"/>
  <c r="S159" i="35" s="1"/>
  <c r="G350" i="35"/>
  <c r="S350" i="35" s="1"/>
  <c r="G346" i="35"/>
  <c r="S346" i="35" s="1"/>
  <c r="G340" i="35"/>
  <c r="S340" i="35" s="1"/>
  <c r="G339" i="35"/>
  <c r="S339" i="35" s="1"/>
  <c r="G334" i="35"/>
  <c r="S334" i="35" s="1"/>
  <c r="G324" i="35"/>
  <c r="S324" i="35" s="1"/>
  <c r="G322" i="35"/>
  <c r="S322" i="35" s="1"/>
  <c r="G319" i="35"/>
  <c r="S319" i="35" s="1"/>
  <c r="G316" i="35"/>
  <c r="S316" i="35" s="1"/>
  <c r="G349" i="35"/>
  <c r="G348" i="35"/>
  <c r="S348" i="35" s="1"/>
  <c r="G342" i="35"/>
  <c r="S342" i="35" s="1"/>
  <c r="G341" i="35"/>
  <c r="S341" i="35" s="1"/>
  <c r="G336" i="35"/>
  <c r="S336" i="35" s="1"/>
  <c r="G335" i="35"/>
  <c r="S335" i="35" s="1"/>
  <c r="G332" i="35"/>
  <c r="S332" i="35" s="1"/>
  <c r="G331" i="35"/>
  <c r="S331" i="35" s="1"/>
  <c r="G329" i="35"/>
  <c r="S329" i="35" s="1"/>
  <c r="G323" i="35"/>
  <c r="S323" i="35" s="1"/>
  <c r="G320" i="35"/>
  <c r="S320" i="35" s="1"/>
  <c r="G318" i="35"/>
  <c r="S318" i="35" s="1"/>
  <c r="G317" i="35"/>
  <c r="S317" i="35" s="1"/>
  <c r="G309" i="35"/>
  <c r="S309" i="35" s="1"/>
  <c r="G308" i="35"/>
  <c r="S308" i="35" s="1"/>
  <c r="G307" i="35"/>
  <c r="S307" i="35" s="1"/>
  <c r="G306" i="35"/>
  <c r="S306" i="35" s="1"/>
  <c r="G305" i="35"/>
  <c r="S305" i="35" s="1"/>
  <c r="G304" i="35"/>
  <c r="S304" i="35" s="1"/>
  <c r="G303" i="35"/>
  <c r="S303" i="35" s="1"/>
  <c r="G302" i="35"/>
  <c r="S302" i="35" s="1"/>
  <c r="G301" i="35"/>
  <c r="S301" i="35" s="1"/>
  <c r="G300" i="35"/>
  <c r="S300" i="35" s="1"/>
  <c r="G299" i="35"/>
  <c r="S299" i="35" s="1"/>
  <c r="G298" i="35"/>
  <c r="S298" i="35" s="1"/>
  <c r="G297" i="35"/>
  <c r="S297" i="35" s="1"/>
  <c r="G296" i="35"/>
  <c r="S296" i="35" s="1"/>
  <c r="G295" i="35"/>
  <c r="S295" i="35" s="1"/>
  <c r="G294" i="35"/>
  <c r="S294" i="35" s="1"/>
  <c r="G293" i="35"/>
  <c r="S293" i="35" s="1"/>
  <c r="G292" i="35"/>
  <c r="S292" i="35" s="1"/>
  <c r="G291" i="35"/>
  <c r="S291" i="35" s="1"/>
  <c r="G290" i="35"/>
  <c r="S290" i="35" s="1"/>
  <c r="G289" i="35"/>
  <c r="S289" i="35" s="1"/>
  <c r="G288" i="35"/>
  <c r="S288" i="35" s="1"/>
  <c r="G287" i="35"/>
  <c r="S287" i="35" s="1"/>
  <c r="G286" i="35"/>
  <c r="S286" i="35" s="1"/>
  <c r="G285" i="35"/>
  <c r="S285" i="35" s="1"/>
  <c r="G284" i="35"/>
  <c r="S284" i="35" s="1"/>
  <c r="G283" i="35"/>
  <c r="S283" i="35" s="1"/>
  <c r="G282" i="35"/>
  <c r="S282" i="35" s="1"/>
  <c r="G281" i="35"/>
  <c r="S281" i="35" s="1"/>
  <c r="G280" i="35"/>
  <c r="S280" i="35" s="1"/>
  <c r="G279" i="35"/>
  <c r="S279" i="35" s="1"/>
  <c r="G278" i="35"/>
  <c r="S278" i="35" s="1"/>
  <c r="G347" i="35"/>
  <c r="S347" i="35" s="1"/>
  <c r="G343" i="35"/>
  <c r="S343" i="35" s="1"/>
  <c r="G337" i="35"/>
  <c r="S337" i="35" s="1"/>
  <c r="G333" i="35"/>
  <c r="S333" i="35" s="1"/>
  <c r="G328" i="35"/>
  <c r="S328" i="35" s="1"/>
  <c r="G327" i="35"/>
  <c r="S327" i="35" s="1"/>
  <c r="G325" i="35"/>
  <c r="S325" i="35" s="1"/>
  <c r="G222" i="35"/>
  <c r="S222" i="35" s="1"/>
  <c r="G221" i="35"/>
  <c r="S221" i="35" s="1"/>
  <c r="G220" i="35"/>
  <c r="S220" i="35" s="1"/>
  <c r="G219" i="35"/>
  <c r="S219" i="35" s="1"/>
  <c r="G218" i="35"/>
  <c r="S218" i="35" s="1"/>
  <c r="G217" i="35"/>
  <c r="S217" i="35" s="1"/>
  <c r="G216" i="35"/>
  <c r="S216" i="35" s="1"/>
  <c r="G213" i="35"/>
  <c r="S213" i="35" s="1"/>
  <c r="G212" i="35"/>
  <c r="S212" i="35" s="1"/>
  <c r="G210" i="35"/>
  <c r="S210" i="35" s="1"/>
  <c r="S224" i="35" s="1"/>
  <c r="H345" i="35"/>
  <c r="G155" i="35"/>
  <c r="S155" i="35" s="1"/>
  <c r="G153" i="35"/>
  <c r="S153" i="35" s="1"/>
  <c r="G152" i="35"/>
  <c r="S152" i="35" s="1"/>
  <c r="G156" i="35"/>
  <c r="S156" i="35" s="1"/>
  <c r="G150" i="35"/>
  <c r="S150" i="35" s="1"/>
  <c r="H149" i="35"/>
  <c r="H159" i="35" s="1"/>
  <c r="I120" i="35"/>
  <c r="H151" i="35"/>
  <c r="H344" i="35"/>
  <c r="G141" i="35"/>
  <c r="S141" i="35" s="1"/>
  <c r="G140" i="35"/>
  <c r="S140" i="35" s="1"/>
  <c r="G139" i="35"/>
  <c r="S139" i="35" s="1"/>
  <c r="G135" i="35"/>
  <c r="S135" i="35" s="1"/>
  <c r="G134" i="35"/>
  <c r="S134" i="35" s="1"/>
  <c r="G133" i="35"/>
  <c r="G145" i="35" s="1"/>
  <c r="G192" i="35"/>
  <c r="S192" i="35" s="1"/>
  <c r="G190" i="35"/>
  <c r="S190" i="35" s="1"/>
  <c r="G171" i="35"/>
  <c r="S171" i="35" s="1"/>
  <c r="G266" i="35"/>
  <c r="S266" i="35" s="1"/>
  <c r="G265" i="35"/>
  <c r="S265" i="35" s="1"/>
  <c r="G264" i="35"/>
  <c r="S264" i="35" s="1"/>
  <c r="G263" i="35"/>
  <c r="S263" i="35" s="1"/>
  <c r="G262" i="35"/>
  <c r="S262" i="35" s="1"/>
  <c r="G261" i="35"/>
  <c r="S261" i="35" s="1"/>
  <c r="G259" i="35"/>
  <c r="S259" i="35" s="1"/>
  <c r="G258" i="35"/>
  <c r="S258" i="35" s="1"/>
  <c r="G257" i="35"/>
  <c r="S257" i="35" s="1"/>
  <c r="G255" i="35"/>
  <c r="S255" i="35" s="1"/>
  <c r="G204" i="35"/>
  <c r="S204" i="35" s="1"/>
  <c r="G203" i="35"/>
  <c r="S203" i="35" s="1"/>
  <c r="G201" i="35"/>
  <c r="S201" i="35" s="1"/>
  <c r="G199" i="35"/>
  <c r="S199" i="35" s="1"/>
  <c r="G198" i="35"/>
  <c r="S198" i="35" s="1"/>
  <c r="G197" i="35"/>
  <c r="S197" i="35" s="1"/>
  <c r="G195" i="35"/>
  <c r="S195" i="35" s="1"/>
  <c r="G193" i="35"/>
  <c r="S193" i="35" s="1"/>
  <c r="G191" i="35"/>
  <c r="S191" i="35" s="1"/>
  <c r="G185" i="35"/>
  <c r="S185" i="35" s="1"/>
  <c r="G183" i="35"/>
  <c r="S183" i="35" s="1"/>
  <c r="G181" i="35"/>
  <c r="S181" i="35" s="1"/>
  <c r="G180" i="35"/>
  <c r="S180" i="35" s="1"/>
  <c r="G179" i="35"/>
  <c r="S179" i="35" s="1"/>
  <c r="G177" i="35"/>
  <c r="S177" i="35" s="1"/>
  <c r="G175" i="35"/>
  <c r="S175" i="35" s="1"/>
  <c r="G174" i="35"/>
  <c r="S174" i="35" s="1"/>
  <c r="G173" i="35"/>
  <c r="S173" i="35" s="1"/>
  <c r="G172" i="35"/>
  <c r="S172" i="35" s="1"/>
  <c r="G170" i="35"/>
  <c r="S170" i="35" s="1"/>
  <c r="G167" i="35"/>
  <c r="S167" i="35" s="1"/>
  <c r="G166" i="35"/>
  <c r="S166" i="35" s="1"/>
  <c r="G164" i="35"/>
  <c r="S164" i="35" s="1"/>
  <c r="G186" i="35"/>
  <c r="S186" i="35" s="1"/>
  <c r="G169" i="35"/>
  <c r="S169" i="35" s="1"/>
  <c r="G165" i="35"/>
  <c r="S165" i="35" s="1"/>
  <c r="G163" i="35"/>
  <c r="S163" i="35" s="1"/>
  <c r="S206" i="35" s="1"/>
  <c r="G107" i="35"/>
  <c r="S107" i="35" s="1"/>
  <c r="G118" i="35"/>
  <c r="S118" i="35" s="1"/>
  <c r="G200" i="35"/>
  <c r="S200" i="35" s="1"/>
  <c r="G127" i="35"/>
  <c r="S127" i="35" s="1"/>
  <c r="G126" i="35"/>
  <c r="S126" i="35" s="1"/>
  <c r="G125" i="35"/>
  <c r="S125" i="35" s="1"/>
  <c r="G123" i="35"/>
  <c r="S123" i="35" s="1"/>
  <c r="G121" i="35"/>
  <c r="S121" i="35" s="1"/>
  <c r="G116" i="35"/>
  <c r="S116" i="35" s="1"/>
  <c r="G115" i="35"/>
  <c r="S115" i="35" s="1"/>
  <c r="G114" i="35"/>
  <c r="S114" i="35" s="1"/>
  <c r="G113" i="35"/>
  <c r="S113" i="35" s="1"/>
  <c r="G112" i="35"/>
  <c r="S112" i="35" s="1"/>
  <c r="G111" i="35"/>
  <c r="S111" i="35" s="1"/>
  <c r="G110" i="35"/>
  <c r="S110" i="35" s="1"/>
  <c r="G109" i="35"/>
  <c r="S109" i="35" s="1"/>
  <c r="G108" i="35"/>
  <c r="S108" i="35" s="1"/>
  <c r="G106" i="35"/>
  <c r="S106" i="35" s="1"/>
  <c r="G105" i="35"/>
  <c r="S105" i="35" s="1"/>
  <c r="G102" i="35"/>
  <c r="S102" i="35" s="1"/>
  <c r="G100" i="35"/>
  <c r="S100" i="35" s="1"/>
  <c r="G97" i="35"/>
  <c r="S97" i="35" s="1"/>
  <c r="G96" i="35"/>
  <c r="S96" i="35" s="1"/>
  <c r="G95" i="35"/>
  <c r="S95" i="35" s="1"/>
  <c r="G94" i="35"/>
  <c r="S94" i="35" s="1"/>
  <c r="G92" i="35"/>
  <c r="S92" i="35" s="1"/>
  <c r="G117" i="35"/>
  <c r="S117" i="35" s="1"/>
  <c r="G124" i="35"/>
  <c r="S124" i="35" s="1"/>
  <c r="G122" i="35"/>
  <c r="S122" i="35" s="1"/>
  <c r="G93" i="35"/>
  <c r="S93" i="35" s="1"/>
  <c r="G91" i="35"/>
  <c r="G82" i="35"/>
  <c r="S82" i="35" s="1"/>
  <c r="G80" i="35"/>
  <c r="S80" i="35" s="1"/>
  <c r="G78" i="35"/>
  <c r="S78" i="35" s="1"/>
  <c r="G83" i="35"/>
  <c r="S83" i="35" s="1"/>
  <c r="G77" i="35"/>
  <c r="S77" i="35" s="1"/>
  <c r="S86" i="35" s="1"/>
  <c r="G196" i="35"/>
  <c r="S196" i="35" s="1"/>
  <c r="G194" i="35"/>
  <c r="S194" i="35" s="1"/>
  <c r="G168" i="35"/>
  <c r="S168" i="35" s="1"/>
  <c r="I142" i="35"/>
  <c r="P73" i="35"/>
  <c r="Q73" i="35"/>
  <c r="K73" i="35"/>
  <c r="O73" i="35"/>
  <c r="L73" i="35"/>
  <c r="N73" i="35"/>
  <c r="J73" i="35"/>
  <c r="M73" i="35"/>
  <c r="S18" i="35"/>
  <c r="I299" i="35"/>
  <c r="I301" i="35"/>
  <c r="F274" i="35"/>
  <c r="F354" i="35"/>
  <c r="G98" i="35"/>
  <c r="S98" i="35" s="1"/>
  <c r="G101" i="35"/>
  <c r="S101" i="35" s="1"/>
  <c r="G103" i="35"/>
  <c r="S103" i="35" s="1"/>
  <c r="M254" i="35"/>
  <c r="I254" i="35"/>
  <c r="I268" i="35" s="1"/>
  <c r="I194" i="35"/>
  <c r="I90" i="35"/>
  <c r="I129" i="35" s="1"/>
  <c r="H90" i="35"/>
  <c r="H129" i="35" s="1"/>
  <c r="G330" i="35"/>
  <c r="S330" i="35" s="1"/>
  <c r="G321" i="35"/>
  <c r="S321" i="35" s="1"/>
  <c r="J290" i="35"/>
  <c r="H241" i="35"/>
  <c r="I192" i="35"/>
  <c r="G189" i="35"/>
  <c r="S189" i="35" s="1"/>
  <c r="G188" i="35"/>
  <c r="S188" i="35" s="1"/>
  <c r="G182" i="35"/>
  <c r="S182" i="35" s="1"/>
  <c r="I171" i="35"/>
  <c r="H168" i="35"/>
  <c r="S71" i="35"/>
  <c r="E274" i="35"/>
  <c r="E354" i="35"/>
  <c r="G345" i="35"/>
  <c r="S345" i="35" s="1"/>
  <c r="G326" i="35"/>
  <c r="S326" i="35" s="1"/>
  <c r="I295" i="35"/>
  <c r="H321" i="35"/>
  <c r="G241" i="35"/>
  <c r="S241" i="35" s="1"/>
  <c r="I230" i="35"/>
  <c r="H237" i="35"/>
  <c r="I266" i="35"/>
  <c r="G154" i="35"/>
  <c r="S154" i="35" s="1"/>
  <c r="H316" i="35"/>
  <c r="I104" i="35"/>
  <c r="H264" i="35"/>
  <c r="P263" i="35"/>
  <c r="O256" i="35"/>
  <c r="G256" i="35"/>
  <c r="S256" i="35" s="1"/>
  <c r="I248" i="35"/>
  <c r="S73" i="35"/>
  <c r="G138" i="35"/>
  <c r="S138" i="35" s="1"/>
  <c r="F265" i="1"/>
  <c r="J254" i="35" s="1"/>
  <c r="O148" i="23"/>
  <c r="H120" i="35"/>
  <c r="G142" i="35"/>
  <c r="S142" i="35" s="1"/>
  <c r="G136" i="35"/>
  <c r="S136" i="35" s="1"/>
  <c r="I102" i="1"/>
  <c r="H254" i="35"/>
  <c r="H268" i="35" s="1"/>
  <c r="G81" i="35"/>
  <c r="S81" i="35" s="1"/>
  <c r="G254" i="35"/>
  <c r="G268" i="35" s="1"/>
  <c r="H104" i="35"/>
  <c r="G120" i="35"/>
  <c r="S120" i="35" s="1"/>
  <c r="H99" i="35"/>
  <c r="G84" i="35"/>
  <c r="S84" i="35" s="1"/>
  <c r="H242" i="35"/>
  <c r="G246" i="35"/>
  <c r="S246" i="35" s="1"/>
  <c r="G90" i="35"/>
  <c r="S90" i="35" s="1"/>
  <c r="S129" i="35" s="1"/>
  <c r="G242" i="35"/>
  <c r="S242" i="35" s="1"/>
  <c r="I242" i="35"/>
  <c r="G119" i="35"/>
  <c r="S119" i="35" s="1"/>
  <c r="I119" i="35"/>
  <c r="H119" i="35"/>
  <c r="I106" i="1"/>
  <c r="I260" i="35"/>
  <c r="H260" i="35"/>
  <c r="G260" i="35"/>
  <c r="S260" i="35" s="1"/>
  <c r="I155" i="35"/>
  <c r="I214" i="35"/>
  <c r="I215" i="35"/>
  <c r="H215" i="35"/>
  <c r="I151" i="35"/>
  <c r="H211" i="35"/>
  <c r="I211" i="35"/>
  <c r="H214" i="35"/>
  <c r="H224" i="35"/>
  <c r="G214" i="35"/>
  <c r="S214" i="35" s="1"/>
  <c r="G211" i="35"/>
  <c r="S211" i="35" s="1"/>
  <c r="G215" i="35"/>
  <c r="S215" i="35" s="1"/>
  <c r="I246" i="35"/>
  <c r="G79" i="35"/>
  <c r="S79" i="35" s="1"/>
  <c r="H81" i="35"/>
  <c r="H246" i="35"/>
  <c r="H84" i="35"/>
  <c r="H187" i="35"/>
  <c r="H79" i="35"/>
  <c r="I81" i="35"/>
  <c r="H250" i="35"/>
  <c r="I84" i="35"/>
  <c r="I79" i="35"/>
  <c r="J143" i="35"/>
  <c r="G143" i="35"/>
  <c r="S143" i="35" s="1"/>
  <c r="H143" i="35"/>
  <c r="I143" i="35"/>
  <c r="K143" i="35"/>
  <c r="O96" i="23"/>
  <c r="G137" i="35"/>
  <c r="S137" i="35" s="1"/>
  <c r="H137" i="35"/>
  <c r="I137" i="35"/>
  <c r="C119" i="17" l="1"/>
  <c r="O56" i="17"/>
  <c r="O113" i="17"/>
  <c r="G157" i="1"/>
  <c r="O157" i="1"/>
  <c r="P149" i="35" s="1"/>
  <c r="H157" i="1"/>
  <c r="P157" i="1"/>
  <c r="Q149" i="35" s="1"/>
  <c r="I157" i="1"/>
  <c r="M157" i="1"/>
  <c r="K157" i="1"/>
  <c r="L149" i="35" s="1"/>
  <c r="F157" i="1"/>
  <c r="J149" i="35" s="1"/>
  <c r="J157" i="1"/>
  <c r="K149" i="35" s="1"/>
  <c r="N157" i="1"/>
  <c r="O149" i="35" s="1"/>
  <c r="Q157" i="1"/>
  <c r="H5" i="29"/>
  <c r="H6" i="29"/>
  <c r="F64" i="23"/>
  <c r="I135" i="1" s="1"/>
  <c r="G64" i="23"/>
  <c r="H64" i="23"/>
  <c r="I64" i="23"/>
  <c r="N64" i="23"/>
  <c r="C64" i="23"/>
  <c r="J64" i="23"/>
  <c r="K64" i="23"/>
  <c r="M64" i="23"/>
  <c r="D64" i="23"/>
  <c r="G135" i="1" s="1"/>
  <c r="E64" i="23"/>
  <c r="H135" i="1" s="1"/>
  <c r="L64" i="23"/>
  <c r="D71" i="37"/>
  <c r="D14" i="36" s="1"/>
  <c r="D81" i="37"/>
  <c r="D15" i="36" s="1"/>
  <c r="B262" i="35"/>
  <c r="I123" i="1"/>
  <c r="F123" i="1"/>
  <c r="H123" i="1"/>
  <c r="G123" i="1"/>
  <c r="B27" i="35"/>
  <c r="B50" i="35"/>
  <c r="S228" i="35"/>
  <c r="S250" i="35" s="1"/>
  <c r="B40" i="35"/>
  <c r="B104" i="35"/>
  <c r="B112" i="35"/>
  <c r="B120" i="35"/>
  <c r="B94" i="35"/>
  <c r="B57" i="35"/>
  <c r="B106" i="35"/>
  <c r="B45" i="35"/>
  <c r="B37" i="35"/>
  <c r="D31" i="37"/>
  <c r="D10" i="36" s="1"/>
  <c r="D96" i="37"/>
  <c r="D17" i="36" s="1"/>
  <c r="D58" i="37"/>
  <c r="D89" i="37"/>
  <c r="D16" i="36" s="1"/>
  <c r="G86" i="35"/>
  <c r="G272" i="35" s="1"/>
  <c r="A226" i="1"/>
  <c r="A217" i="35" s="1"/>
  <c r="B307" i="35"/>
  <c r="A310" i="1"/>
  <c r="A307" i="35" s="1"/>
  <c r="B318" i="35"/>
  <c r="A321" i="1"/>
  <c r="A318" i="35" s="1"/>
  <c r="B322" i="35"/>
  <c r="A325" i="1"/>
  <c r="A322" i="35" s="1"/>
  <c r="B326" i="35"/>
  <c r="A329" i="1"/>
  <c r="A326" i="35" s="1"/>
  <c r="B330" i="35"/>
  <c r="A333" i="1"/>
  <c r="A330" i="35" s="1"/>
  <c r="B137" i="35"/>
  <c r="A147" i="1"/>
  <c r="A137" i="35" s="1"/>
  <c r="B153" i="35"/>
  <c r="A164" i="1"/>
  <c r="A153" i="35" s="1"/>
  <c r="A231" i="1"/>
  <c r="A222" i="35" s="1"/>
  <c r="A225" i="1"/>
  <c r="A216" i="35" s="1"/>
  <c r="B284" i="35"/>
  <c r="A289" i="1"/>
  <c r="A284" i="35" s="1"/>
  <c r="B292" i="35"/>
  <c r="A297" i="1"/>
  <c r="A292" i="35" s="1"/>
  <c r="B300" i="35"/>
  <c r="A303" i="1"/>
  <c r="A300" i="35" s="1"/>
  <c r="B308" i="35"/>
  <c r="A311" i="1"/>
  <c r="A308" i="35" s="1"/>
  <c r="B335" i="35"/>
  <c r="A338" i="1"/>
  <c r="A335" i="35" s="1"/>
  <c r="B339" i="35"/>
  <c r="A342" i="1"/>
  <c r="A339" i="35" s="1"/>
  <c r="B343" i="35"/>
  <c r="A346" i="1"/>
  <c r="A343" i="35" s="1"/>
  <c r="B347" i="35"/>
  <c r="A350" i="1"/>
  <c r="A347" i="35" s="1"/>
  <c r="B138" i="35"/>
  <c r="A149" i="1"/>
  <c r="A138" i="35" s="1"/>
  <c r="B149" i="35"/>
  <c r="A157" i="1"/>
  <c r="A149" i="35" s="1"/>
  <c r="B155" i="35"/>
  <c r="A165" i="1"/>
  <c r="A155" i="35" s="1"/>
  <c r="B221" i="35"/>
  <c r="A230" i="1"/>
  <c r="A221" i="35" s="1"/>
  <c r="B215" i="35"/>
  <c r="A224" i="1"/>
  <c r="A215" i="35" s="1"/>
  <c r="B293" i="35"/>
  <c r="A298" i="1"/>
  <c r="A293" i="35" s="1"/>
  <c r="B301" i="35"/>
  <c r="A304" i="1"/>
  <c r="A301" i="35" s="1"/>
  <c r="B309" i="35"/>
  <c r="A312" i="1"/>
  <c r="A309" i="35" s="1"/>
  <c r="B315" i="35"/>
  <c r="A318" i="1"/>
  <c r="A315" i="35" s="1"/>
  <c r="B319" i="35"/>
  <c r="A322" i="1"/>
  <c r="A319" i="35" s="1"/>
  <c r="B323" i="35"/>
  <c r="A326" i="1"/>
  <c r="A323" i="35" s="1"/>
  <c r="B327" i="35"/>
  <c r="A330" i="1"/>
  <c r="A327" i="35" s="1"/>
  <c r="B331" i="35"/>
  <c r="A334" i="1"/>
  <c r="A331" i="35" s="1"/>
  <c r="A223" i="1"/>
  <c r="A214" i="35" s="1"/>
  <c r="B278" i="35"/>
  <c r="A283" i="1"/>
  <c r="A278" i="35" s="1"/>
  <c r="B286" i="35"/>
  <c r="A291" i="1"/>
  <c r="A286" i="35" s="1"/>
  <c r="B294" i="35"/>
  <c r="A299" i="1"/>
  <c r="A294" i="35" s="1"/>
  <c r="B302" i="35"/>
  <c r="A305" i="1"/>
  <c r="A302" i="35" s="1"/>
  <c r="B336" i="35"/>
  <c r="A339" i="1"/>
  <c r="A336" i="35" s="1"/>
  <c r="B340" i="35"/>
  <c r="A343" i="1"/>
  <c r="A340" i="35" s="1"/>
  <c r="B344" i="35"/>
  <c r="A347" i="1"/>
  <c r="A344" i="35" s="1"/>
  <c r="B348" i="35"/>
  <c r="A351" i="1"/>
  <c r="A348" i="35" s="1"/>
  <c r="B150" i="35"/>
  <c r="A159" i="1"/>
  <c r="A150" i="35" s="1"/>
  <c r="B220" i="35"/>
  <c r="A229" i="1"/>
  <c r="B279" i="35"/>
  <c r="A284" i="1"/>
  <c r="A279" i="35" s="1"/>
  <c r="B287" i="35"/>
  <c r="A292" i="1"/>
  <c r="A287" i="35" s="1"/>
  <c r="B295" i="35"/>
  <c r="A300" i="1"/>
  <c r="A295" i="35" s="1"/>
  <c r="B303" i="35"/>
  <c r="A306" i="1"/>
  <c r="A303" i="35" s="1"/>
  <c r="B316" i="35"/>
  <c r="A319" i="1"/>
  <c r="A316" i="35" s="1"/>
  <c r="B320" i="35"/>
  <c r="A323" i="1"/>
  <c r="A320" i="35" s="1"/>
  <c r="B324" i="35"/>
  <c r="A327" i="1"/>
  <c r="A324" i="35" s="1"/>
  <c r="B328" i="35"/>
  <c r="A331" i="1"/>
  <c r="A328" i="35" s="1"/>
  <c r="B332" i="35"/>
  <c r="A335" i="1"/>
  <c r="A332" i="35" s="1"/>
  <c r="B133" i="35"/>
  <c r="A143" i="1"/>
  <c r="A133" i="35" s="1"/>
  <c r="B151" i="35"/>
  <c r="A160" i="1"/>
  <c r="A151" i="35" s="1"/>
  <c r="B9" i="35"/>
  <c r="A9" i="1"/>
  <c r="A9" i="35" s="1"/>
  <c r="B213" i="35"/>
  <c r="A222" i="1"/>
  <c r="A213" i="35" s="1"/>
  <c r="B280" i="35"/>
  <c r="A285" i="1"/>
  <c r="A280" i="35" s="1"/>
  <c r="B288" i="35"/>
  <c r="A293" i="1"/>
  <c r="A288" i="35" s="1"/>
  <c r="B296" i="35"/>
  <c r="A301" i="1"/>
  <c r="A296" i="35" s="1"/>
  <c r="B304" i="35"/>
  <c r="A307" i="1"/>
  <c r="A304" i="35" s="1"/>
  <c r="B337" i="35"/>
  <c r="A340" i="1"/>
  <c r="A337" i="35" s="1"/>
  <c r="B341" i="35"/>
  <c r="A344" i="1"/>
  <c r="A341" i="35" s="1"/>
  <c r="B345" i="35"/>
  <c r="A348" i="1"/>
  <c r="A345" i="35" s="1"/>
  <c r="B349" i="35"/>
  <c r="A352" i="1"/>
  <c r="A349" i="35" s="1"/>
  <c r="B134" i="35"/>
  <c r="A144" i="1"/>
  <c r="A134" i="35" s="1"/>
  <c r="B142" i="35"/>
  <c r="A150" i="1"/>
  <c r="A142" i="35" s="1"/>
  <c r="B156" i="35"/>
  <c r="A161" i="1"/>
  <c r="A156" i="35" s="1"/>
  <c r="G206" i="35"/>
  <c r="B219" i="35"/>
  <c r="A228" i="1"/>
  <c r="A219" i="35" s="1"/>
  <c r="B212" i="35"/>
  <c r="A221" i="1"/>
  <c r="B281" i="35"/>
  <c r="A286" i="1"/>
  <c r="A281" i="35" s="1"/>
  <c r="B289" i="35"/>
  <c r="A294" i="1"/>
  <c r="A289" i="35" s="1"/>
  <c r="B317" i="35"/>
  <c r="A320" i="1"/>
  <c r="A317" i="35" s="1"/>
  <c r="B321" i="35"/>
  <c r="A324" i="1"/>
  <c r="A321" i="35" s="1"/>
  <c r="B325" i="35"/>
  <c r="A328" i="1"/>
  <c r="A325" i="35" s="1"/>
  <c r="B329" i="35"/>
  <c r="A332" i="1"/>
  <c r="A329" i="35" s="1"/>
  <c r="B135" i="35"/>
  <c r="A145" i="1"/>
  <c r="A135" i="35" s="1"/>
  <c r="B152" i="35"/>
  <c r="A162" i="1"/>
  <c r="A152" i="35" s="1"/>
  <c r="B210" i="35"/>
  <c r="A219" i="1"/>
  <c r="A227" i="1"/>
  <c r="A218" i="35" s="1"/>
  <c r="B211" i="35"/>
  <c r="A220" i="1"/>
  <c r="A211" i="35" s="1"/>
  <c r="B282" i="35"/>
  <c r="A287" i="1"/>
  <c r="A282" i="35" s="1"/>
  <c r="B290" i="35"/>
  <c r="A295" i="1"/>
  <c r="A290" i="35" s="1"/>
  <c r="B298" i="35"/>
  <c r="A298" i="35"/>
  <c r="B306" i="35"/>
  <c r="A309" i="1"/>
  <c r="A306" i="35" s="1"/>
  <c r="B334" i="35"/>
  <c r="A337" i="1"/>
  <c r="A334" i="35" s="1"/>
  <c r="B338" i="35"/>
  <c r="A341" i="1"/>
  <c r="A338" i="35" s="1"/>
  <c r="B342" i="35"/>
  <c r="A345" i="1"/>
  <c r="A342" i="35" s="1"/>
  <c r="B346" i="35"/>
  <c r="A349" i="1"/>
  <c r="A346" i="35" s="1"/>
  <c r="B350" i="35"/>
  <c r="A353" i="1"/>
  <c r="A350" i="35" s="1"/>
  <c r="B136" i="35"/>
  <c r="A146" i="1"/>
  <c r="A136" i="35" s="1"/>
  <c r="B154" i="35"/>
  <c r="A163" i="1"/>
  <c r="A154" i="35" s="1"/>
  <c r="B333" i="35"/>
  <c r="A336" i="1"/>
  <c r="A333" i="35" s="1"/>
  <c r="B305" i="35"/>
  <c r="A308" i="1"/>
  <c r="A305" i="35" s="1"/>
  <c r="B297" i="35"/>
  <c r="A302" i="1"/>
  <c r="A297" i="35" s="1"/>
  <c r="B291" i="35"/>
  <c r="A296" i="1"/>
  <c r="A291" i="35" s="1"/>
  <c r="B285" i="35"/>
  <c r="A290" i="1"/>
  <c r="A285" i="35" s="1"/>
  <c r="B283" i="35"/>
  <c r="A288" i="1"/>
  <c r="A283" i="35" s="1"/>
  <c r="B245" i="35"/>
  <c r="A252" i="1"/>
  <c r="A245" i="35" s="1"/>
  <c r="B270" i="35"/>
  <c r="A275" i="1"/>
  <c r="A270" i="35" s="1"/>
  <c r="B164" i="35"/>
  <c r="A173" i="1"/>
  <c r="A164" i="35" s="1"/>
  <c r="B172" i="35"/>
  <c r="A181" i="1"/>
  <c r="A172" i="35" s="1"/>
  <c r="B184" i="35"/>
  <c r="A193" i="1"/>
  <c r="A184" i="35" s="1"/>
  <c r="B196" i="35"/>
  <c r="A205" i="1"/>
  <c r="A196" i="35" s="1"/>
  <c r="B204" i="35"/>
  <c r="A213" i="1"/>
  <c r="A204" i="35" s="1"/>
  <c r="B242" i="35"/>
  <c r="A250" i="1"/>
  <c r="A242" i="35" s="1"/>
  <c r="B264" i="35"/>
  <c r="A269" i="1"/>
  <c r="A264" i="35" s="1"/>
  <c r="B235" i="35"/>
  <c r="A244" i="1"/>
  <c r="A235" i="35" s="1"/>
  <c r="B243" i="35"/>
  <c r="A243" i="35"/>
  <c r="B126" i="35"/>
  <c r="A126" i="35"/>
  <c r="B119" i="35"/>
  <c r="A119" i="35"/>
  <c r="B111" i="35"/>
  <c r="A111" i="35"/>
  <c r="B102" i="35"/>
  <c r="A105" i="1"/>
  <c r="A102" i="35" s="1"/>
  <c r="B93" i="35"/>
  <c r="A97" i="1"/>
  <c r="A93" i="35" s="1"/>
  <c r="B81" i="35"/>
  <c r="A85" i="1"/>
  <c r="A81" i="35" s="1"/>
  <c r="B265" i="35"/>
  <c r="A270" i="1"/>
  <c r="A265" i="35" s="1"/>
  <c r="B168" i="35"/>
  <c r="A177" i="1"/>
  <c r="A168" i="35" s="1"/>
  <c r="B176" i="35"/>
  <c r="A185" i="1"/>
  <c r="A176" i="35" s="1"/>
  <c r="B180" i="35"/>
  <c r="A189" i="1"/>
  <c r="A180" i="35" s="1"/>
  <c r="B192" i="35"/>
  <c r="A201" i="1"/>
  <c r="A192" i="35" s="1"/>
  <c r="B200" i="35"/>
  <c r="A209" i="1"/>
  <c r="A200" i="35" s="1"/>
  <c r="B234" i="35"/>
  <c r="A243" i="1"/>
  <c r="A234" i="35" s="1"/>
  <c r="B255" i="35"/>
  <c r="A266" i="1"/>
  <c r="A255" i="35" s="1"/>
  <c r="B79" i="35"/>
  <c r="B165" i="35"/>
  <c r="A174" i="1"/>
  <c r="A165" i="35" s="1"/>
  <c r="B169" i="35"/>
  <c r="A178" i="1"/>
  <c r="A169" i="35" s="1"/>
  <c r="B173" i="35"/>
  <c r="A182" i="1"/>
  <c r="A173" i="35" s="1"/>
  <c r="B177" i="35"/>
  <c r="A186" i="1"/>
  <c r="A177" i="35" s="1"/>
  <c r="B181" i="35"/>
  <c r="A190" i="1"/>
  <c r="A181" i="35" s="1"/>
  <c r="B185" i="35"/>
  <c r="A194" i="1"/>
  <c r="A185" i="35" s="1"/>
  <c r="B189" i="35"/>
  <c r="A198" i="1"/>
  <c r="A189" i="35" s="1"/>
  <c r="B193" i="35"/>
  <c r="A202" i="1"/>
  <c r="A193" i="35" s="1"/>
  <c r="B197" i="35"/>
  <c r="A206" i="1"/>
  <c r="A197" i="35" s="1"/>
  <c r="B201" i="35"/>
  <c r="A210" i="1"/>
  <c r="A201" i="35" s="1"/>
  <c r="B236" i="35"/>
  <c r="A245" i="1"/>
  <c r="A236" i="35" s="1"/>
  <c r="B244" i="35"/>
  <c r="A251" i="1"/>
  <c r="A244" i="35" s="1"/>
  <c r="B125" i="35"/>
  <c r="A125" i="35"/>
  <c r="B118" i="35"/>
  <c r="A118" i="35"/>
  <c r="B110" i="35"/>
  <c r="A110" i="35"/>
  <c r="B101" i="35"/>
  <c r="A104" i="1"/>
  <c r="A101" i="35" s="1"/>
  <c r="B92" i="35"/>
  <c r="A96" i="1"/>
  <c r="A92" i="35" s="1"/>
  <c r="B80" i="35"/>
  <c r="A84" i="1"/>
  <c r="A80" i="35" s="1"/>
  <c r="B91" i="35"/>
  <c r="A95" i="1"/>
  <c r="A91" i="35" s="1"/>
  <c r="B124" i="35"/>
  <c r="B166" i="35"/>
  <c r="A175" i="1"/>
  <c r="A166" i="35" s="1"/>
  <c r="B170" i="35"/>
  <c r="A179" i="1"/>
  <c r="A170" i="35" s="1"/>
  <c r="B174" i="35"/>
  <c r="A183" i="1"/>
  <c r="A174" i="35" s="1"/>
  <c r="B178" i="35"/>
  <c r="A187" i="1"/>
  <c r="A178" i="35" s="1"/>
  <c r="B182" i="35"/>
  <c r="A191" i="1"/>
  <c r="A182" i="35" s="1"/>
  <c r="B186" i="35"/>
  <c r="A195" i="1"/>
  <c r="A186" i="35" s="1"/>
  <c r="B190" i="35"/>
  <c r="A199" i="1"/>
  <c r="A190" i="35" s="1"/>
  <c r="B194" i="35"/>
  <c r="A203" i="1"/>
  <c r="A194" i="35" s="1"/>
  <c r="B198" i="35"/>
  <c r="A207" i="1"/>
  <c r="A198" i="35" s="1"/>
  <c r="B202" i="35"/>
  <c r="A211" i="1"/>
  <c r="A202" i="35" s="1"/>
  <c r="B230" i="35"/>
  <c r="A239" i="1"/>
  <c r="A230" i="35" s="1"/>
  <c r="B238" i="35"/>
  <c r="A238" i="35"/>
  <c r="B246" i="35"/>
  <c r="A253" i="1"/>
  <c r="A246" i="35" s="1"/>
  <c r="B123" i="35"/>
  <c r="A123" i="35"/>
  <c r="B116" i="35"/>
  <c r="A116" i="35"/>
  <c r="B108" i="35"/>
  <c r="A108" i="35"/>
  <c r="B99" i="35"/>
  <c r="A102" i="1"/>
  <c r="A99" i="35" s="1"/>
  <c r="B90" i="35"/>
  <c r="A94" i="1"/>
  <c r="A90" i="35" s="1"/>
  <c r="B78" i="35"/>
  <c r="A82" i="1"/>
  <c r="A78" i="35" s="1"/>
  <c r="B229" i="35"/>
  <c r="A238" i="1"/>
  <c r="A229" i="35" s="1"/>
  <c r="B109" i="35"/>
  <c r="A109" i="35"/>
  <c r="B228" i="35"/>
  <c r="A237" i="1"/>
  <c r="A228" i="35" s="1"/>
  <c r="B260" i="35"/>
  <c r="A268" i="1"/>
  <c r="A260" i="35" s="1"/>
  <c r="B231" i="35"/>
  <c r="A240" i="1"/>
  <c r="A231" i="35" s="1"/>
  <c r="B239" i="35"/>
  <c r="A247" i="1"/>
  <c r="A239" i="35" s="1"/>
  <c r="B247" i="35"/>
  <c r="A254" i="1"/>
  <c r="A247" i="35" s="1"/>
  <c r="B122" i="35"/>
  <c r="A122" i="35"/>
  <c r="B115" i="35"/>
  <c r="A115" i="35"/>
  <c r="B107" i="35"/>
  <c r="A107" i="35"/>
  <c r="B98" i="35"/>
  <c r="A101" i="1"/>
  <c r="A98" i="35" s="1"/>
  <c r="B77" i="35"/>
  <c r="A81" i="1"/>
  <c r="A77" i="35" s="1"/>
  <c r="B117" i="35"/>
  <c r="A117" i="35"/>
  <c r="B100" i="35"/>
  <c r="A103" i="1"/>
  <c r="A100" i="35" s="1"/>
  <c r="B163" i="35"/>
  <c r="A172" i="1"/>
  <c r="A163" i="35" s="1"/>
  <c r="B167" i="35"/>
  <c r="A176" i="1"/>
  <c r="A167" i="35" s="1"/>
  <c r="B171" i="35"/>
  <c r="A180" i="1"/>
  <c r="A171" i="35" s="1"/>
  <c r="B175" i="35"/>
  <c r="A184" i="1"/>
  <c r="A175" i="35" s="1"/>
  <c r="B179" i="35"/>
  <c r="A188" i="1"/>
  <c r="A179" i="35" s="1"/>
  <c r="B183" i="35"/>
  <c r="A192" i="1"/>
  <c r="A183" i="35" s="1"/>
  <c r="B187" i="35"/>
  <c r="A196" i="1"/>
  <c r="A187" i="35" s="1"/>
  <c r="B191" i="35"/>
  <c r="A200" i="1"/>
  <c r="A191" i="35" s="1"/>
  <c r="B195" i="35"/>
  <c r="A204" i="1"/>
  <c r="A195" i="35" s="1"/>
  <c r="B199" i="35"/>
  <c r="A208" i="1"/>
  <c r="A199" i="35" s="1"/>
  <c r="B203" i="35"/>
  <c r="A212" i="1"/>
  <c r="A203" i="35" s="1"/>
  <c r="B232" i="35"/>
  <c r="A241" i="1"/>
  <c r="A232" i="35" s="1"/>
  <c r="B240" i="35"/>
  <c r="A248" i="1"/>
  <c r="A240" i="35" s="1"/>
  <c r="B248" i="35"/>
  <c r="A255" i="1"/>
  <c r="A248" i="35" s="1"/>
  <c r="B121" i="35"/>
  <c r="A121" i="35"/>
  <c r="B114" i="35"/>
  <c r="A114" i="35"/>
  <c r="B97" i="35"/>
  <c r="A100" i="1"/>
  <c r="A97" i="35" s="1"/>
  <c r="B84" i="35"/>
  <c r="A88" i="1"/>
  <c r="A84" i="35" s="1"/>
  <c r="B237" i="35"/>
  <c r="A246" i="1"/>
  <c r="A237" i="35" s="1"/>
  <c r="B254" i="35"/>
  <c r="A265" i="1"/>
  <c r="A254" i="35" s="1"/>
  <c r="B266" i="35"/>
  <c r="A271" i="1"/>
  <c r="A266" i="35" s="1"/>
  <c r="B258" i="35"/>
  <c r="A267" i="1"/>
  <c r="A258" i="35" s="1"/>
  <c r="B233" i="35"/>
  <c r="A242" i="1"/>
  <c r="A233" i="35" s="1"/>
  <c r="B241" i="35"/>
  <c r="A249" i="1"/>
  <c r="A241" i="35" s="1"/>
  <c r="B127" i="35"/>
  <c r="A127" i="35"/>
  <c r="B113" i="35"/>
  <c r="A113" i="35"/>
  <c r="B105" i="35"/>
  <c r="A107" i="1"/>
  <c r="A105" i="35" s="1"/>
  <c r="B83" i="35"/>
  <c r="A87" i="1"/>
  <c r="A83" i="35" s="1"/>
  <c r="B188" i="35"/>
  <c r="A197" i="1"/>
  <c r="A188" i="35" s="1"/>
  <c r="B44" i="35"/>
  <c r="A42" i="1"/>
  <c r="A44" i="35" s="1"/>
  <c r="B69" i="35"/>
  <c r="A65" i="1"/>
  <c r="A69" i="35" s="1"/>
  <c r="B64" i="35"/>
  <c r="A60" i="1"/>
  <c r="A64" i="35" s="1"/>
  <c r="B51" i="35"/>
  <c r="A49" i="1"/>
  <c r="A51" i="35" s="1"/>
  <c r="B30" i="35"/>
  <c r="A28" i="1"/>
  <c r="A30" i="35" s="1"/>
  <c r="B38" i="35"/>
  <c r="A36" i="1"/>
  <c r="A38" i="35" s="1"/>
  <c r="B58" i="35"/>
  <c r="A56" i="1"/>
  <c r="A58" i="35" s="1"/>
  <c r="B43" i="35"/>
  <c r="A41" i="1"/>
  <c r="A43" i="35" s="1"/>
  <c r="B36" i="35"/>
  <c r="A34" i="1"/>
  <c r="A36" i="35" s="1"/>
  <c r="B25" i="35"/>
  <c r="A23" i="1"/>
  <c r="A25" i="35" s="1"/>
  <c r="B62" i="35"/>
  <c r="A58" i="1"/>
  <c r="A62" i="35" s="1"/>
  <c r="B48" i="35"/>
  <c r="A47" i="1"/>
  <c r="A48" i="35" s="1"/>
  <c r="B42" i="35"/>
  <c r="A40" i="1"/>
  <c r="A42" i="35" s="1"/>
  <c r="B35" i="35"/>
  <c r="A33" i="1"/>
  <c r="A35" i="35" s="1"/>
  <c r="B29" i="35"/>
  <c r="A27" i="1"/>
  <c r="A29" i="35" s="1"/>
  <c r="B52" i="35"/>
  <c r="A50" i="1"/>
  <c r="A52" i="35" s="1"/>
  <c r="B68" i="35"/>
  <c r="A68" i="35"/>
  <c r="B56" i="35"/>
  <c r="A54" i="1"/>
  <c r="A56" i="35" s="1"/>
  <c r="B47" i="35"/>
  <c r="A46" i="1"/>
  <c r="A47" i="35" s="1"/>
  <c r="B41" i="35"/>
  <c r="A39" i="1"/>
  <c r="A41" i="35" s="1"/>
  <c r="B34" i="35"/>
  <c r="A32" i="1"/>
  <c r="A34" i="35" s="1"/>
  <c r="B65" i="35"/>
  <c r="A61" i="1"/>
  <c r="A65" i="35" s="1"/>
  <c r="B61" i="35"/>
  <c r="A61" i="35"/>
  <c r="B55" i="35"/>
  <c r="A53" i="1"/>
  <c r="A55" i="35" s="1"/>
  <c r="B46" i="35"/>
  <c r="A44" i="1"/>
  <c r="A46" i="35" s="1"/>
  <c r="B33" i="35"/>
  <c r="A31" i="1"/>
  <c r="A33" i="35" s="1"/>
  <c r="B31" i="35"/>
  <c r="A29" i="1"/>
  <c r="A31" i="35" s="1"/>
  <c r="B67" i="35"/>
  <c r="A62" i="1"/>
  <c r="A67" i="35" s="1"/>
  <c r="B54" i="35"/>
  <c r="A52" i="1"/>
  <c r="A54" i="35" s="1"/>
  <c r="B59" i="35"/>
  <c r="B22" i="35"/>
  <c r="A21" i="1"/>
  <c r="A22" i="35" s="1"/>
  <c r="B60" i="35"/>
  <c r="A57" i="1"/>
  <c r="A60" i="35" s="1"/>
  <c r="B39" i="35"/>
  <c r="A37" i="1"/>
  <c r="A39" i="35" s="1"/>
  <c r="B26" i="35"/>
  <c r="A24" i="1"/>
  <c r="A26" i="35" s="1"/>
  <c r="J47" i="1"/>
  <c r="C33" i="39"/>
  <c r="I33" i="39"/>
  <c r="L47" i="1" s="1"/>
  <c r="L33" i="39"/>
  <c r="O47" i="1" s="1"/>
  <c r="H47" i="1"/>
  <c r="F33" i="39"/>
  <c r="I47" i="1" s="1"/>
  <c r="K47" i="1"/>
  <c r="M47" i="1"/>
  <c r="N47" i="1"/>
  <c r="G47" i="1"/>
  <c r="P47" i="1"/>
  <c r="Q47" i="1"/>
  <c r="E134" i="23"/>
  <c r="I134" i="23"/>
  <c r="M134" i="23"/>
  <c r="F134" i="23"/>
  <c r="J134" i="23"/>
  <c r="N134" i="23"/>
  <c r="K134" i="23"/>
  <c r="C134" i="23"/>
  <c r="D134" i="23"/>
  <c r="H134" i="23"/>
  <c r="L134" i="23"/>
  <c r="G134" i="23"/>
  <c r="D7" i="14"/>
  <c r="C5" i="39" s="1"/>
  <c r="Q14" i="13"/>
  <c r="L114" i="35"/>
  <c r="M114" i="35"/>
  <c r="O114" i="35"/>
  <c r="K114" i="35"/>
  <c r="P114" i="35"/>
  <c r="R114" i="35"/>
  <c r="Q114" i="35"/>
  <c r="N114" i="35"/>
  <c r="G159" i="35"/>
  <c r="R323" i="1"/>
  <c r="D323" i="1" s="1"/>
  <c r="Q119" i="35"/>
  <c r="G129" i="35"/>
  <c r="H354" i="35"/>
  <c r="K268" i="35"/>
  <c r="S133" i="35"/>
  <c r="S145" i="35" s="1"/>
  <c r="A210" i="35"/>
  <c r="J35" i="14"/>
  <c r="H314" i="1"/>
  <c r="P314" i="1"/>
  <c r="L355" i="1"/>
  <c r="A212" i="35"/>
  <c r="B222" i="35"/>
  <c r="B216" i="35"/>
  <c r="A220" i="35"/>
  <c r="B214" i="35"/>
  <c r="R222" i="1"/>
  <c r="D222" i="1" s="1"/>
  <c r="R228" i="1"/>
  <c r="D228" i="1" s="1"/>
  <c r="R351" i="1"/>
  <c r="D351" i="1" s="1"/>
  <c r="O80" i="28"/>
  <c r="F314" i="1"/>
  <c r="O37" i="28"/>
  <c r="N348" i="35"/>
  <c r="R283" i="1"/>
  <c r="D283" i="1" s="1"/>
  <c r="R287" i="1"/>
  <c r="D287" i="1" s="1"/>
  <c r="R295" i="1"/>
  <c r="D295" i="1" s="1"/>
  <c r="R299" i="1"/>
  <c r="D299" i="1" s="1"/>
  <c r="R306" i="1"/>
  <c r="D306" i="1" s="1"/>
  <c r="R309" i="1"/>
  <c r="D309" i="1" s="1"/>
  <c r="R310" i="1"/>
  <c r="D310" i="1" s="1"/>
  <c r="R318" i="1"/>
  <c r="D318" i="1" s="1"/>
  <c r="R319" i="1"/>
  <c r="D319" i="1" s="1"/>
  <c r="R322" i="1"/>
  <c r="D322" i="1" s="1"/>
  <c r="R327" i="1"/>
  <c r="D327" i="1" s="1"/>
  <c r="R331" i="1"/>
  <c r="D331" i="1" s="1"/>
  <c r="R336" i="1"/>
  <c r="D336" i="1" s="1"/>
  <c r="R339" i="1"/>
  <c r="D339" i="1" s="1"/>
  <c r="R347" i="1"/>
  <c r="D347" i="1" s="1"/>
  <c r="R352" i="1"/>
  <c r="D352" i="1" s="1"/>
  <c r="P268" i="35"/>
  <c r="R61" i="1"/>
  <c r="D61" i="1" s="1"/>
  <c r="R28" i="1"/>
  <c r="D28" i="1" s="1"/>
  <c r="R67" i="1"/>
  <c r="D67" i="1" s="1"/>
  <c r="R62" i="1"/>
  <c r="D62" i="1" s="1"/>
  <c r="R49" i="1"/>
  <c r="D49" i="1" s="1"/>
  <c r="R38" i="1"/>
  <c r="D38" i="1" s="1"/>
  <c r="H22" i="29"/>
  <c r="D22" i="29" s="1"/>
  <c r="M119" i="35"/>
  <c r="P119" i="35"/>
  <c r="L119" i="35"/>
  <c r="O119" i="35"/>
  <c r="N119" i="35"/>
  <c r="K119" i="35"/>
  <c r="R119" i="35"/>
  <c r="S272" i="35"/>
  <c r="G274" i="35"/>
  <c r="R288" i="1"/>
  <c r="D288" i="1" s="1"/>
  <c r="J305" i="35"/>
  <c r="R335" i="1"/>
  <c r="D335" i="1" s="1"/>
  <c r="R284" i="1"/>
  <c r="D284" i="1" s="1"/>
  <c r="R307" i="1"/>
  <c r="D307" i="1" s="1"/>
  <c r="R344" i="1"/>
  <c r="D344" i="1" s="1"/>
  <c r="R349" i="1"/>
  <c r="D349" i="1" s="1"/>
  <c r="R21" i="1"/>
  <c r="D21" i="1" s="1"/>
  <c r="R48" i="1"/>
  <c r="D48" i="1" s="1"/>
  <c r="R46" i="1"/>
  <c r="D46" i="1" s="1"/>
  <c r="R44" i="1"/>
  <c r="D44" i="1" s="1"/>
  <c r="M268" i="35"/>
  <c r="G311" i="35"/>
  <c r="S311" i="35" s="1"/>
  <c r="R219" i="1"/>
  <c r="D219" i="1" s="1"/>
  <c r="R340" i="1"/>
  <c r="D340" i="1" s="1"/>
  <c r="O333" i="35"/>
  <c r="O352" i="35" s="1"/>
  <c r="R95" i="1"/>
  <c r="D95" i="1" s="1"/>
  <c r="O268" i="35"/>
  <c r="Q311" i="35"/>
  <c r="I354" i="35"/>
  <c r="R296" i="1"/>
  <c r="D296" i="1" s="1"/>
  <c r="C4" i="23"/>
  <c r="D16" i="1"/>
  <c r="M280" i="35"/>
  <c r="L314" i="1"/>
  <c r="K315" i="35"/>
  <c r="J355" i="1"/>
  <c r="R328" i="1"/>
  <c r="D328" i="1" s="1"/>
  <c r="R229" i="1"/>
  <c r="D229" i="1" s="1"/>
  <c r="R300" i="1"/>
  <c r="D300" i="1" s="1"/>
  <c r="R36" i="1"/>
  <c r="D36" i="1" s="1"/>
  <c r="Q352" i="35"/>
  <c r="R42" i="1"/>
  <c r="D42" i="1" s="1"/>
  <c r="J337" i="35"/>
  <c r="R348" i="1"/>
  <c r="D348" i="1" s="1"/>
  <c r="R312" i="1"/>
  <c r="D312" i="1" s="1"/>
  <c r="F355" i="1"/>
  <c r="K344" i="35"/>
  <c r="K319" i="35"/>
  <c r="M318" i="35"/>
  <c r="M352" i="35" s="1"/>
  <c r="M296" i="35"/>
  <c r="K116" i="35"/>
  <c r="K218" i="35"/>
  <c r="M284" i="35"/>
  <c r="R289" i="1"/>
  <c r="D289" i="1" s="1"/>
  <c r="K302" i="35"/>
  <c r="R305" i="1"/>
  <c r="D305" i="1" s="1"/>
  <c r="R332" i="1"/>
  <c r="D332" i="1" s="1"/>
  <c r="R145" i="1"/>
  <c r="D145" i="1" s="1"/>
  <c r="R304" i="1"/>
  <c r="D304" i="1" s="1"/>
  <c r="R66" i="1"/>
  <c r="D66" i="1" s="1"/>
  <c r="R37" i="1"/>
  <c r="D37" i="1" s="1"/>
  <c r="R33" i="1"/>
  <c r="D33" i="1" s="1"/>
  <c r="R325" i="1"/>
  <c r="D325" i="1" s="1"/>
  <c r="R329" i="1"/>
  <c r="D329" i="1" s="1"/>
  <c r="R333" i="1"/>
  <c r="D333" i="1" s="1"/>
  <c r="R337" i="1"/>
  <c r="D337" i="1" s="1"/>
  <c r="R343" i="1"/>
  <c r="D343" i="1" s="1"/>
  <c r="R230" i="1"/>
  <c r="D230" i="1" s="1"/>
  <c r="R291" i="1"/>
  <c r="D291" i="1" s="1"/>
  <c r="J301" i="35"/>
  <c r="K306" i="35"/>
  <c r="J280" i="35"/>
  <c r="J311" i="35" s="1"/>
  <c r="R285" i="1"/>
  <c r="D285" i="1" s="1"/>
  <c r="R221" i="1"/>
  <c r="D221" i="1" s="1"/>
  <c r="K212" i="35"/>
  <c r="O279" i="35"/>
  <c r="O311" i="35" s="1"/>
  <c r="N314" i="1"/>
  <c r="K293" i="35"/>
  <c r="R298" i="1"/>
  <c r="D298" i="1" s="1"/>
  <c r="R320" i="1"/>
  <c r="D320" i="1" s="1"/>
  <c r="R35" i="1"/>
  <c r="D35" i="1" s="1"/>
  <c r="R321" i="1"/>
  <c r="D321" i="1" s="1"/>
  <c r="R353" i="1"/>
  <c r="D353" i="1" s="1"/>
  <c r="R301" i="1"/>
  <c r="D301" i="1" s="1"/>
  <c r="R297" i="1"/>
  <c r="D297" i="1" s="1"/>
  <c r="J204" i="35"/>
  <c r="R213" i="1"/>
  <c r="D213" i="1" s="1"/>
  <c r="H355" i="1"/>
  <c r="N355" i="1"/>
  <c r="R290" i="1"/>
  <c r="D290" i="1" s="1"/>
  <c r="K285" i="35"/>
  <c r="R292" i="1"/>
  <c r="D292" i="1" s="1"/>
  <c r="R32" i="1"/>
  <c r="D32" i="1" s="1"/>
  <c r="G352" i="35"/>
  <c r="S352" i="35" s="1"/>
  <c r="S254" i="35"/>
  <c r="S268" i="35" s="1"/>
  <c r="R326" i="1"/>
  <c r="D326" i="1" s="1"/>
  <c r="R330" i="1"/>
  <c r="D330" i="1" s="1"/>
  <c r="R334" i="1"/>
  <c r="D334" i="1" s="1"/>
  <c r="R338" i="1"/>
  <c r="D338" i="1" s="1"/>
  <c r="R286" i="1"/>
  <c r="D286" i="1" s="1"/>
  <c r="R293" i="1"/>
  <c r="D293" i="1" s="1"/>
  <c r="P355" i="1"/>
  <c r="R231" i="1"/>
  <c r="D231" i="1" s="1"/>
  <c r="K222" i="35"/>
  <c r="M305" i="35"/>
  <c r="R308" i="1"/>
  <c r="D308" i="1" s="1"/>
  <c r="J268" i="35"/>
  <c r="R324" i="1"/>
  <c r="D324" i="1" s="1"/>
  <c r="R303" i="1"/>
  <c r="D303" i="1" s="1"/>
  <c r="R311" i="1"/>
  <c r="D311" i="1" s="1"/>
  <c r="R57" i="1"/>
  <c r="D57" i="1" s="1"/>
  <c r="R350" i="1"/>
  <c r="D350" i="1" s="1"/>
  <c r="R302" i="1"/>
  <c r="D302" i="1" s="1"/>
  <c r="K289" i="35"/>
  <c r="R294" i="1"/>
  <c r="D294" i="1" s="1"/>
  <c r="R72" i="1"/>
  <c r="D72" i="1" s="1"/>
  <c r="R41" i="1"/>
  <c r="D41" i="1" s="1"/>
  <c r="G224" i="35"/>
  <c r="R345" i="1"/>
  <c r="D345" i="1" s="1"/>
  <c r="R227" i="1"/>
  <c r="D227" i="1" s="1"/>
  <c r="R256" i="1"/>
  <c r="D256" i="1" s="1"/>
  <c r="R225" i="1"/>
  <c r="D225" i="1" s="1"/>
  <c r="R226" i="1"/>
  <c r="D226" i="1" s="1"/>
  <c r="R22" i="1"/>
  <c r="D22" i="1" s="1"/>
  <c r="M355" i="1"/>
  <c r="K355" i="1"/>
  <c r="G355" i="1"/>
  <c r="O355" i="1"/>
  <c r="O314" i="1"/>
  <c r="M314" i="1"/>
  <c r="K314" i="1"/>
  <c r="I314" i="1"/>
  <c r="I355" i="1"/>
  <c r="Q355" i="1"/>
  <c r="E159" i="38"/>
  <c r="C40" i="36" s="1"/>
  <c r="D40" i="36" s="1"/>
  <c r="N49" i="23"/>
  <c r="F49" i="23"/>
  <c r="I120" i="1" s="1"/>
  <c r="M49" i="23"/>
  <c r="E49" i="23"/>
  <c r="H120" i="1" s="1"/>
  <c r="L49" i="23"/>
  <c r="D49" i="23"/>
  <c r="G120" i="1" s="1"/>
  <c r="K49" i="23"/>
  <c r="C49" i="23"/>
  <c r="F120" i="1" s="1"/>
  <c r="J49" i="23"/>
  <c r="H49" i="23"/>
  <c r="I49" i="23"/>
  <c r="G49" i="23"/>
  <c r="R186" i="1"/>
  <c r="D186" i="1" s="1"/>
  <c r="R239" i="1"/>
  <c r="D239" i="1" s="1"/>
  <c r="R248" i="1"/>
  <c r="D248" i="1" s="1"/>
  <c r="R249" i="1"/>
  <c r="D249" i="1" s="1"/>
  <c r="R243" i="1"/>
  <c r="D243" i="1" s="1"/>
  <c r="R82" i="1"/>
  <c r="D82" i="1" s="1"/>
  <c r="R93" i="1"/>
  <c r="D93" i="1" s="1"/>
  <c r="R98" i="1"/>
  <c r="D98" i="1" s="1"/>
  <c r="R105" i="1"/>
  <c r="D105" i="1" s="1"/>
  <c r="R265" i="1"/>
  <c r="D265" i="1" s="1"/>
  <c r="L268" i="35"/>
  <c r="R143" i="1"/>
  <c r="D143" i="1" s="1"/>
  <c r="R144" i="1"/>
  <c r="D144" i="1" s="1"/>
  <c r="F35" i="14"/>
  <c r="O13" i="39"/>
  <c r="D35" i="14"/>
  <c r="D38" i="14" s="1"/>
  <c r="O15" i="39"/>
  <c r="O40" i="39"/>
  <c r="L143" i="35"/>
  <c r="N134" i="35"/>
  <c r="R269" i="1"/>
  <c r="D269" i="1" s="1"/>
  <c r="R270" i="1"/>
  <c r="D270" i="1" s="1"/>
  <c r="R267" i="1"/>
  <c r="D267" i="1" s="1"/>
  <c r="Q268" i="35"/>
  <c r="K236" i="35"/>
  <c r="R245" i="1"/>
  <c r="D245" i="1" s="1"/>
  <c r="R246" i="1"/>
  <c r="D246" i="1" s="1"/>
  <c r="O238" i="35"/>
  <c r="J240" i="35"/>
  <c r="R212" i="1"/>
  <c r="D212" i="1" s="1"/>
  <c r="R179" i="1"/>
  <c r="D179" i="1" s="1"/>
  <c r="R209" i="1"/>
  <c r="D209" i="1" s="1"/>
  <c r="Q167" i="35"/>
  <c r="R204" i="1"/>
  <c r="D204" i="1" s="1"/>
  <c r="R175" i="1"/>
  <c r="D175" i="1" s="1"/>
  <c r="R178" i="1"/>
  <c r="D178" i="1" s="1"/>
  <c r="R183" i="1"/>
  <c r="D183" i="1" s="1"/>
  <c r="R190" i="1"/>
  <c r="D190" i="1" s="1"/>
  <c r="R191" i="1"/>
  <c r="D191" i="1" s="1"/>
  <c r="R192" i="1"/>
  <c r="D192" i="1" s="1"/>
  <c r="R195" i="1"/>
  <c r="D195" i="1" s="1"/>
  <c r="R198" i="1"/>
  <c r="D198" i="1" s="1"/>
  <c r="R201" i="1"/>
  <c r="D201" i="1" s="1"/>
  <c r="R202" i="1"/>
  <c r="D202" i="1" s="1"/>
  <c r="R207" i="1"/>
  <c r="D207" i="1" s="1"/>
  <c r="K166" i="35"/>
  <c r="R203" i="1"/>
  <c r="D203" i="1" s="1"/>
  <c r="J200" i="35"/>
  <c r="R108" i="1"/>
  <c r="D108" i="1" s="1"/>
  <c r="R197" i="1"/>
  <c r="D197" i="1" s="1"/>
  <c r="R182" i="1"/>
  <c r="D182" i="1" s="1"/>
  <c r="R187" i="1"/>
  <c r="D187" i="1" s="1"/>
  <c r="R193" i="1"/>
  <c r="D193" i="1" s="1"/>
  <c r="R271" i="1"/>
  <c r="D271" i="1" s="1"/>
  <c r="L239" i="35"/>
  <c r="N264" i="35"/>
  <c r="N203" i="35"/>
  <c r="N191" i="35"/>
  <c r="O106" i="35"/>
  <c r="R107" i="1"/>
  <c r="D107" i="1" s="1"/>
  <c r="M107" i="35"/>
  <c r="O118" i="35"/>
  <c r="R252" i="1"/>
  <c r="D252" i="1" s="1"/>
  <c r="R251" i="1"/>
  <c r="D251" i="1" s="1"/>
  <c r="R100" i="1"/>
  <c r="D100" i="1" s="1"/>
  <c r="R177" i="1"/>
  <c r="D177" i="1" s="1"/>
  <c r="R205" i="1"/>
  <c r="D205" i="1" s="1"/>
  <c r="J126" i="35"/>
  <c r="R266" i="1"/>
  <c r="D266" i="1" s="1"/>
  <c r="N199" i="35"/>
  <c r="N183" i="35"/>
  <c r="L196" i="35"/>
  <c r="K108" i="35"/>
  <c r="R242" i="1"/>
  <c r="D242" i="1" s="1"/>
  <c r="R247" i="1"/>
  <c r="D247" i="1" s="1"/>
  <c r="R196" i="1"/>
  <c r="D196" i="1" s="1"/>
  <c r="N254" i="35"/>
  <c r="N268" i="35" s="1"/>
  <c r="R174" i="1"/>
  <c r="D174" i="1" s="1"/>
  <c r="R188" i="1"/>
  <c r="D188" i="1" s="1"/>
  <c r="R194" i="1"/>
  <c r="D194" i="1" s="1"/>
  <c r="R208" i="1"/>
  <c r="D208" i="1" s="1"/>
  <c r="P229" i="35"/>
  <c r="L192" i="35"/>
  <c r="R238" i="1"/>
  <c r="D238" i="1" s="1"/>
  <c r="R244" i="1"/>
  <c r="D244" i="1" s="1"/>
  <c r="R180" i="1"/>
  <c r="D180" i="1" s="1"/>
  <c r="R104" i="1"/>
  <c r="D104" i="1" s="1"/>
  <c r="R173" i="1"/>
  <c r="D173" i="1" s="1"/>
  <c r="R184" i="1"/>
  <c r="D184" i="1" s="1"/>
  <c r="R268" i="35"/>
  <c r="R189" i="1"/>
  <c r="D189" i="1" s="1"/>
  <c r="O163" i="35"/>
  <c r="M115" i="35"/>
  <c r="L102" i="35"/>
  <c r="R241" i="1"/>
  <c r="D241" i="1" s="1"/>
  <c r="R200" i="1"/>
  <c r="D200" i="1" s="1"/>
  <c r="R211" i="1"/>
  <c r="D211" i="1" s="1"/>
  <c r="L231" i="35"/>
  <c r="L243" i="35"/>
  <c r="L168" i="35"/>
  <c r="R255" i="1"/>
  <c r="D255" i="1" s="1"/>
  <c r="R97" i="1"/>
  <c r="D97" i="1" s="1"/>
  <c r="R103" i="1"/>
  <c r="D103" i="1" s="1"/>
  <c r="R176" i="1"/>
  <c r="D176" i="1" s="1"/>
  <c r="R185" i="1"/>
  <c r="D185" i="1" s="1"/>
  <c r="N230" i="35"/>
  <c r="R81" i="1"/>
  <c r="D81" i="1" s="1"/>
  <c r="R240" i="1"/>
  <c r="D240" i="1" s="1"/>
  <c r="J105" i="35"/>
  <c r="M100" i="35"/>
  <c r="R101" i="1"/>
  <c r="D101" i="1" s="1"/>
  <c r="N97" i="35"/>
  <c r="R99" i="1"/>
  <c r="D99" i="1" s="1"/>
  <c r="J95" i="35"/>
  <c r="R210" i="1"/>
  <c r="D210" i="1" s="1"/>
  <c r="R96" i="1"/>
  <c r="D96" i="1" s="1"/>
  <c r="R172" i="1"/>
  <c r="D172" i="1" s="1"/>
  <c r="J342" i="35"/>
  <c r="R341" i="1"/>
  <c r="D341" i="1" s="1"/>
  <c r="P319" i="35"/>
  <c r="P352" i="35" s="1"/>
  <c r="R342" i="1"/>
  <c r="D342" i="1" s="1"/>
  <c r="R346" i="1"/>
  <c r="D346" i="1" s="1"/>
  <c r="J338" i="35"/>
  <c r="L317" i="35"/>
  <c r="L352" i="35" s="1"/>
  <c r="R315" i="35"/>
  <c r="R352" i="35" s="1"/>
  <c r="N316" i="35"/>
  <c r="R311" i="35"/>
  <c r="L280" i="35"/>
  <c r="L311" i="35" s="1"/>
  <c r="N279" i="35"/>
  <c r="N311" i="35" s="1"/>
  <c r="P311" i="35"/>
  <c r="G314" i="1"/>
  <c r="J314" i="1"/>
  <c r="Q314" i="1"/>
  <c r="K278" i="35"/>
  <c r="R87" i="1"/>
  <c r="D87" i="1" s="1"/>
  <c r="M83" i="35"/>
  <c r="R86" i="1"/>
  <c r="D86" i="1" s="1"/>
  <c r="C31" i="23"/>
  <c r="C8" i="11"/>
  <c r="Q74" i="13"/>
  <c r="O35" i="14"/>
  <c r="E35" i="14"/>
  <c r="N35" i="14"/>
  <c r="I35" i="14"/>
  <c r="H35" i="14"/>
  <c r="M35" i="14"/>
  <c r="L35" i="14"/>
  <c r="R141" i="1"/>
  <c r="D141" i="1" s="1"/>
  <c r="K35" i="14"/>
  <c r="G35" i="14"/>
  <c r="R27" i="1"/>
  <c r="D27" i="1" s="1"/>
  <c r="R23" i="1"/>
  <c r="D23" i="1" s="1"/>
  <c r="O9" i="39"/>
  <c r="I54" i="1"/>
  <c r="J172" i="35"/>
  <c r="J180" i="35"/>
  <c r="R181" i="1"/>
  <c r="D181" i="1" s="1"/>
  <c r="R206" i="1"/>
  <c r="D206" i="1" s="1"/>
  <c r="R84" i="1"/>
  <c r="D84" i="1" s="1"/>
  <c r="R71" i="1"/>
  <c r="D71" i="1" s="1"/>
  <c r="R68" i="1"/>
  <c r="D68" i="1" s="1"/>
  <c r="R69" i="1"/>
  <c r="D69" i="1" s="1"/>
  <c r="R60" i="1"/>
  <c r="D60" i="1" s="1"/>
  <c r="R52" i="1"/>
  <c r="D52" i="1" s="1"/>
  <c r="R30" i="1"/>
  <c r="D30" i="1" s="1"/>
  <c r="R39" i="1"/>
  <c r="D39" i="1" s="1"/>
  <c r="R34" i="1"/>
  <c r="D34" i="1" s="1"/>
  <c r="R25" i="1"/>
  <c r="D25" i="1" s="1"/>
  <c r="R29" i="1"/>
  <c r="D29" i="1" s="1"/>
  <c r="R24" i="1"/>
  <c r="D24" i="1" s="1"/>
  <c r="J6" i="40"/>
  <c r="O30" i="17"/>
  <c r="O42" i="17"/>
  <c r="O91" i="17"/>
  <c r="L157" i="1"/>
  <c r="M149" i="35" s="1"/>
  <c r="R149" i="35"/>
  <c r="N149" i="35"/>
  <c r="J150" i="35"/>
  <c r="J153" i="35"/>
  <c r="R164" i="1"/>
  <c r="D164" i="1" s="1"/>
  <c r="X168" i="1"/>
  <c r="J155" i="35"/>
  <c r="R165" i="1"/>
  <c r="D165" i="1" s="1"/>
  <c r="J151" i="35"/>
  <c r="R161" i="1"/>
  <c r="D161" i="1" s="1"/>
  <c r="J156" i="35"/>
  <c r="H159" i="1"/>
  <c r="R162" i="1"/>
  <c r="D162" i="1" s="1"/>
  <c r="O101" i="17"/>
  <c r="Q159" i="1"/>
  <c r="R150" i="35" s="1"/>
  <c r="I159" i="1"/>
  <c r="F163" i="1"/>
  <c r="O66" i="17"/>
  <c r="H158" i="1"/>
  <c r="O16" i="17"/>
  <c r="O80" i="17"/>
  <c r="O111" i="17"/>
  <c r="M159" i="1"/>
  <c r="N150" i="35" s="1"/>
  <c r="N79" i="13"/>
  <c r="O146" i="1" s="1"/>
  <c r="P136" i="35" s="1"/>
  <c r="F79" i="13"/>
  <c r="G146" i="1" s="1"/>
  <c r="D38" i="36"/>
  <c r="H18" i="11" s="1"/>
  <c r="C70" i="23"/>
  <c r="C119" i="23" s="1"/>
  <c r="C146" i="23" s="1"/>
  <c r="O44" i="39"/>
  <c r="F58" i="1"/>
  <c r="O36" i="39"/>
  <c r="F50" i="1"/>
  <c r="C20" i="23"/>
  <c r="C60" i="23" s="1"/>
  <c r="C41" i="28"/>
  <c r="C4" i="28"/>
  <c r="E38" i="13"/>
  <c r="G4" i="1"/>
  <c r="I79" i="13"/>
  <c r="J146" i="1" s="1"/>
  <c r="K136" i="35" s="1"/>
  <c r="E79" i="13"/>
  <c r="F146" i="1" s="1"/>
  <c r="J136" i="35" s="1"/>
  <c r="P79" i="13"/>
  <c r="Q146" i="1" s="1"/>
  <c r="R136" i="35" s="1"/>
  <c r="H79" i="13"/>
  <c r="I146" i="1" s="1"/>
  <c r="O79" i="13"/>
  <c r="P146" i="1" s="1"/>
  <c r="Q136" i="35" s="1"/>
  <c r="G79" i="13"/>
  <c r="H146" i="1" s="1"/>
  <c r="M79" i="13"/>
  <c r="N146" i="1" s="1"/>
  <c r="O136" i="35" s="1"/>
  <c r="G6" i="40"/>
  <c r="K79" i="13"/>
  <c r="L146" i="1" s="1"/>
  <c r="M136" i="35" s="1"/>
  <c r="J79" i="13"/>
  <c r="H4" i="35"/>
  <c r="I4" i="35" s="1"/>
  <c r="J4" i="35" s="1"/>
  <c r="K4" i="35" s="1"/>
  <c r="L4" i="35" s="1"/>
  <c r="M4" i="35" s="1"/>
  <c r="N4" i="35" s="1"/>
  <c r="O4" i="35" s="1"/>
  <c r="P4" i="35" s="1"/>
  <c r="Q4" i="35" s="1"/>
  <c r="R4" i="35" s="1"/>
  <c r="A2" i="35" s="1"/>
  <c r="F4" i="35"/>
  <c r="E4" i="35" s="1"/>
  <c r="D4" i="35" s="1"/>
  <c r="C4" i="35" s="1"/>
  <c r="F131" i="1" l="1"/>
  <c r="C66" i="23"/>
  <c r="K123" i="1"/>
  <c r="L120" i="35" s="1"/>
  <c r="Q123" i="1"/>
  <c r="R120" i="35" s="1"/>
  <c r="M135" i="1"/>
  <c r="N127" i="35" s="1"/>
  <c r="L123" i="1"/>
  <c r="M120" i="35" s="1"/>
  <c r="O120" i="1"/>
  <c r="P117" i="35" s="1"/>
  <c r="N135" i="1"/>
  <c r="O127" i="35" s="1"/>
  <c r="P120" i="1"/>
  <c r="Q117" i="35" s="1"/>
  <c r="F135" i="1"/>
  <c r="O123" i="1"/>
  <c r="P120" i="35" s="1"/>
  <c r="Q135" i="1"/>
  <c r="R127" i="35" s="1"/>
  <c r="Q120" i="1"/>
  <c r="R117" i="35" s="1"/>
  <c r="L135" i="1"/>
  <c r="M127" i="35" s="1"/>
  <c r="J120" i="1"/>
  <c r="K117" i="35" s="1"/>
  <c r="N123" i="1"/>
  <c r="O120" i="35" s="1"/>
  <c r="K135" i="1"/>
  <c r="L127" i="35" s="1"/>
  <c r="L120" i="1"/>
  <c r="M123" i="1"/>
  <c r="J135" i="1"/>
  <c r="K127" i="35" s="1"/>
  <c r="K120" i="1"/>
  <c r="L117" i="35" s="1"/>
  <c r="M120" i="1"/>
  <c r="N117" i="35" s="1"/>
  <c r="O135" i="1"/>
  <c r="P127" i="35" s="1"/>
  <c r="P135" i="1"/>
  <c r="Q127" i="35" s="1"/>
  <c r="J123" i="1"/>
  <c r="K120" i="35" s="1"/>
  <c r="N120" i="1"/>
  <c r="O117" i="35" s="1"/>
  <c r="P123" i="1"/>
  <c r="Q120" i="35" s="1"/>
  <c r="F9" i="1"/>
  <c r="F81" i="13"/>
  <c r="G148" i="1" s="1"/>
  <c r="E81" i="13"/>
  <c r="F148" i="1" s="1"/>
  <c r="C48" i="37"/>
  <c r="C12" i="36" s="1"/>
  <c r="H10" i="29"/>
  <c r="H81" i="13"/>
  <c r="I148" i="1" s="1"/>
  <c r="M81" i="13"/>
  <c r="N148" i="1" s="1"/>
  <c r="L81" i="13"/>
  <c r="M148" i="1" s="1"/>
  <c r="O81" i="13"/>
  <c r="P148" i="1" s="1"/>
  <c r="K81" i="13"/>
  <c r="L148" i="1" s="1"/>
  <c r="G81" i="13"/>
  <c r="H148" i="1" s="1"/>
  <c r="I81" i="13"/>
  <c r="J148" i="1" s="1"/>
  <c r="P81" i="13"/>
  <c r="Q148" i="1" s="1"/>
  <c r="N81" i="13"/>
  <c r="O148" i="1" s="1"/>
  <c r="J81" i="13"/>
  <c r="K148" i="1" s="1"/>
  <c r="D3" i="18"/>
  <c r="D22" i="14"/>
  <c r="D67" i="14" s="1"/>
  <c r="N352" i="35"/>
  <c r="F47" i="1"/>
  <c r="R47" i="1" s="1"/>
  <c r="D47" i="1" s="1"/>
  <c r="O33" i="39"/>
  <c r="D70" i="23"/>
  <c r="D119" i="23" s="1"/>
  <c r="D146" i="23" s="1"/>
  <c r="D4" i="17" s="1"/>
  <c r="D32" i="17" s="1"/>
  <c r="E7" i="14"/>
  <c r="E22" i="14" s="1"/>
  <c r="E67" i="14" s="1"/>
  <c r="C41" i="36"/>
  <c r="D41" i="36" s="1"/>
  <c r="H19" i="11" s="1"/>
  <c r="D23" i="36"/>
  <c r="C28" i="36"/>
  <c r="D28" i="36" s="1"/>
  <c r="H17" i="11" s="1"/>
  <c r="C4" i="14"/>
  <c r="C4" i="17"/>
  <c r="C18" i="17" s="1"/>
  <c r="E54" i="13"/>
  <c r="E46" i="13"/>
  <c r="E63" i="13"/>
  <c r="E45" i="13"/>
  <c r="E44" i="13"/>
  <c r="E51" i="13"/>
  <c r="E43" i="13"/>
  <c r="E48" i="13"/>
  <c r="E50" i="13"/>
  <c r="E67" i="13"/>
  <c r="E52" i="13"/>
  <c r="E49" i="13"/>
  <c r="E66" i="13"/>
  <c r="E65" i="13"/>
  <c r="E47" i="13"/>
  <c r="E64" i="13"/>
  <c r="E53" i="13"/>
  <c r="E62" i="13"/>
  <c r="E68" i="13"/>
  <c r="E61" i="13"/>
  <c r="E41" i="13"/>
  <c r="E60" i="13"/>
  <c r="I83" i="13"/>
  <c r="J150" i="1" s="1"/>
  <c r="K142" i="35" s="1"/>
  <c r="F83" i="13"/>
  <c r="G150" i="1" s="1"/>
  <c r="E83" i="13"/>
  <c r="F150" i="1" s="1"/>
  <c r="K83" i="13"/>
  <c r="L150" i="1" s="1"/>
  <c r="M142" i="35" s="1"/>
  <c r="L83" i="13"/>
  <c r="M150" i="1" s="1"/>
  <c r="N142" i="35" s="1"/>
  <c r="M151" i="23"/>
  <c r="P268" i="1" s="1"/>
  <c r="F151" i="23"/>
  <c r="I268" i="1" s="1"/>
  <c r="I273" i="1" s="1"/>
  <c r="D151" i="23"/>
  <c r="G268" i="1" s="1"/>
  <c r="G273" i="1" s="1"/>
  <c r="K151" i="23"/>
  <c r="K156" i="23" s="1"/>
  <c r="C151" i="23"/>
  <c r="F268" i="1" s="1"/>
  <c r="N151" i="23"/>
  <c r="N156" i="23" s="1"/>
  <c r="J151" i="23"/>
  <c r="J156" i="23" s="1"/>
  <c r="I151" i="23"/>
  <c r="L268" i="1" s="1"/>
  <c r="H151" i="23"/>
  <c r="H156" i="23" s="1"/>
  <c r="E151" i="23"/>
  <c r="E156" i="23" s="1"/>
  <c r="G151" i="23"/>
  <c r="G156" i="23" s="1"/>
  <c r="L151" i="23"/>
  <c r="O268" i="1" s="1"/>
  <c r="C9" i="11"/>
  <c r="L115" i="23"/>
  <c r="O199" i="1"/>
  <c r="M199" i="1"/>
  <c r="J115" i="23"/>
  <c r="H115" i="23"/>
  <c r="K199" i="1"/>
  <c r="G199" i="1"/>
  <c r="G215" i="1" s="1"/>
  <c r="D115" i="23"/>
  <c r="L199" i="1"/>
  <c r="I115" i="23"/>
  <c r="N199" i="1"/>
  <c r="K115" i="23"/>
  <c r="M115" i="23"/>
  <c r="P199" i="1"/>
  <c r="G115" i="23"/>
  <c r="J199" i="1"/>
  <c r="F199" i="1"/>
  <c r="O99" i="23"/>
  <c r="C115" i="23"/>
  <c r="E115" i="23"/>
  <c r="H199" i="1"/>
  <c r="H215" i="1" s="1"/>
  <c r="F115" i="23"/>
  <c r="I199" i="1"/>
  <c r="I215" i="1" s="1"/>
  <c r="N115" i="23"/>
  <c r="Q199" i="1"/>
  <c r="O83" i="13"/>
  <c r="P150" i="1" s="1"/>
  <c r="Q142" i="35" s="1"/>
  <c r="G83" i="13"/>
  <c r="H150" i="1" s="1"/>
  <c r="J83" i="13"/>
  <c r="K150" i="1" s="1"/>
  <c r="L142" i="35" s="1"/>
  <c r="P83" i="13"/>
  <c r="Q150" i="1" s="1"/>
  <c r="R142" i="35" s="1"/>
  <c r="N83" i="13"/>
  <c r="O150" i="1" s="1"/>
  <c r="P142" i="35" s="1"/>
  <c r="H83" i="13"/>
  <c r="I150" i="1" s="1"/>
  <c r="M83" i="13"/>
  <c r="N150" i="1" s="1"/>
  <c r="O142" i="35" s="1"/>
  <c r="K352" i="35"/>
  <c r="J352" i="35"/>
  <c r="F22" i="29"/>
  <c r="D24" i="14" s="1"/>
  <c r="R355" i="1"/>
  <c r="D355" i="1" s="1"/>
  <c r="S274" i="35"/>
  <c r="G354" i="35"/>
  <c r="S354" i="35" s="1"/>
  <c r="K311" i="35"/>
  <c r="D4" i="23"/>
  <c r="D41" i="28"/>
  <c r="R314" i="1"/>
  <c r="M311" i="35"/>
  <c r="E59" i="13"/>
  <c r="O49" i="23"/>
  <c r="O46" i="23"/>
  <c r="R54" i="1"/>
  <c r="D54" i="1" s="1"/>
  <c r="O35" i="23"/>
  <c r="F106" i="1"/>
  <c r="O64" i="23"/>
  <c r="O51" i="23"/>
  <c r="J120" i="35"/>
  <c r="O52" i="23"/>
  <c r="F102" i="1"/>
  <c r="O31" i="23"/>
  <c r="R157" i="1"/>
  <c r="D157" i="1" s="1"/>
  <c r="R159" i="1"/>
  <c r="D159" i="1" s="1"/>
  <c r="R158" i="1"/>
  <c r="D158" i="1" s="1"/>
  <c r="R163" i="1"/>
  <c r="D163" i="1" s="1"/>
  <c r="J154" i="35"/>
  <c r="J159" i="35" s="1"/>
  <c r="R58" i="1"/>
  <c r="D58" i="1" s="1"/>
  <c r="R50" i="1"/>
  <c r="D50" i="1" s="1"/>
  <c r="H4" i="1"/>
  <c r="F7" i="14" s="1"/>
  <c r="D4" i="28"/>
  <c r="F38" i="13"/>
  <c r="D20" i="23"/>
  <c r="Q79" i="13"/>
  <c r="K146" i="1"/>
  <c r="L17" i="14" l="1"/>
  <c r="K10" i="18" s="1"/>
  <c r="K15" i="18" s="1"/>
  <c r="K17" i="14"/>
  <c r="M17" i="14"/>
  <c r="L42" i="39" s="1"/>
  <c r="O56" i="1" s="1"/>
  <c r="R120" i="1"/>
  <c r="D120" i="1" s="1"/>
  <c r="R123" i="1"/>
  <c r="D123" i="1" s="1"/>
  <c r="N120" i="35"/>
  <c r="M117" i="35"/>
  <c r="R135" i="1"/>
  <c r="D135" i="1" s="1"/>
  <c r="J127" i="35"/>
  <c r="D25" i="14"/>
  <c r="F8" i="1" s="1"/>
  <c r="E24" i="14"/>
  <c r="F7" i="1"/>
  <c r="D60" i="23"/>
  <c r="G131" i="1" s="1"/>
  <c r="G22" i="29"/>
  <c r="E22" i="29"/>
  <c r="D10" i="29"/>
  <c r="G10" i="29" s="1"/>
  <c r="Q81" i="13"/>
  <c r="J124" i="35"/>
  <c r="C98" i="37"/>
  <c r="D41" i="37"/>
  <c r="D42" i="37"/>
  <c r="R148" i="1"/>
  <c r="D148" i="1" s="1"/>
  <c r="D37" i="37"/>
  <c r="E36" i="13"/>
  <c r="E37" i="13" s="1"/>
  <c r="E82" i="13" s="1"/>
  <c r="F149" i="1" s="1"/>
  <c r="J138" i="35" s="1"/>
  <c r="C45" i="17"/>
  <c r="C68" i="17" s="1"/>
  <c r="C82" i="17" s="1"/>
  <c r="C93" i="17" s="1"/>
  <c r="C103" i="17" s="1"/>
  <c r="E37" i="40"/>
  <c r="E38" i="40" s="1"/>
  <c r="L156" i="23"/>
  <c r="D17" i="14"/>
  <c r="C10" i="18" s="1"/>
  <c r="C15" i="18" s="1"/>
  <c r="C25" i="18" s="1"/>
  <c r="F223" i="1" s="1"/>
  <c r="J214" i="35" s="1"/>
  <c r="D45" i="17"/>
  <c r="D68" i="17" s="1"/>
  <c r="D82" i="17" s="1"/>
  <c r="D93" i="17" s="1"/>
  <c r="D103" i="17" s="1"/>
  <c r="C32" i="17"/>
  <c r="C9" i="18"/>
  <c r="C19" i="18" s="1"/>
  <c r="D9" i="18"/>
  <c r="D19" i="18" s="1"/>
  <c r="D18" i="17"/>
  <c r="K13" i="18"/>
  <c r="K26" i="18" s="1"/>
  <c r="N224" i="1" s="1"/>
  <c r="O215" i="35" s="1"/>
  <c r="K17" i="18"/>
  <c r="K22" i="18" s="1"/>
  <c r="N220" i="1" s="1"/>
  <c r="K42" i="39"/>
  <c r="N56" i="1" s="1"/>
  <c r="G17" i="14"/>
  <c r="F42" i="39" s="1"/>
  <c r="I56" i="1" s="1"/>
  <c r="J42" i="39"/>
  <c r="M56" i="1" s="1"/>
  <c r="H17" i="14"/>
  <c r="G10" i="18" s="1"/>
  <c r="J17" i="14"/>
  <c r="I10" i="18" s="1"/>
  <c r="I13" i="18" s="1"/>
  <c r="F17" i="14"/>
  <c r="E10" i="18" s="1"/>
  <c r="E15" i="18" s="1"/>
  <c r="E25" i="18" s="1"/>
  <c r="H223" i="1" s="1"/>
  <c r="N17" i="14"/>
  <c r="M42" i="39" s="1"/>
  <c r="P56" i="1" s="1"/>
  <c r="O17" i="14"/>
  <c r="N10" i="18" s="1"/>
  <c r="N17" i="18" s="1"/>
  <c r="N22" i="18" s="1"/>
  <c r="E17" i="14"/>
  <c r="D42" i="39" s="1"/>
  <c r="G56" i="1" s="1"/>
  <c r="I17" i="14"/>
  <c r="H10" i="18" s="1"/>
  <c r="H15" i="18" s="1"/>
  <c r="H25" i="18" s="1"/>
  <c r="K223" i="1" s="1"/>
  <c r="L214" i="35" s="1"/>
  <c r="C5" i="14"/>
  <c r="N268" i="1"/>
  <c r="N273" i="1" s="1"/>
  <c r="K268" i="1"/>
  <c r="L260" i="35" s="1"/>
  <c r="F49" i="13"/>
  <c r="F54" i="13"/>
  <c r="F52" i="13"/>
  <c r="F51" i="13"/>
  <c r="F48" i="13"/>
  <c r="F53" i="13"/>
  <c r="F50" i="13"/>
  <c r="F64" i="13"/>
  <c r="F62" i="13"/>
  <c r="F65" i="13"/>
  <c r="F68" i="13"/>
  <c r="F66" i="13"/>
  <c r="F63" i="13"/>
  <c r="F61" i="13"/>
  <c r="F67" i="13"/>
  <c r="F60" i="13"/>
  <c r="J268" i="1"/>
  <c r="J273" i="1" s="1"/>
  <c r="Q268" i="1"/>
  <c r="R260" i="35" s="1"/>
  <c r="M268" i="1"/>
  <c r="N260" i="35" s="1"/>
  <c r="D156" i="23"/>
  <c r="M156" i="23"/>
  <c r="F156" i="23"/>
  <c r="I156" i="23"/>
  <c r="C156" i="23"/>
  <c r="O151" i="23"/>
  <c r="H268" i="1"/>
  <c r="H273" i="1" s="1"/>
  <c r="K190" i="35"/>
  <c r="K206" i="35" s="1"/>
  <c r="J215" i="1"/>
  <c r="J190" i="35"/>
  <c r="J206" i="35" s="1"/>
  <c r="R199" i="1"/>
  <c r="D199" i="1" s="1"/>
  <c r="F215" i="1"/>
  <c r="Q190" i="35"/>
  <c r="Q206" i="35" s="1"/>
  <c r="P215" i="1"/>
  <c r="L190" i="35"/>
  <c r="L206" i="35" s="1"/>
  <c r="K215" i="1"/>
  <c r="N190" i="35"/>
  <c r="N206" i="35" s="1"/>
  <c r="M215" i="1"/>
  <c r="R190" i="35"/>
  <c r="R206" i="35" s="1"/>
  <c r="Q215" i="1"/>
  <c r="D55" i="14"/>
  <c r="O190" i="35"/>
  <c r="O206" i="35" s="1"/>
  <c r="N215" i="1"/>
  <c r="P190" i="35"/>
  <c r="P206" i="35" s="1"/>
  <c r="O215" i="1"/>
  <c r="O115" i="23"/>
  <c r="M190" i="35"/>
  <c r="M206" i="35" s="1"/>
  <c r="L215" i="1"/>
  <c r="D5" i="39"/>
  <c r="E70" i="13"/>
  <c r="E75" i="13" s="1"/>
  <c r="E20" i="23"/>
  <c r="E60" i="23" s="1"/>
  <c r="H131" i="1" s="1"/>
  <c r="E56" i="13"/>
  <c r="E73" i="13" s="1"/>
  <c r="E4" i="28"/>
  <c r="G38" i="13"/>
  <c r="I4" i="1"/>
  <c r="G7" i="14" s="1"/>
  <c r="E41" i="28"/>
  <c r="E70" i="23"/>
  <c r="E119" i="23" s="1"/>
  <c r="E146" i="23" s="1"/>
  <c r="E4" i="23"/>
  <c r="F44" i="13"/>
  <c r="F46" i="13"/>
  <c r="F45" i="13"/>
  <c r="F47" i="13"/>
  <c r="F43" i="13"/>
  <c r="F59" i="13"/>
  <c r="F41" i="13"/>
  <c r="O273" i="1"/>
  <c r="P260" i="35"/>
  <c r="J117" i="35"/>
  <c r="P273" i="1"/>
  <c r="Q260" i="35"/>
  <c r="M260" i="35"/>
  <c r="L273" i="1"/>
  <c r="J114" i="35"/>
  <c r="J260" i="35"/>
  <c r="F273" i="1"/>
  <c r="K25" i="18"/>
  <c r="K90" i="35"/>
  <c r="K129" i="35" s="1"/>
  <c r="N90" i="35"/>
  <c r="N129" i="35" s="1"/>
  <c r="M90" i="35"/>
  <c r="M129" i="35" s="1"/>
  <c r="R102" i="1"/>
  <c r="D102" i="1" s="1"/>
  <c r="J99" i="35"/>
  <c r="Q90" i="35"/>
  <c r="Q129" i="35" s="1"/>
  <c r="J90" i="35"/>
  <c r="J129" i="35" s="1"/>
  <c r="R94" i="1"/>
  <c r="D94" i="1" s="1"/>
  <c r="O90" i="35"/>
  <c r="O129" i="35" s="1"/>
  <c r="L90" i="35"/>
  <c r="L129" i="35" s="1"/>
  <c r="P90" i="35"/>
  <c r="P129" i="35" s="1"/>
  <c r="J104" i="35"/>
  <c r="R106" i="1"/>
  <c r="D106" i="1" s="1"/>
  <c r="R90" i="35"/>
  <c r="R129" i="35" s="1"/>
  <c r="J119" i="35"/>
  <c r="Q83" i="13"/>
  <c r="J142" i="35"/>
  <c r="R150" i="1"/>
  <c r="D150" i="1" s="1"/>
  <c r="L136" i="35"/>
  <c r="R146" i="1"/>
  <c r="D146" i="1" s="1"/>
  <c r="F22" i="14"/>
  <c r="F67" i="14" s="1"/>
  <c r="E5" i="39"/>
  <c r="C56" i="17" l="1"/>
  <c r="C113" i="17"/>
  <c r="D56" i="17"/>
  <c r="D113" i="17"/>
  <c r="E25" i="14"/>
  <c r="G8" i="1" s="1"/>
  <c r="G7" i="1"/>
  <c r="F24" i="14"/>
  <c r="D40" i="14"/>
  <c r="I53" i="17"/>
  <c r="I119" i="17" s="1"/>
  <c r="M53" i="17"/>
  <c r="M119" i="17" s="1"/>
  <c r="H53" i="17"/>
  <c r="H119" i="17" s="1"/>
  <c r="J53" i="17"/>
  <c r="J119" i="17" s="1"/>
  <c r="F53" i="17"/>
  <c r="F119" i="17" s="1"/>
  <c r="K53" i="17"/>
  <c r="K119" i="17" s="1"/>
  <c r="L53" i="17"/>
  <c r="L119" i="17" s="1"/>
  <c r="N53" i="17"/>
  <c r="N119" i="17" s="1"/>
  <c r="E53" i="17"/>
  <c r="E119" i="17" s="1"/>
  <c r="G53" i="17"/>
  <c r="G119" i="17" s="1"/>
  <c r="H29" i="39"/>
  <c r="K43" i="1" s="1"/>
  <c r="M29" i="39"/>
  <c r="P43" i="1" s="1"/>
  <c r="N29" i="39"/>
  <c r="Q43" i="1" s="1"/>
  <c r="I29" i="39"/>
  <c r="L43" i="1" s="1"/>
  <c r="E29" i="39"/>
  <c r="H43" i="1" s="1"/>
  <c r="F29" i="39"/>
  <c r="I43" i="1" s="1"/>
  <c r="G29" i="39"/>
  <c r="J43" i="1" s="1"/>
  <c r="J29" i="39"/>
  <c r="M43" i="1" s="1"/>
  <c r="K29" i="39"/>
  <c r="N43" i="1" s="1"/>
  <c r="L29" i="39"/>
  <c r="O43" i="1" s="1"/>
  <c r="C29" i="39"/>
  <c r="F43" i="1" s="1"/>
  <c r="D29" i="39"/>
  <c r="G43" i="1" s="1"/>
  <c r="D48" i="37"/>
  <c r="D48" i="14"/>
  <c r="F13" i="1"/>
  <c r="D38" i="37"/>
  <c r="D11" i="36" s="1"/>
  <c r="C18" i="36"/>
  <c r="E39" i="40"/>
  <c r="F41" i="28"/>
  <c r="H38" i="13"/>
  <c r="H61" i="13" s="1"/>
  <c r="D70" i="14"/>
  <c r="D56" i="14"/>
  <c r="F12" i="1" s="1"/>
  <c r="F37" i="40"/>
  <c r="F38" i="40" s="1"/>
  <c r="H17" i="18"/>
  <c r="H22" i="18" s="1"/>
  <c r="K220" i="1" s="1"/>
  <c r="F4" i="28"/>
  <c r="J4" i="1"/>
  <c r="H7" i="14" s="1"/>
  <c r="F4" i="23"/>
  <c r="F20" i="23"/>
  <c r="F60" i="23" s="1"/>
  <c r="I131" i="1" s="1"/>
  <c r="F70" i="23"/>
  <c r="F119" i="23" s="1"/>
  <c r="F146" i="23" s="1"/>
  <c r="F4" i="17" s="1"/>
  <c r="F18" i="17" s="1"/>
  <c r="D18" i="14"/>
  <c r="I17" i="18"/>
  <c r="I22" i="18" s="1"/>
  <c r="L220" i="1" s="1"/>
  <c r="M211" i="35" s="1"/>
  <c r="H13" i="18"/>
  <c r="N42" i="39"/>
  <c r="Q56" i="1" s="1"/>
  <c r="N15" i="18"/>
  <c r="N25" i="18" s="1"/>
  <c r="Q223" i="1" s="1"/>
  <c r="R214" i="35" s="1"/>
  <c r="C17" i="18"/>
  <c r="C22" i="18" s="1"/>
  <c r="F220" i="1" s="1"/>
  <c r="I15" i="18"/>
  <c r="I25" i="18" s="1"/>
  <c r="L223" i="1" s="1"/>
  <c r="M214" i="35" s="1"/>
  <c r="N13" i="18"/>
  <c r="N26" i="18" s="1"/>
  <c r="Q224" i="1" s="1"/>
  <c r="R215" i="35" s="1"/>
  <c r="C13" i="18"/>
  <c r="C26" i="18" s="1"/>
  <c r="F224" i="1" s="1"/>
  <c r="J215" i="35" s="1"/>
  <c r="C42" i="39"/>
  <c r="F56" i="1" s="1"/>
  <c r="F36" i="13"/>
  <c r="F37" i="13" s="1"/>
  <c r="F82" i="13" s="1"/>
  <c r="G42" i="39"/>
  <c r="J56" i="1" s="1"/>
  <c r="M10" i="18"/>
  <c r="M17" i="18" s="1"/>
  <c r="M22" i="18" s="1"/>
  <c r="P220" i="1" s="1"/>
  <c r="Q211" i="35" s="1"/>
  <c r="K37" i="18"/>
  <c r="H42" i="39"/>
  <c r="K56" i="1" s="1"/>
  <c r="F10" i="18"/>
  <c r="F15" i="18" s="1"/>
  <c r="F25" i="18" s="1"/>
  <c r="I223" i="1" s="1"/>
  <c r="K273" i="1"/>
  <c r="D10" i="18"/>
  <c r="D17" i="18" s="1"/>
  <c r="D22" i="18" s="1"/>
  <c r="G220" i="1" s="1"/>
  <c r="J10" i="18"/>
  <c r="J13" i="18" s="1"/>
  <c r="P17" i="14"/>
  <c r="E42" i="39"/>
  <c r="H56" i="1" s="1"/>
  <c r="O260" i="35"/>
  <c r="L10" i="18"/>
  <c r="L17" i="18" s="1"/>
  <c r="L22" i="18" s="1"/>
  <c r="O220" i="1" s="1"/>
  <c r="I42" i="39"/>
  <c r="L56" i="1" s="1"/>
  <c r="E13" i="18"/>
  <c r="E26" i="18" s="1"/>
  <c r="H224" i="1" s="1"/>
  <c r="E17" i="18"/>
  <c r="E22" i="18" s="1"/>
  <c r="H220" i="1" s="1"/>
  <c r="E4" i="17"/>
  <c r="E18" i="17" s="1"/>
  <c r="M273" i="1"/>
  <c r="G49" i="13"/>
  <c r="G51" i="13"/>
  <c r="G48" i="13"/>
  <c r="G54" i="13"/>
  <c r="G52" i="13"/>
  <c r="G50" i="13"/>
  <c r="G53" i="13"/>
  <c r="G61" i="13"/>
  <c r="G64" i="13"/>
  <c r="G67" i="13"/>
  <c r="G66" i="13"/>
  <c r="G62" i="13"/>
  <c r="G65" i="13"/>
  <c r="G68" i="13"/>
  <c r="G63" i="13"/>
  <c r="G60" i="13"/>
  <c r="D68" i="14"/>
  <c r="K260" i="35"/>
  <c r="Q273" i="1"/>
  <c r="D45" i="14"/>
  <c r="E55" i="14"/>
  <c r="O156" i="23"/>
  <c r="R268" i="1"/>
  <c r="D268" i="1" s="1"/>
  <c r="R215" i="1"/>
  <c r="D215" i="1" s="1"/>
  <c r="C27" i="11" s="1"/>
  <c r="G17" i="18"/>
  <c r="G22" i="18" s="1"/>
  <c r="G13" i="18"/>
  <c r="G26" i="18" s="1"/>
  <c r="J224" i="1" s="1"/>
  <c r="K215" i="35" s="1"/>
  <c r="G15" i="18"/>
  <c r="G25" i="18" s="1"/>
  <c r="J223" i="1" s="1"/>
  <c r="K214" i="35" s="1"/>
  <c r="F56" i="13"/>
  <c r="F73" i="13" s="1"/>
  <c r="G140" i="1" s="1"/>
  <c r="F70" i="13"/>
  <c r="F75" i="13" s="1"/>
  <c r="G142" i="1" s="1"/>
  <c r="E80" i="13"/>
  <c r="G45" i="13"/>
  <c r="G44" i="13"/>
  <c r="G46" i="13"/>
  <c r="G47" i="13"/>
  <c r="G43" i="13"/>
  <c r="G41" i="13"/>
  <c r="G59" i="13"/>
  <c r="K35" i="18"/>
  <c r="K36" i="18" s="1"/>
  <c r="I26" i="18"/>
  <c r="L224" i="1" s="1"/>
  <c r="M215" i="35" s="1"/>
  <c r="Q220" i="1"/>
  <c r="N223" i="1"/>
  <c r="O211" i="35"/>
  <c r="F5" i="39"/>
  <c r="G22" i="14"/>
  <c r="G67" i="14" s="1"/>
  <c r="F140" i="1"/>
  <c r="F142" i="1"/>
  <c r="E68" i="40" l="1"/>
  <c r="F68" i="40" s="1"/>
  <c r="E67" i="40"/>
  <c r="F67" i="40" s="1"/>
  <c r="E71" i="40"/>
  <c r="F71" i="40" s="1"/>
  <c r="E66" i="40"/>
  <c r="F66" i="40" s="1"/>
  <c r="E70" i="40"/>
  <c r="F70" i="40" s="1"/>
  <c r="E65" i="40"/>
  <c r="F65" i="40" s="1"/>
  <c r="E69" i="40"/>
  <c r="F69" i="40" s="1"/>
  <c r="F25" i="14"/>
  <c r="G24" i="14"/>
  <c r="H7" i="1"/>
  <c r="C31" i="39"/>
  <c r="C121" i="23"/>
  <c r="C17" i="39"/>
  <c r="F31" i="1" s="1"/>
  <c r="I160" i="1"/>
  <c r="I168" i="1" s="1"/>
  <c r="J160" i="1"/>
  <c r="H160" i="1"/>
  <c r="H168" i="1" s="1"/>
  <c r="Q160" i="1"/>
  <c r="O160" i="1"/>
  <c r="M160" i="1"/>
  <c r="K160" i="1"/>
  <c r="P160" i="1"/>
  <c r="N160" i="1"/>
  <c r="L160" i="1"/>
  <c r="D53" i="17"/>
  <c r="D119" i="17" s="1"/>
  <c r="O47" i="17"/>
  <c r="D52" i="14"/>
  <c r="C38" i="23"/>
  <c r="R43" i="1"/>
  <c r="D43" i="1" s="1"/>
  <c r="O29" i="39"/>
  <c r="D12" i="36"/>
  <c r="E48" i="14"/>
  <c r="G13" i="1"/>
  <c r="C137" i="23"/>
  <c r="F253" i="1" s="1"/>
  <c r="J246" i="35" s="1"/>
  <c r="C12" i="39"/>
  <c r="D19" i="14"/>
  <c r="H41" i="13"/>
  <c r="H59" i="13"/>
  <c r="H63" i="13"/>
  <c r="H62" i="13"/>
  <c r="H66" i="13"/>
  <c r="H52" i="13"/>
  <c r="H48" i="13"/>
  <c r="H65" i="13"/>
  <c r="H67" i="13"/>
  <c r="H43" i="13"/>
  <c r="H54" i="13"/>
  <c r="H44" i="13"/>
  <c r="G20" i="23"/>
  <c r="G60" i="23" s="1"/>
  <c r="J131" i="1" s="1"/>
  <c r="H49" i="13"/>
  <c r="H50" i="13"/>
  <c r="H68" i="13"/>
  <c r="H51" i="13"/>
  <c r="H47" i="13"/>
  <c r="H46" i="13"/>
  <c r="H64" i="13"/>
  <c r="H53" i="13"/>
  <c r="H45" i="13"/>
  <c r="H60" i="13"/>
  <c r="G4" i="28"/>
  <c r="F32" i="17"/>
  <c r="K4" i="1"/>
  <c r="I7" i="14" s="1"/>
  <c r="G41" i="28"/>
  <c r="E56" i="14"/>
  <c r="G12" i="1" s="1"/>
  <c r="G37" i="40"/>
  <c r="G38" i="40" s="1"/>
  <c r="H37" i="18"/>
  <c r="C138" i="23"/>
  <c r="F254" i="1" s="1"/>
  <c r="C49" i="39"/>
  <c r="F63" i="1" s="1"/>
  <c r="C10" i="23"/>
  <c r="F85" i="1" s="1"/>
  <c r="J81" i="35" s="1"/>
  <c r="G70" i="23"/>
  <c r="G119" i="23" s="1"/>
  <c r="G146" i="23" s="1"/>
  <c r="G4" i="17" s="1"/>
  <c r="G9" i="18" s="1"/>
  <c r="G19" i="18" s="1"/>
  <c r="I38" i="13"/>
  <c r="I54" i="13" s="1"/>
  <c r="E32" i="17"/>
  <c r="E15" i="14"/>
  <c r="E18" i="14" s="1"/>
  <c r="G4" i="23"/>
  <c r="C26" i="39"/>
  <c r="F40" i="1" s="1"/>
  <c r="C13" i="23"/>
  <c r="F88" i="1" s="1"/>
  <c r="J84" i="35" s="1"/>
  <c r="C51" i="39"/>
  <c r="F65" i="1" s="1"/>
  <c r="C41" i="39"/>
  <c r="F55" i="1" s="1"/>
  <c r="C37" i="18"/>
  <c r="I37" i="18"/>
  <c r="H26" i="18"/>
  <c r="K224" i="1" s="1"/>
  <c r="L215" i="35" s="1"/>
  <c r="J15" i="18"/>
  <c r="J25" i="18" s="1"/>
  <c r="M223" i="1" s="1"/>
  <c r="N214" i="35" s="1"/>
  <c r="M15" i="18"/>
  <c r="M25" i="18" s="1"/>
  <c r="P223" i="1" s="1"/>
  <c r="Q214" i="35" s="1"/>
  <c r="J17" i="18"/>
  <c r="J22" i="18" s="1"/>
  <c r="M220" i="1" s="1"/>
  <c r="N211" i="35" s="1"/>
  <c r="N37" i="18"/>
  <c r="G149" i="1"/>
  <c r="F17" i="18"/>
  <c r="F22" i="18" s="1"/>
  <c r="I220" i="1" s="1"/>
  <c r="M13" i="18"/>
  <c r="M26" i="18" s="1"/>
  <c r="F13" i="18"/>
  <c r="F26" i="18" s="1"/>
  <c r="I224" i="1" s="1"/>
  <c r="G36" i="13"/>
  <c r="G37" i="13" s="1"/>
  <c r="G82" i="13" s="1"/>
  <c r="H149" i="1" s="1"/>
  <c r="D13" i="18"/>
  <c r="D26" i="18" s="1"/>
  <c r="G224" i="1" s="1"/>
  <c r="D15" i="18"/>
  <c r="D25" i="18" s="1"/>
  <c r="G223" i="1" s="1"/>
  <c r="O42" i="39"/>
  <c r="R56" i="1"/>
  <c r="D56" i="1" s="1"/>
  <c r="R273" i="1"/>
  <c r="D273" i="1" s="1"/>
  <c r="C31" i="11" s="1"/>
  <c r="E31" i="11" s="1"/>
  <c r="O10" i="18"/>
  <c r="L13" i="18"/>
  <c r="L15" i="18"/>
  <c r="L25" i="18" s="1"/>
  <c r="O223" i="1" s="1"/>
  <c r="P214" i="35" s="1"/>
  <c r="H233" i="1"/>
  <c r="E35" i="18"/>
  <c r="E36" i="18" s="1"/>
  <c r="F250" i="1"/>
  <c r="E27" i="11"/>
  <c r="D27" i="11"/>
  <c r="E9" i="18"/>
  <c r="E19" i="18" s="1"/>
  <c r="F45" i="17"/>
  <c r="F68" i="17" s="1"/>
  <c r="F82" i="17" s="1"/>
  <c r="F93" i="17" s="1"/>
  <c r="F103" i="17" s="1"/>
  <c r="F9" i="18"/>
  <c r="F19" i="18" s="1"/>
  <c r="E45" i="17"/>
  <c r="E68" i="17" s="1"/>
  <c r="E82" i="17" s="1"/>
  <c r="E93" i="17" s="1"/>
  <c r="E103" i="17" s="1"/>
  <c r="E70" i="14"/>
  <c r="E72" i="14" s="1"/>
  <c r="E68" i="14"/>
  <c r="E45" i="14"/>
  <c r="E38" i="14"/>
  <c r="J26" i="18"/>
  <c r="M224" i="1" s="1"/>
  <c r="N215" i="35" s="1"/>
  <c r="J220" i="1"/>
  <c r="G35" i="18"/>
  <c r="G36" i="18" s="1"/>
  <c r="G70" i="13"/>
  <c r="G75" i="13" s="1"/>
  <c r="G56" i="13"/>
  <c r="G73" i="13" s="1"/>
  <c r="F80" i="13"/>
  <c r="G147" i="1" s="1"/>
  <c r="M224" i="35"/>
  <c r="N35" i="18"/>
  <c r="N36" i="18" s="1"/>
  <c r="F233" i="1"/>
  <c r="L233" i="1"/>
  <c r="J211" i="35"/>
  <c r="J224" i="35" s="1"/>
  <c r="P211" i="35"/>
  <c r="R211" i="35"/>
  <c r="R224" i="35" s="1"/>
  <c r="Q233" i="1"/>
  <c r="I35" i="18"/>
  <c r="I36" i="18" s="1"/>
  <c r="L211" i="35"/>
  <c r="C35" i="18"/>
  <c r="O214" i="35"/>
  <c r="O224" i="35" s="1"/>
  <c r="N233" i="1"/>
  <c r="F147" i="1"/>
  <c r="F153" i="1" s="1"/>
  <c r="E86" i="13"/>
  <c r="H22" i="14"/>
  <c r="H67" i="14" s="1"/>
  <c r="G5" i="39"/>
  <c r="F56" i="17" l="1"/>
  <c r="F113" i="17"/>
  <c r="E56" i="17"/>
  <c r="E113" i="17"/>
  <c r="C39" i="39"/>
  <c r="F53" i="1" s="1"/>
  <c r="D53" i="14"/>
  <c r="D54" i="14" s="1"/>
  <c r="D59" i="14" s="1"/>
  <c r="G25" i="14"/>
  <c r="I8" i="1" s="1"/>
  <c r="I7" i="1"/>
  <c r="H24" i="14"/>
  <c r="H8" i="1"/>
  <c r="G9" i="1"/>
  <c r="E40" i="14"/>
  <c r="F109" i="1"/>
  <c r="D17" i="39"/>
  <c r="G31" i="1" s="1"/>
  <c r="D31" i="39"/>
  <c r="G45" i="1" s="1"/>
  <c r="L151" i="35"/>
  <c r="L159" i="35" s="1"/>
  <c r="K168" i="1"/>
  <c r="P151" i="35"/>
  <c r="P159" i="35" s="1"/>
  <c r="O168" i="1"/>
  <c r="M151" i="35"/>
  <c r="M159" i="35" s="1"/>
  <c r="L168" i="1"/>
  <c r="R151" i="35"/>
  <c r="R159" i="35" s="1"/>
  <c r="Q168" i="1"/>
  <c r="N151" i="35"/>
  <c r="N159" i="35" s="1"/>
  <c r="M168" i="1"/>
  <c r="O151" i="35"/>
  <c r="O159" i="35" s="1"/>
  <c r="N168" i="1"/>
  <c r="Q151" i="35"/>
  <c r="Q159" i="35" s="1"/>
  <c r="P168" i="1"/>
  <c r="K151" i="35"/>
  <c r="K159" i="35" s="1"/>
  <c r="J168" i="1"/>
  <c r="F15" i="1"/>
  <c r="E52" i="14"/>
  <c r="G15" i="1" s="1"/>
  <c r="G160" i="1"/>
  <c r="O119" i="17"/>
  <c r="O53" i="17"/>
  <c r="D12" i="39"/>
  <c r="G26" i="1" s="1"/>
  <c r="D38" i="23"/>
  <c r="F45" i="1"/>
  <c r="F83" i="1"/>
  <c r="J79" i="35" s="1"/>
  <c r="J86" i="35" s="1"/>
  <c r="J272" i="35" s="1"/>
  <c r="J274" i="35" s="1"/>
  <c r="J354" i="35" s="1"/>
  <c r="F26" i="1"/>
  <c r="C50" i="39"/>
  <c r="F64" i="1" s="1"/>
  <c r="I44" i="13"/>
  <c r="I65" i="13"/>
  <c r="H70" i="13"/>
  <c r="H75" i="13" s="1"/>
  <c r="I142" i="1" s="1"/>
  <c r="I47" i="13"/>
  <c r="I63" i="13"/>
  <c r="I50" i="13"/>
  <c r="I60" i="13"/>
  <c r="I66" i="13"/>
  <c r="I45" i="13"/>
  <c r="I52" i="13"/>
  <c r="H36" i="13"/>
  <c r="H37" i="13" s="1"/>
  <c r="H82" i="13" s="1"/>
  <c r="I149" i="1" s="1"/>
  <c r="H4" i="28"/>
  <c r="H70" i="23"/>
  <c r="H119" i="23" s="1"/>
  <c r="H146" i="23" s="1"/>
  <c r="H4" i="17" s="1"/>
  <c r="H32" i="17" s="1"/>
  <c r="H56" i="13"/>
  <c r="H73" i="13" s="1"/>
  <c r="H4" i="23"/>
  <c r="H20" i="23"/>
  <c r="H60" i="23" s="1"/>
  <c r="K131" i="1" s="1"/>
  <c r="E19" i="14"/>
  <c r="L4" i="1"/>
  <c r="J7" i="14" s="1"/>
  <c r="I67" i="13"/>
  <c r="I53" i="13"/>
  <c r="I62" i="13"/>
  <c r="I48" i="13"/>
  <c r="J38" i="13"/>
  <c r="J68" i="13" s="1"/>
  <c r="I41" i="13"/>
  <c r="I68" i="13"/>
  <c r="I51" i="13"/>
  <c r="I43" i="13"/>
  <c r="I59" i="13"/>
  <c r="I64" i="13"/>
  <c r="I49" i="13"/>
  <c r="H41" i="28"/>
  <c r="I46" i="13"/>
  <c r="I61" i="13"/>
  <c r="H37" i="40"/>
  <c r="H38" i="40" s="1"/>
  <c r="C56" i="39"/>
  <c r="F70" i="1" s="1"/>
  <c r="C142" i="23"/>
  <c r="D138" i="23"/>
  <c r="G254" i="1" s="1"/>
  <c r="G250" i="1"/>
  <c r="D49" i="39"/>
  <c r="G63" i="1" s="1"/>
  <c r="D10" i="23"/>
  <c r="G85" i="1" s="1"/>
  <c r="H35" i="18"/>
  <c r="H36" i="18" s="1"/>
  <c r="D26" i="39"/>
  <c r="G40" i="1" s="1"/>
  <c r="D121" i="23"/>
  <c r="G237" i="1" s="1"/>
  <c r="D13" i="23"/>
  <c r="D56" i="39" s="1"/>
  <c r="G70" i="1" s="1"/>
  <c r="D137" i="23"/>
  <c r="G253" i="1" s="1"/>
  <c r="F15" i="14"/>
  <c r="F18" i="14" s="1"/>
  <c r="D41" i="39"/>
  <c r="G55" i="1" s="1"/>
  <c r="D51" i="39"/>
  <c r="G65" i="1" s="1"/>
  <c r="G153" i="1"/>
  <c r="F237" i="1"/>
  <c r="F261" i="1" s="1"/>
  <c r="G233" i="1"/>
  <c r="K233" i="1"/>
  <c r="D37" i="18"/>
  <c r="L224" i="35"/>
  <c r="D35" i="18"/>
  <c r="D36" i="18" s="1"/>
  <c r="J37" i="18"/>
  <c r="N224" i="35"/>
  <c r="M37" i="18"/>
  <c r="I233" i="1"/>
  <c r="O17" i="18"/>
  <c r="F35" i="18"/>
  <c r="F36" i="18" s="1"/>
  <c r="R220" i="1"/>
  <c r="D220" i="1" s="1"/>
  <c r="O22" i="18"/>
  <c r="O25" i="18"/>
  <c r="O13" i="18"/>
  <c r="O15" i="18"/>
  <c r="R223" i="1"/>
  <c r="D223" i="1" s="1"/>
  <c r="D31" i="11"/>
  <c r="G18" i="17"/>
  <c r="G32" i="17"/>
  <c r="G45" i="17"/>
  <c r="G68" i="17" s="1"/>
  <c r="G82" i="17" s="1"/>
  <c r="G93" i="17" s="1"/>
  <c r="G103" i="17" s="1"/>
  <c r="L37" i="18"/>
  <c r="L26" i="18"/>
  <c r="O26" i="18" s="1"/>
  <c r="J242" i="35"/>
  <c r="J247" i="35"/>
  <c r="G55" i="14"/>
  <c r="F55" i="14"/>
  <c r="P224" i="1"/>
  <c r="M35" i="18"/>
  <c r="M36" i="18" s="1"/>
  <c r="J35" i="18"/>
  <c r="J36" i="18" s="1"/>
  <c r="M233" i="1"/>
  <c r="J233" i="1"/>
  <c r="K211" i="35"/>
  <c r="K224" i="35" s="1"/>
  <c r="F86" i="13"/>
  <c r="G80" i="13"/>
  <c r="G86" i="13" s="1"/>
  <c r="C36" i="18"/>
  <c r="H5" i="39"/>
  <c r="I22" i="14"/>
  <c r="I67" i="14" s="1"/>
  <c r="H140" i="1"/>
  <c r="J137" i="35"/>
  <c r="J145" i="35" s="1"/>
  <c r="H142" i="1"/>
  <c r="G56" i="17" l="1"/>
  <c r="G113" i="17"/>
  <c r="H25" i="14"/>
  <c r="I24" i="14"/>
  <c r="J7" i="1"/>
  <c r="D66" i="23"/>
  <c r="G109" i="1"/>
  <c r="G137" i="1" s="1"/>
  <c r="F137" i="1"/>
  <c r="E17" i="39"/>
  <c r="H31" i="1" s="1"/>
  <c r="E31" i="39"/>
  <c r="H55" i="14"/>
  <c r="J13" i="1" s="1"/>
  <c r="H45" i="14"/>
  <c r="J64" i="13"/>
  <c r="F75" i="1"/>
  <c r="G168" i="1"/>
  <c r="R160" i="1"/>
  <c r="D160" i="1" s="1"/>
  <c r="E12" i="39"/>
  <c r="H26" i="1" s="1"/>
  <c r="E38" i="23"/>
  <c r="F14" i="1"/>
  <c r="F90" i="1"/>
  <c r="K124" i="35"/>
  <c r="C16" i="23"/>
  <c r="C60" i="39"/>
  <c r="H48" i="14"/>
  <c r="F48" i="14"/>
  <c r="G48" i="14"/>
  <c r="I13" i="1"/>
  <c r="H80" i="13"/>
  <c r="I147" i="1" s="1"/>
  <c r="I140" i="1"/>
  <c r="I41" i="28"/>
  <c r="I4" i="23"/>
  <c r="I70" i="23"/>
  <c r="I119" i="23" s="1"/>
  <c r="I146" i="23" s="1"/>
  <c r="I4" i="17" s="1"/>
  <c r="I45" i="17" s="1"/>
  <c r="I68" i="17" s="1"/>
  <c r="I82" i="17" s="1"/>
  <c r="I93" i="17" s="1"/>
  <c r="I103" i="17" s="1"/>
  <c r="M4" i="1"/>
  <c r="K7" i="14" s="1"/>
  <c r="I20" i="23"/>
  <c r="I60" i="23" s="1"/>
  <c r="L131" i="1" s="1"/>
  <c r="I4" i="28"/>
  <c r="J66" i="13"/>
  <c r="K38" i="13"/>
  <c r="K52" i="13" s="1"/>
  <c r="J50" i="13"/>
  <c r="J44" i="13"/>
  <c r="J54" i="13"/>
  <c r="J47" i="13"/>
  <c r="J53" i="13"/>
  <c r="J65" i="13"/>
  <c r="I36" i="13"/>
  <c r="I37" i="13" s="1"/>
  <c r="I82" i="13" s="1"/>
  <c r="J149" i="1" s="1"/>
  <c r="K138" i="35" s="1"/>
  <c r="J43" i="13"/>
  <c r="J67" i="13"/>
  <c r="J52" i="13"/>
  <c r="J46" i="13"/>
  <c r="J62" i="13"/>
  <c r="J51" i="13"/>
  <c r="J45" i="13"/>
  <c r="J61" i="13"/>
  <c r="J49" i="13"/>
  <c r="J59" i="13"/>
  <c r="J63" i="13"/>
  <c r="J48" i="13"/>
  <c r="J41" i="13"/>
  <c r="J60" i="13"/>
  <c r="H45" i="17"/>
  <c r="H68" i="17" s="1"/>
  <c r="H82" i="17" s="1"/>
  <c r="H93" i="17" s="1"/>
  <c r="H103" i="17" s="1"/>
  <c r="H9" i="18"/>
  <c r="H19" i="18" s="1"/>
  <c r="G68" i="14"/>
  <c r="G70" i="14"/>
  <c r="E51" i="39"/>
  <c r="H65" i="1" s="1"/>
  <c r="F19" i="14"/>
  <c r="D39" i="39"/>
  <c r="G53" i="1" s="1"/>
  <c r="E53" i="14"/>
  <c r="D50" i="39"/>
  <c r="G64" i="1" s="1"/>
  <c r="I70" i="13"/>
  <c r="I75" i="13" s="1"/>
  <c r="I56" i="13"/>
  <c r="I73" i="13" s="1"/>
  <c r="J140" i="1" s="1"/>
  <c r="H18" i="17"/>
  <c r="G15" i="14"/>
  <c r="G18" i="14" s="1"/>
  <c r="F38" i="14"/>
  <c r="F56" i="14"/>
  <c r="H56" i="14"/>
  <c r="J12" i="1" s="1"/>
  <c r="G56" i="14"/>
  <c r="I12" i="1" s="1"/>
  <c r="D142" i="23"/>
  <c r="E10" i="23"/>
  <c r="H85" i="1" s="1"/>
  <c r="G88" i="1"/>
  <c r="E137" i="23"/>
  <c r="H253" i="1" s="1"/>
  <c r="E41" i="39"/>
  <c r="H55" i="1" s="1"/>
  <c r="E13" i="23"/>
  <c r="H88" i="1" s="1"/>
  <c r="E121" i="23"/>
  <c r="H237" i="1" s="1"/>
  <c r="J228" i="35"/>
  <c r="J250" i="35" s="1"/>
  <c r="G261" i="1"/>
  <c r="I250" i="1"/>
  <c r="H250" i="1"/>
  <c r="E49" i="39"/>
  <c r="H63" i="1" s="1"/>
  <c r="E138" i="23"/>
  <c r="H254" i="1" s="1"/>
  <c r="O224" i="1"/>
  <c r="L35" i="18"/>
  <c r="L36" i="18" s="1"/>
  <c r="G45" i="14"/>
  <c r="F70" i="14"/>
  <c r="F72" i="14" s="1"/>
  <c r="F68" i="14"/>
  <c r="E26" i="39"/>
  <c r="F45" i="14"/>
  <c r="H70" i="14"/>
  <c r="H68" i="14"/>
  <c r="Q215" i="35"/>
  <c r="Q224" i="35" s="1"/>
  <c r="P233" i="1"/>
  <c r="J4" i="28"/>
  <c r="J22" i="14"/>
  <c r="J67" i="14" s="1"/>
  <c r="I5" i="39"/>
  <c r="H147" i="1"/>
  <c r="H153" i="1" s="1"/>
  <c r="I56" i="17" l="1"/>
  <c r="I113" i="17"/>
  <c r="H56" i="17"/>
  <c r="H113" i="17"/>
  <c r="H72" i="14"/>
  <c r="I25" i="14"/>
  <c r="K8" i="1" s="1"/>
  <c r="K7" i="1"/>
  <c r="J24" i="14"/>
  <c r="J8" i="1"/>
  <c r="G72" i="14"/>
  <c r="H9" i="1"/>
  <c r="F40" i="14"/>
  <c r="E66" i="23"/>
  <c r="H109" i="1"/>
  <c r="H86" i="13"/>
  <c r="F31" i="39"/>
  <c r="I45" i="1" s="1"/>
  <c r="F17" i="39"/>
  <c r="I31" i="1" s="1"/>
  <c r="I55" i="14"/>
  <c r="K13" i="1" s="1"/>
  <c r="I45" i="14"/>
  <c r="J70" i="23"/>
  <c r="J119" i="23" s="1"/>
  <c r="J146" i="23" s="1"/>
  <c r="J4" i="17" s="1"/>
  <c r="J32" i="17" s="1"/>
  <c r="J41" i="28"/>
  <c r="G52" i="14"/>
  <c r="I15" i="1" s="1"/>
  <c r="F52" i="14"/>
  <c r="H15" i="1" s="1"/>
  <c r="H52" i="14"/>
  <c r="R168" i="1"/>
  <c r="W168" i="1" s="1"/>
  <c r="D60" i="14"/>
  <c r="F11" i="1" s="1"/>
  <c r="H45" i="1"/>
  <c r="F38" i="23"/>
  <c r="L124" i="35"/>
  <c r="D60" i="39"/>
  <c r="I48" i="14"/>
  <c r="F137" i="23"/>
  <c r="I253" i="1" s="1"/>
  <c r="F12" i="39"/>
  <c r="J20" i="23"/>
  <c r="J60" i="23" s="1"/>
  <c r="M131" i="1" s="1"/>
  <c r="J4" i="23"/>
  <c r="L38" i="13"/>
  <c r="L53" i="13" s="1"/>
  <c r="N4" i="1"/>
  <c r="L7" i="14" s="1"/>
  <c r="I153" i="1"/>
  <c r="K67" i="13"/>
  <c r="K59" i="13"/>
  <c r="K49" i="13"/>
  <c r="I80" i="13"/>
  <c r="J147" i="1" s="1"/>
  <c r="K137" i="35" s="1"/>
  <c r="K145" i="35" s="1"/>
  <c r="K50" i="13"/>
  <c r="K47" i="13"/>
  <c r="K65" i="13"/>
  <c r="K45" i="13"/>
  <c r="K54" i="13"/>
  <c r="K60" i="13"/>
  <c r="K43" i="13"/>
  <c r="K62" i="13"/>
  <c r="K48" i="13"/>
  <c r="K66" i="13"/>
  <c r="K44" i="13"/>
  <c r="K51" i="13"/>
  <c r="K68" i="13"/>
  <c r="K64" i="13"/>
  <c r="K41" i="13"/>
  <c r="K61" i="13"/>
  <c r="K53" i="13"/>
  <c r="K46" i="13"/>
  <c r="K63" i="13"/>
  <c r="J36" i="13"/>
  <c r="J37" i="13" s="1"/>
  <c r="J82" i="13" s="1"/>
  <c r="K149" i="1" s="1"/>
  <c r="L138" i="35" s="1"/>
  <c r="J70" i="13"/>
  <c r="J75" i="13" s="1"/>
  <c r="K142" i="1" s="1"/>
  <c r="J56" i="13"/>
  <c r="J73" i="13" s="1"/>
  <c r="I32" i="17"/>
  <c r="I18" i="17"/>
  <c r="G75" i="1"/>
  <c r="H12" i="1"/>
  <c r="H13" i="1"/>
  <c r="E54" i="14"/>
  <c r="E59" i="14" s="1"/>
  <c r="G19" i="14"/>
  <c r="E50" i="39"/>
  <c r="H64" i="1" s="1"/>
  <c r="E39" i="39"/>
  <c r="H53" i="1" s="1"/>
  <c r="F53" i="14"/>
  <c r="I9" i="18"/>
  <c r="I19" i="18" s="1"/>
  <c r="F41" i="39"/>
  <c r="I55" i="1" s="1"/>
  <c r="H15" i="14"/>
  <c r="H18" i="14" s="1"/>
  <c r="F26" i="39"/>
  <c r="I40" i="1" s="1"/>
  <c r="F49" i="39"/>
  <c r="I63" i="1" s="1"/>
  <c r="F121" i="23"/>
  <c r="I237" i="1" s="1"/>
  <c r="G38" i="14"/>
  <c r="G40" i="14" s="1"/>
  <c r="F13" i="23"/>
  <c r="I88" i="1" s="1"/>
  <c r="F10" i="23"/>
  <c r="I85" i="1" s="1"/>
  <c r="F51" i="39"/>
  <c r="I65" i="1" s="1"/>
  <c r="F138" i="23"/>
  <c r="I254" i="1" s="1"/>
  <c r="I56" i="14"/>
  <c r="K12" i="1" s="1"/>
  <c r="E56" i="39"/>
  <c r="H70" i="1" s="1"/>
  <c r="H261" i="1"/>
  <c r="E142" i="23"/>
  <c r="J250" i="1"/>
  <c r="K242" i="35" s="1"/>
  <c r="O35" i="18"/>
  <c r="P215" i="35"/>
  <c r="P224" i="35" s="1"/>
  <c r="O233" i="1"/>
  <c r="R233" i="1" s="1"/>
  <c r="D233" i="1" s="1"/>
  <c r="C28" i="11" s="1"/>
  <c r="R224" i="1"/>
  <c r="D224" i="1" s="1"/>
  <c r="L48" i="13"/>
  <c r="L62" i="13"/>
  <c r="H40" i="1"/>
  <c r="I70" i="14"/>
  <c r="I72" i="14" s="1"/>
  <c r="I68" i="14"/>
  <c r="L46" i="13"/>
  <c r="L59" i="13"/>
  <c r="K22" i="14"/>
  <c r="K67" i="14" s="1"/>
  <c r="J5" i="39"/>
  <c r="J142" i="1"/>
  <c r="L67" i="13" l="1"/>
  <c r="L47" i="13"/>
  <c r="L60" i="13"/>
  <c r="L52" i="13"/>
  <c r="K4" i="28"/>
  <c r="L68" i="13"/>
  <c r="J25" i="14"/>
  <c r="L7" i="1"/>
  <c r="K24" i="14"/>
  <c r="H137" i="1"/>
  <c r="F66" i="23"/>
  <c r="I109" i="1"/>
  <c r="I137" i="1" s="1"/>
  <c r="I52" i="14"/>
  <c r="K15" i="1" s="1"/>
  <c r="G31" i="39"/>
  <c r="J45" i="1" s="1"/>
  <c r="G17" i="39"/>
  <c r="J31" i="1" s="1"/>
  <c r="J55" i="14"/>
  <c r="L13" i="1" s="1"/>
  <c r="J45" i="14"/>
  <c r="D168" i="1"/>
  <c r="C26" i="11" s="1"/>
  <c r="E26" i="11" s="1"/>
  <c r="F10" i="1"/>
  <c r="F18" i="1" s="1"/>
  <c r="J15" i="1"/>
  <c r="D62" i="14"/>
  <c r="G38" i="23"/>
  <c r="M124" i="35"/>
  <c r="J48" i="14"/>
  <c r="G138" i="23"/>
  <c r="J254" i="1" s="1"/>
  <c r="K247" i="35" s="1"/>
  <c r="G12" i="39"/>
  <c r="J26" i="1" s="1"/>
  <c r="I26" i="1"/>
  <c r="O4" i="1"/>
  <c r="M7" i="14" s="1"/>
  <c r="L43" i="13"/>
  <c r="L64" i="13"/>
  <c r="L49" i="13"/>
  <c r="K4" i="23"/>
  <c r="L51" i="13"/>
  <c r="L45" i="13"/>
  <c r="L63" i="13"/>
  <c r="L50" i="13"/>
  <c r="K41" i="28"/>
  <c r="K70" i="23"/>
  <c r="K119" i="23" s="1"/>
  <c r="K146" i="23" s="1"/>
  <c r="K4" i="17" s="1"/>
  <c r="K9" i="18" s="1"/>
  <c r="K19" i="18" s="1"/>
  <c r="L44" i="13"/>
  <c r="L65" i="13"/>
  <c r="L54" i="13"/>
  <c r="K20" i="23"/>
  <c r="K60" i="23" s="1"/>
  <c r="N131" i="1" s="1"/>
  <c r="L61" i="13"/>
  <c r="M38" i="13"/>
  <c r="M61" i="13" s="1"/>
  <c r="L41" i="13"/>
  <c r="L66" i="13"/>
  <c r="J45" i="17"/>
  <c r="J68" i="17" s="1"/>
  <c r="J82" i="17" s="1"/>
  <c r="J93" i="17" s="1"/>
  <c r="J103" i="17" s="1"/>
  <c r="I86" i="13"/>
  <c r="K70" i="13"/>
  <c r="K75" i="13" s="1"/>
  <c r="L142" i="1" s="1"/>
  <c r="K56" i="13"/>
  <c r="K73" i="13" s="1"/>
  <c r="K36" i="13"/>
  <c r="K37" i="13" s="1"/>
  <c r="K82" i="13" s="1"/>
  <c r="L149" i="1" s="1"/>
  <c r="J80" i="13"/>
  <c r="K147" i="1" s="1"/>
  <c r="K140" i="1"/>
  <c r="G137" i="23"/>
  <c r="J253" i="1" s="1"/>
  <c r="K246" i="35" s="1"/>
  <c r="E60" i="39"/>
  <c r="H75" i="1"/>
  <c r="F50" i="39"/>
  <c r="I64" i="1" s="1"/>
  <c r="F39" i="39"/>
  <c r="G53" i="14"/>
  <c r="G83" i="1"/>
  <c r="G90" i="1" s="1"/>
  <c r="D16" i="23"/>
  <c r="G14" i="1"/>
  <c r="F54" i="14"/>
  <c r="F59" i="14" s="1"/>
  <c r="G51" i="39"/>
  <c r="J65" i="1" s="1"/>
  <c r="H19" i="14"/>
  <c r="G49" i="39"/>
  <c r="J63" i="1" s="1"/>
  <c r="G26" i="39"/>
  <c r="J40" i="1" s="1"/>
  <c r="G41" i="39"/>
  <c r="J55" i="1" s="1"/>
  <c r="G10" i="23"/>
  <c r="J85" i="1" s="1"/>
  <c r="K81" i="35" s="1"/>
  <c r="I15" i="14"/>
  <c r="I18" i="14" s="1"/>
  <c r="G13" i="23"/>
  <c r="J88" i="1" s="1"/>
  <c r="K84" i="35" s="1"/>
  <c r="G121" i="23"/>
  <c r="J237" i="1" s="1"/>
  <c r="K228" i="35" s="1"/>
  <c r="F56" i="39"/>
  <c r="I70" i="1" s="1"/>
  <c r="H38" i="14"/>
  <c r="I9" i="1"/>
  <c r="I261" i="1"/>
  <c r="F142" i="23"/>
  <c r="J56" i="14"/>
  <c r="L12" i="1" s="1"/>
  <c r="K250" i="1"/>
  <c r="L242" i="35" s="1"/>
  <c r="J9" i="18"/>
  <c r="J19" i="18" s="1"/>
  <c r="J18" i="17"/>
  <c r="E28" i="11"/>
  <c r="D28" i="11"/>
  <c r="J153" i="1"/>
  <c r="J70" i="14"/>
  <c r="J72" i="14" s="1"/>
  <c r="J68" i="14"/>
  <c r="K5" i="39"/>
  <c r="L22" i="14"/>
  <c r="L67" i="14" s="1"/>
  <c r="J56" i="17" l="1"/>
  <c r="J113" i="17"/>
  <c r="K25" i="14"/>
  <c r="M8" i="1" s="1"/>
  <c r="M7" i="1"/>
  <c r="L24" i="14"/>
  <c r="L8" i="1"/>
  <c r="M62" i="13"/>
  <c r="J9" i="1"/>
  <c r="H40" i="14"/>
  <c r="G66" i="23"/>
  <c r="J109" i="1"/>
  <c r="J137" i="1" s="1"/>
  <c r="F77" i="1"/>
  <c r="F275" i="1" s="1"/>
  <c r="F277" i="1" s="1"/>
  <c r="M43" i="13"/>
  <c r="M45" i="13"/>
  <c r="L4" i="28"/>
  <c r="N38" i="13"/>
  <c r="N65" i="13" s="1"/>
  <c r="M66" i="13"/>
  <c r="M41" i="13"/>
  <c r="M67" i="13"/>
  <c r="M50" i="13"/>
  <c r="M52" i="13"/>
  <c r="M46" i="13"/>
  <c r="M53" i="13"/>
  <c r="L4" i="23"/>
  <c r="P4" i="1"/>
  <c r="N7" i="14" s="1"/>
  <c r="M63" i="13"/>
  <c r="M47" i="13"/>
  <c r="M54" i="13"/>
  <c r="L20" i="23"/>
  <c r="L60" i="23" s="1"/>
  <c r="O131" i="1" s="1"/>
  <c r="L70" i="23"/>
  <c r="L119" i="23" s="1"/>
  <c r="L146" i="23" s="1"/>
  <c r="L4" i="17" s="1"/>
  <c r="L18" i="17" s="1"/>
  <c r="M65" i="13"/>
  <c r="H31" i="39"/>
  <c r="K45" i="1" s="1"/>
  <c r="H17" i="39"/>
  <c r="K31" i="1" s="1"/>
  <c r="K55" i="14"/>
  <c r="M13" i="1" s="1"/>
  <c r="K45" i="14"/>
  <c r="J52" i="14"/>
  <c r="L15" i="1" s="1"/>
  <c r="M48" i="13"/>
  <c r="M49" i="13"/>
  <c r="M60" i="13"/>
  <c r="M64" i="13"/>
  <c r="M51" i="13"/>
  <c r="M44" i="13"/>
  <c r="M68" i="13"/>
  <c r="L70" i="13"/>
  <c r="L75" i="13" s="1"/>
  <c r="M142" i="1" s="1"/>
  <c r="L36" i="13"/>
  <c r="L37" i="13" s="1"/>
  <c r="L82" i="13" s="1"/>
  <c r="M149" i="1" s="1"/>
  <c r="N138" i="35" s="1"/>
  <c r="L41" i="28"/>
  <c r="M59" i="13"/>
  <c r="D26" i="11"/>
  <c r="H38" i="23"/>
  <c r="N124" i="35"/>
  <c r="K48" i="14"/>
  <c r="H41" i="39"/>
  <c r="K55" i="1" s="1"/>
  <c r="H12" i="39"/>
  <c r="K26" i="1" s="1"/>
  <c r="L56" i="13"/>
  <c r="L73" i="13" s="1"/>
  <c r="J86" i="13"/>
  <c r="K80" i="13"/>
  <c r="K86" i="13" s="1"/>
  <c r="G50" i="39"/>
  <c r="J64" i="1" s="1"/>
  <c r="G39" i="39"/>
  <c r="H53" i="14"/>
  <c r="E60" i="14"/>
  <c r="G10" i="1"/>
  <c r="H14" i="1"/>
  <c r="G54" i="14"/>
  <c r="G59" i="14" s="1"/>
  <c r="H121" i="23"/>
  <c r="K237" i="1" s="1"/>
  <c r="L228" i="35" s="1"/>
  <c r="I19" i="14"/>
  <c r="H83" i="1"/>
  <c r="H90" i="1" s="1"/>
  <c r="E16" i="23"/>
  <c r="I53" i="1"/>
  <c r="I75" i="1" s="1"/>
  <c r="F60" i="39"/>
  <c r="J261" i="1"/>
  <c r="K250" i="35"/>
  <c r="G142" i="23"/>
  <c r="H51" i="39"/>
  <c r="K65" i="1" s="1"/>
  <c r="G56" i="39"/>
  <c r="J70" i="1" s="1"/>
  <c r="H10" i="23"/>
  <c r="K85" i="1" s="1"/>
  <c r="L81" i="35" s="1"/>
  <c r="H138" i="23"/>
  <c r="K254" i="1" s="1"/>
  <c r="L247" i="35" s="1"/>
  <c r="I38" i="14"/>
  <c r="H26" i="39"/>
  <c r="K40" i="1" s="1"/>
  <c r="K18" i="17"/>
  <c r="J15" i="14"/>
  <c r="J18" i="14" s="1"/>
  <c r="H13" i="23"/>
  <c r="K88" i="1" s="1"/>
  <c r="L84" i="35" s="1"/>
  <c r="H137" i="23"/>
  <c r="K253" i="1" s="1"/>
  <c r="L246" i="35" s="1"/>
  <c r="H49" i="39"/>
  <c r="K63" i="1" s="1"/>
  <c r="K56" i="14"/>
  <c r="M12" i="1" s="1"/>
  <c r="L250" i="1"/>
  <c r="M138" i="35"/>
  <c r="K32" i="17"/>
  <c r="K45" i="17"/>
  <c r="K68" i="17" s="1"/>
  <c r="K82" i="17" s="1"/>
  <c r="K93" i="17" s="1"/>
  <c r="K103" i="17" s="1"/>
  <c r="K70" i="14"/>
  <c r="K72" i="14" s="1"/>
  <c r="K68" i="14"/>
  <c r="N44" i="13"/>
  <c r="N41" i="13"/>
  <c r="L137" i="35"/>
  <c r="L145" i="35" s="1"/>
  <c r="L140" i="1"/>
  <c r="K153" i="1"/>
  <c r="M22" i="14"/>
  <c r="M67" i="14" s="1"/>
  <c r="L5" i="39"/>
  <c r="N59" i="13" l="1"/>
  <c r="N66" i="13"/>
  <c r="N63" i="13"/>
  <c r="N67" i="13"/>
  <c r="N50" i="13"/>
  <c r="N54" i="13"/>
  <c r="N48" i="13"/>
  <c r="N52" i="13"/>
  <c r="N60" i="13"/>
  <c r="N61" i="13"/>
  <c r="N53" i="13"/>
  <c r="N51" i="13"/>
  <c r="K56" i="17"/>
  <c r="K113" i="17"/>
  <c r="L25" i="14"/>
  <c r="N7" i="1"/>
  <c r="M24" i="14"/>
  <c r="M20" i="23"/>
  <c r="M60" i="23" s="1"/>
  <c r="P131" i="1" s="1"/>
  <c r="M4" i="23"/>
  <c r="M41" i="28"/>
  <c r="O38" i="13"/>
  <c r="O61" i="13" s="1"/>
  <c r="N43" i="13"/>
  <c r="N62" i="13"/>
  <c r="M56" i="13"/>
  <c r="M73" i="13" s="1"/>
  <c r="N140" i="1" s="1"/>
  <c r="N68" i="13"/>
  <c r="N64" i="13"/>
  <c r="Q4" i="1"/>
  <c r="O7" i="14" s="1"/>
  <c r="M4" i="28"/>
  <c r="N46" i="13"/>
  <c r="M70" i="23"/>
  <c r="M119" i="23" s="1"/>
  <c r="M146" i="23" s="1"/>
  <c r="M4" i="17" s="1"/>
  <c r="M9" i="18" s="1"/>
  <c r="M19" i="18" s="1"/>
  <c r="N45" i="13"/>
  <c r="N49" i="13"/>
  <c r="K9" i="1"/>
  <c r="I40" i="14"/>
  <c r="H66" i="23"/>
  <c r="K109" i="1"/>
  <c r="K137" i="1" s="1"/>
  <c r="L80" i="13"/>
  <c r="M147" i="1" s="1"/>
  <c r="N137" i="35" s="1"/>
  <c r="N145" i="35" s="1"/>
  <c r="M36" i="13"/>
  <c r="M37" i="13" s="1"/>
  <c r="M82" i="13" s="1"/>
  <c r="N149" i="1" s="1"/>
  <c r="O138" i="35" s="1"/>
  <c r="K52" i="14"/>
  <c r="M15" i="1" s="1"/>
  <c r="M70" i="13"/>
  <c r="M75" i="13" s="1"/>
  <c r="N142" i="1" s="1"/>
  <c r="N47" i="13"/>
  <c r="I31" i="39"/>
  <c r="I17" i="39"/>
  <c r="L31" i="1" s="1"/>
  <c r="L55" i="14"/>
  <c r="N13" i="1" s="1"/>
  <c r="L45" i="14"/>
  <c r="M140" i="1"/>
  <c r="I12" i="39"/>
  <c r="L26" i="1" s="1"/>
  <c r="I38" i="23"/>
  <c r="O124" i="35"/>
  <c r="P124" i="35"/>
  <c r="G11" i="1"/>
  <c r="G18" i="1" s="1"/>
  <c r="E62" i="14"/>
  <c r="L48" i="14"/>
  <c r="L45" i="17"/>
  <c r="L68" i="17" s="1"/>
  <c r="L82" i="17" s="1"/>
  <c r="L93" i="17" s="1"/>
  <c r="L103" i="17" s="1"/>
  <c r="L9" i="18"/>
  <c r="L19" i="18" s="1"/>
  <c r="K261" i="1"/>
  <c r="I53" i="14"/>
  <c r="H50" i="39"/>
  <c r="K64" i="1" s="1"/>
  <c r="H39" i="39"/>
  <c r="K53" i="1" s="1"/>
  <c r="I14" i="1"/>
  <c r="H54" i="14"/>
  <c r="I83" i="1"/>
  <c r="I90" i="1" s="1"/>
  <c r="F16" i="23"/>
  <c r="J53" i="1"/>
  <c r="J75" i="1" s="1"/>
  <c r="G60" i="39"/>
  <c r="J19" i="14"/>
  <c r="F60" i="14"/>
  <c r="H11" i="1" s="1"/>
  <c r="H10" i="1"/>
  <c r="H142" i="23"/>
  <c r="L250" i="35"/>
  <c r="I121" i="23"/>
  <c r="L237" i="1" s="1"/>
  <c r="M228" i="35" s="1"/>
  <c r="J38" i="14"/>
  <c r="I138" i="23"/>
  <c r="L254" i="1" s="1"/>
  <c r="M247" i="35" s="1"/>
  <c r="I10" i="23"/>
  <c r="L85" i="1" s="1"/>
  <c r="M81" i="35" s="1"/>
  <c r="I26" i="39"/>
  <c r="L40" i="1" s="1"/>
  <c r="I51" i="39"/>
  <c r="L65" i="1" s="1"/>
  <c r="I41" i="39"/>
  <c r="L55" i="1" s="1"/>
  <c r="I13" i="23"/>
  <c r="I56" i="39" s="1"/>
  <c r="L70" i="1" s="1"/>
  <c r="I137" i="23"/>
  <c r="L253" i="1" s="1"/>
  <c r="M246" i="35" s="1"/>
  <c r="K15" i="14"/>
  <c r="K18" i="14" s="1"/>
  <c r="I49" i="39"/>
  <c r="L63" i="1" s="1"/>
  <c r="L32" i="17"/>
  <c r="H56" i="39"/>
  <c r="K70" i="1" s="1"/>
  <c r="L56" i="14"/>
  <c r="N12" i="1" s="1"/>
  <c r="M250" i="1"/>
  <c r="N242" i="35" s="1"/>
  <c r="M242" i="35"/>
  <c r="O51" i="13"/>
  <c r="O52" i="13"/>
  <c r="L70" i="14"/>
  <c r="L72" i="14" s="1"/>
  <c r="L68" i="14"/>
  <c r="F279" i="1"/>
  <c r="M5" i="39"/>
  <c r="N22" i="14"/>
  <c r="N67" i="14" s="1"/>
  <c r="L147" i="1"/>
  <c r="O68" i="13" l="1"/>
  <c r="O50" i="13"/>
  <c r="N4" i="28"/>
  <c r="P38" i="13"/>
  <c r="P53" i="13" s="1"/>
  <c r="Q53" i="13" s="1"/>
  <c r="L56" i="17"/>
  <c r="L113" i="17"/>
  <c r="N70" i="13"/>
  <c r="N75" i="13" s="1"/>
  <c r="O142" i="1" s="1"/>
  <c r="O54" i="13"/>
  <c r="O60" i="13"/>
  <c r="O48" i="13"/>
  <c r="O53" i="13"/>
  <c r="O41" i="13"/>
  <c r="O44" i="13"/>
  <c r="O65" i="13"/>
  <c r="N36" i="13"/>
  <c r="N37" i="13" s="1"/>
  <c r="N82" i="13" s="1"/>
  <c r="O149" i="1" s="1"/>
  <c r="P138" i="35" s="1"/>
  <c r="O63" i="13"/>
  <c r="O49" i="13"/>
  <c r="O47" i="13"/>
  <c r="O66" i="13"/>
  <c r="O46" i="13"/>
  <c r="O62" i="13"/>
  <c r="O45" i="13"/>
  <c r="O67" i="13"/>
  <c r="O43" i="13"/>
  <c r="O64" i="13"/>
  <c r="O59" i="13"/>
  <c r="M25" i="14"/>
  <c r="O8" i="1" s="1"/>
  <c r="N24" i="14"/>
  <c r="O7" i="1"/>
  <c r="G77" i="1"/>
  <c r="G275" i="1" s="1"/>
  <c r="G277" i="1" s="1"/>
  <c r="N8" i="1"/>
  <c r="M80" i="13"/>
  <c r="N147" i="1" s="1"/>
  <c r="O137" i="35" s="1"/>
  <c r="O145" i="35" s="1"/>
  <c r="N56" i="13"/>
  <c r="N73" i="13" s="1"/>
  <c r="N4" i="23"/>
  <c r="N20" i="23"/>
  <c r="N60" i="23" s="1"/>
  <c r="Q131" i="1" s="1"/>
  <c r="R131" i="1" s="1"/>
  <c r="D131" i="1" s="1"/>
  <c r="L86" i="13"/>
  <c r="N41" i="28"/>
  <c r="N70" i="23"/>
  <c r="N119" i="23" s="1"/>
  <c r="N146" i="23" s="1"/>
  <c r="N4" i="17" s="1"/>
  <c r="N9" i="18" s="1"/>
  <c r="M153" i="1"/>
  <c r="I66" i="23"/>
  <c r="L109" i="1"/>
  <c r="K38" i="14"/>
  <c r="L38" i="14" s="1"/>
  <c r="L40" i="14" s="1"/>
  <c r="J40" i="14"/>
  <c r="L52" i="14"/>
  <c r="N15" i="1" s="1"/>
  <c r="J31" i="39"/>
  <c r="M45" i="1" s="1"/>
  <c r="J17" i="39"/>
  <c r="M31" i="1" s="1"/>
  <c r="M55" i="14"/>
  <c r="O13" i="1" s="1"/>
  <c r="M45" i="14"/>
  <c r="J12" i="39"/>
  <c r="M26" i="1" s="1"/>
  <c r="J38" i="23"/>
  <c r="L45" i="1"/>
  <c r="O60" i="23"/>
  <c r="Q124" i="35"/>
  <c r="F62" i="14"/>
  <c r="M48" i="14"/>
  <c r="M45" i="17"/>
  <c r="M68" i="17" s="1"/>
  <c r="M82" i="17" s="1"/>
  <c r="M93" i="17" s="1"/>
  <c r="M103" i="17" s="1"/>
  <c r="K75" i="1"/>
  <c r="L9" i="1"/>
  <c r="H18" i="1"/>
  <c r="H77" i="1" s="1"/>
  <c r="H275" i="1" s="1"/>
  <c r="H277" i="1" s="1"/>
  <c r="H279" i="1" s="1"/>
  <c r="H357" i="1" s="1"/>
  <c r="L261" i="1"/>
  <c r="J13" i="23"/>
  <c r="M88" i="1" s="1"/>
  <c r="N84" i="35" s="1"/>
  <c r="K19" i="14"/>
  <c r="H59" i="14"/>
  <c r="J14" i="1"/>
  <c r="H60" i="39"/>
  <c r="J83" i="1"/>
  <c r="G16" i="23"/>
  <c r="I50" i="39"/>
  <c r="L64" i="1" s="1"/>
  <c r="I39" i="39"/>
  <c r="L53" i="1" s="1"/>
  <c r="J53" i="14"/>
  <c r="I54" i="14"/>
  <c r="G60" i="14"/>
  <c r="I11" i="1" s="1"/>
  <c r="I10" i="1"/>
  <c r="J49" i="39"/>
  <c r="M63" i="1" s="1"/>
  <c r="J121" i="23"/>
  <c r="M237" i="1" s="1"/>
  <c r="N228" i="35" s="1"/>
  <c r="L88" i="1"/>
  <c r="M84" i="35" s="1"/>
  <c r="I142" i="23"/>
  <c r="J41" i="39"/>
  <c r="M55" i="1" s="1"/>
  <c r="L15" i="14"/>
  <c r="L18" i="14" s="1"/>
  <c r="J26" i="39"/>
  <c r="M40" i="1" s="1"/>
  <c r="J10" i="23"/>
  <c r="M85" i="1" s="1"/>
  <c r="N81" i="35" s="1"/>
  <c r="J138" i="23"/>
  <c r="M254" i="1" s="1"/>
  <c r="N247" i="35" s="1"/>
  <c r="J51" i="39"/>
  <c r="M65" i="1" s="1"/>
  <c r="J137" i="23"/>
  <c r="M253" i="1" s="1"/>
  <c r="M32" i="17"/>
  <c r="M18" i="17"/>
  <c r="M56" i="14"/>
  <c r="O12" i="1" s="1"/>
  <c r="I37" i="40"/>
  <c r="I38" i="40" s="1"/>
  <c r="C48" i="36"/>
  <c r="M250" i="35"/>
  <c r="N250" i="1"/>
  <c r="O250" i="1"/>
  <c r="P242" i="35" s="1"/>
  <c r="P50" i="13"/>
  <c r="Q50" i="13" s="1"/>
  <c r="P49" i="13"/>
  <c r="P66" i="13"/>
  <c r="P65" i="13"/>
  <c r="M70" i="14"/>
  <c r="M72" i="14" s="1"/>
  <c r="M68" i="14"/>
  <c r="P47" i="13"/>
  <c r="P44" i="13"/>
  <c r="F357" i="1"/>
  <c r="N5" i="39"/>
  <c r="O22" i="14"/>
  <c r="O67" i="14" s="1"/>
  <c r="M137" i="35"/>
  <c r="M145" i="35" s="1"/>
  <c r="L153" i="1"/>
  <c r="P60" i="13" l="1"/>
  <c r="N80" i="13"/>
  <c r="O147" i="1" s="1"/>
  <c r="P137" i="35" s="1"/>
  <c r="P68" i="13"/>
  <c r="Q68" i="13" s="1"/>
  <c r="P43" i="13"/>
  <c r="P67" i="13"/>
  <c r="Q67" i="13" s="1"/>
  <c r="P54" i="13"/>
  <c r="Q54" i="13" s="1"/>
  <c r="P52" i="13"/>
  <c r="Q52" i="13" s="1"/>
  <c r="P63" i="13"/>
  <c r="Q63" i="13" s="1"/>
  <c r="O36" i="13"/>
  <c r="O37" i="13" s="1"/>
  <c r="O82" i="13" s="1"/>
  <c r="P149" i="1" s="1"/>
  <c r="Q138" i="35" s="1"/>
  <c r="P62" i="13"/>
  <c r="Q62" i="13" s="1"/>
  <c r="P48" i="13"/>
  <c r="Q48" i="13" s="1"/>
  <c r="P64" i="13"/>
  <c r="Q64" i="13" s="1"/>
  <c r="P51" i="13"/>
  <c r="Q51" i="13" s="1"/>
  <c r="P46" i="13"/>
  <c r="P45" i="13"/>
  <c r="P59" i="13"/>
  <c r="P70" i="13" s="1"/>
  <c r="P75" i="13" s="1"/>
  <c r="Q142" i="1" s="1"/>
  <c r="P41" i="13"/>
  <c r="P61" i="13"/>
  <c r="Q61" i="13" s="1"/>
  <c r="O56" i="13"/>
  <c r="O73" i="13" s="1"/>
  <c r="M56" i="17"/>
  <c r="M113" i="17"/>
  <c r="O140" i="1"/>
  <c r="Q65" i="13"/>
  <c r="Q49" i="13"/>
  <c r="O70" i="13"/>
  <c r="O75" i="13" s="1"/>
  <c r="P142" i="1" s="1"/>
  <c r="Q66" i="13"/>
  <c r="P145" i="35"/>
  <c r="M86" i="13"/>
  <c r="N153" i="1"/>
  <c r="N25" i="14"/>
  <c r="O24" i="14"/>
  <c r="P7" i="1"/>
  <c r="M9" i="1"/>
  <c r="K40" i="14"/>
  <c r="J66" i="23"/>
  <c r="M109" i="1"/>
  <c r="M137" i="1" s="1"/>
  <c r="L137" i="1"/>
  <c r="K17" i="39"/>
  <c r="K31" i="39"/>
  <c r="N45" i="1" s="1"/>
  <c r="M52" i="14"/>
  <c r="O15" i="1" s="1"/>
  <c r="N55" i="14"/>
  <c r="P13" i="1" s="1"/>
  <c r="N45" i="14"/>
  <c r="K12" i="39"/>
  <c r="N26" i="1" s="1"/>
  <c r="K38" i="23"/>
  <c r="R124" i="35"/>
  <c r="G62" i="14"/>
  <c r="N48" i="14"/>
  <c r="N9" i="1"/>
  <c r="L75" i="1"/>
  <c r="N45" i="17"/>
  <c r="N68" i="17" s="1"/>
  <c r="N82" i="17" s="1"/>
  <c r="N93" i="17" s="1"/>
  <c r="N103" i="17" s="1"/>
  <c r="M38" i="14"/>
  <c r="J56" i="39"/>
  <c r="M70" i="1" s="1"/>
  <c r="K83" i="1"/>
  <c r="H16" i="23"/>
  <c r="K14" i="1"/>
  <c r="I59" i="14"/>
  <c r="H60" i="14"/>
  <c r="J11" i="1" s="1"/>
  <c r="J10" i="1"/>
  <c r="K10" i="23"/>
  <c r="N85" i="1" s="1"/>
  <c r="O81" i="35" s="1"/>
  <c r="L19" i="14"/>
  <c r="J54" i="14"/>
  <c r="J39" i="39"/>
  <c r="K53" i="14"/>
  <c r="J50" i="39"/>
  <c r="M64" i="1" s="1"/>
  <c r="I60" i="39"/>
  <c r="I18" i="1"/>
  <c r="J90" i="1"/>
  <c r="K79" i="35"/>
  <c r="K86" i="35" s="1"/>
  <c r="K272" i="35" s="1"/>
  <c r="K274" i="35" s="1"/>
  <c r="K354" i="35" s="1"/>
  <c r="N32" i="17"/>
  <c r="N18" i="17"/>
  <c r="C47" i="36"/>
  <c r="C56" i="36"/>
  <c r="M261" i="1"/>
  <c r="N246" i="35"/>
  <c r="N250" i="35" s="1"/>
  <c r="K49" i="39"/>
  <c r="N63" i="1" s="1"/>
  <c r="K137" i="23"/>
  <c r="N253" i="1" s="1"/>
  <c r="O246" i="35" s="1"/>
  <c r="J142" i="23"/>
  <c r="M15" i="14"/>
  <c r="M18" i="14" s="1"/>
  <c r="K41" i="39"/>
  <c r="N55" i="1" s="1"/>
  <c r="K13" i="23"/>
  <c r="K56" i="39" s="1"/>
  <c r="N70" i="1" s="1"/>
  <c r="K26" i="39"/>
  <c r="N40" i="1" s="1"/>
  <c r="K121" i="23"/>
  <c r="N237" i="1" s="1"/>
  <c r="O228" i="35" s="1"/>
  <c r="K51" i="39"/>
  <c r="N65" i="1" s="1"/>
  <c r="K138" i="23"/>
  <c r="N254" i="1" s="1"/>
  <c r="O247" i="35" s="1"/>
  <c r="N31" i="1"/>
  <c r="N56" i="14"/>
  <c r="P12" i="1" s="1"/>
  <c r="E82" i="40"/>
  <c r="F82" i="40" s="1"/>
  <c r="E64" i="40"/>
  <c r="F64" i="40" s="1"/>
  <c r="E62" i="40"/>
  <c r="F62" i="40" s="1"/>
  <c r="E55" i="40"/>
  <c r="F55" i="40" s="1"/>
  <c r="E53" i="40"/>
  <c r="F53" i="40" s="1"/>
  <c r="E51" i="40"/>
  <c r="F51" i="40" s="1"/>
  <c r="E49" i="40"/>
  <c r="F49" i="40" s="1"/>
  <c r="E47" i="40"/>
  <c r="F47" i="40" s="1"/>
  <c r="E45" i="40"/>
  <c r="F45" i="40" s="1"/>
  <c r="E63" i="40"/>
  <c r="F63" i="40" s="1"/>
  <c r="E56" i="40"/>
  <c r="F56" i="40" s="1"/>
  <c r="E54" i="40"/>
  <c r="F54" i="40" s="1"/>
  <c r="E52" i="40"/>
  <c r="F52" i="40" s="1"/>
  <c r="E50" i="40"/>
  <c r="F50" i="40" s="1"/>
  <c r="E48" i="40"/>
  <c r="F48" i="40" s="1"/>
  <c r="E46" i="40"/>
  <c r="F46" i="40" s="1"/>
  <c r="E43" i="40"/>
  <c r="F43" i="40" s="1"/>
  <c r="C52" i="36"/>
  <c r="J37" i="40"/>
  <c r="J38" i="40" s="1"/>
  <c r="C44" i="36"/>
  <c r="C54" i="36"/>
  <c r="C46" i="36"/>
  <c r="C53" i="36"/>
  <c r="P250" i="1"/>
  <c r="Q242" i="35" s="1"/>
  <c r="O242" i="35"/>
  <c r="N70" i="14"/>
  <c r="N72" i="14" s="1"/>
  <c r="N68" i="14"/>
  <c r="G279" i="1"/>
  <c r="N86" i="13"/>
  <c r="P56" i="13"/>
  <c r="P73" i="13" s="1"/>
  <c r="P140" i="1"/>
  <c r="P36" i="13" l="1"/>
  <c r="P37" i="13" s="1"/>
  <c r="P82" i="13" s="1"/>
  <c r="Q149" i="1" s="1"/>
  <c r="O153" i="1"/>
  <c r="N56" i="17"/>
  <c r="N113" i="17"/>
  <c r="O80" i="13"/>
  <c r="P147" i="1" s="1"/>
  <c r="Q137" i="35" s="1"/>
  <c r="Q145" i="35" s="1"/>
  <c r="C49" i="36"/>
  <c r="I77" i="1"/>
  <c r="I275" i="1" s="1"/>
  <c r="I277" i="1" s="1"/>
  <c r="I279" i="1" s="1"/>
  <c r="I357" i="1" s="1"/>
  <c r="O25" i="14"/>
  <c r="Q8" i="1" s="1"/>
  <c r="Q7" i="1"/>
  <c r="P8" i="1"/>
  <c r="O9" i="1"/>
  <c r="M40" i="14"/>
  <c r="K66" i="23"/>
  <c r="N109" i="1"/>
  <c r="N137" i="1" s="1"/>
  <c r="L31" i="39"/>
  <c r="O45" i="1" s="1"/>
  <c r="L17" i="39"/>
  <c r="O31" i="1" s="1"/>
  <c r="N52" i="14"/>
  <c r="P15" i="1" s="1"/>
  <c r="O55" i="14"/>
  <c r="O45" i="14"/>
  <c r="P45" i="14" s="1"/>
  <c r="L38" i="23"/>
  <c r="H62" i="14"/>
  <c r="O48" i="14"/>
  <c r="N15" i="14"/>
  <c r="N18" i="14" s="1"/>
  <c r="L12" i="39"/>
  <c r="O26" i="1" s="1"/>
  <c r="N38" i="14"/>
  <c r="J18" i="1"/>
  <c r="J77" i="1" s="1"/>
  <c r="G158" i="23" s="1"/>
  <c r="J275" i="1" s="1"/>
  <c r="J277" i="1" s="1"/>
  <c r="J279" i="1" s="1"/>
  <c r="J357" i="1" s="1"/>
  <c r="L26" i="39"/>
  <c r="O40" i="1" s="1"/>
  <c r="L51" i="39"/>
  <c r="O65" i="1" s="1"/>
  <c r="L41" i="39"/>
  <c r="O55" i="1" s="1"/>
  <c r="M19" i="14"/>
  <c r="J8" i="23"/>
  <c r="K54" i="14"/>
  <c r="M53" i="1"/>
  <c r="M75" i="1" s="1"/>
  <c r="J60" i="39"/>
  <c r="I60" i="14"/>
  <c r="I62" i="14" s="1"/>
  <c r="K10" i="1"/>
  <c r="L14" i="1"/>
  <c r="J59" i="14"/>
  <c r="L83" i="1"/>
  <c r="I16" i="23"/>
  <c r="L53" i="14"/>
  <c r="K50" i="39"/>
  <c r="N64" i="1" s="1"/>
  <c r="K39" i="39"/>
  <c r="N53" i="1" s="1"/>
  <c r="L79" i="35"/>
  <c r="L86" i="35" s="1"/>
  <c r="L272" i="35" s="1"/>
  <c r="L274" i="35" s="1"/>
  <c r="L354" i="35" s="1"/>
  <c r="K90" i="1"/>
  <c r="L10" i="23"/>
  <c r="O85" i="1" s="1"/>
  <c r="P81" i="35" s="1"/>
  <c r="L13" i="23"/>
  <c r="L56" i="39" s="1"/>
  <c r="O70" i="1" s="1"/>
  <c r="L121" i="23"/>
  <c r="O237" i="1" s="1"/>
  <c r="P228" i="35" s="1"/>
  <c r="N88" i="1"/>
  <c r="O84" i="35" s="1"/>
  <c r="L138" i="23"/>
  <c r="O254" i="1" s="1"/>
  <c r="P247" i="35" s="1"/>
  <c r="L137" i="23"/>
  <c r="O253" i="1" s="1"/>
  <c r="L49" i="39"/>
  <c r="O63" i="1" s="1"/>
  <c r="K142" i="23"/>
  <c r="N261" i="1"/>
  <c r="O56" i="14"/>
  <c r="E73" i="40"/>
  <c r="E58" i="40"/>
  <c r="K37" i="40"/>
  <c r="K38" i="40" s="1"/>
  <c r="E84" i="40" s="1"/>
  <c r="Q82" i="13"/>
  <c r="O250" i="35"/>
  <c r="O70" i="14"/>
  <c r="O72" i="14" s="1"/>
  <c r="O68" i="14"/>
  <c r="G357" i="1"/>
  <c r="P80" i="13"/>
  <c r="Q147" i="1" s="1"/>
  <c r="R137" i="35" s="1"/>
  <c r="Q140" i="1"/>
  <c r="O86" i="13" l="1"/>
  <c r="P153" i="1"/>
  <c r="P25" i="14"/>
  <c r="E76" i="40"/>
  <c r="F76" i="40" s="1"/>
  <c r="F58" i="40"/>
  <c r="C51" i="36"/>
  <c r="F84" i="40"/>
  <c r="E78" i="40"/>
  <c r="F78" i="40" s="1"/>
  <c r="F73" i="40"/>
  <c r="R8" i="1"/>
  <c r="D8" i="1" s="1"/>
  <c r="O52" i="14"/>
  <c r="P52" i="14" s="1"/>
  <c r="P9" i="1"/>
  <c r="N40" i="14"/>
  <c r="L66" i="23"/>
  <c r="O109" i="1"/>
  <c r="O137" i="1" s="1"/>
  <c r="M31" i="39"/>
  <c r="P45" i="1" s="1"/>
  <c r="M17" i="39"/>
  <c r="P31" i="1" s="1"/>
  <c r="M26" i="39"/>
  <c r="P40" i="1" s="1"/>
  <c r="M38" i="23"/>
  <c r="M51" i="39"/>
  <c r="P65" i="1" s="1"/>
  <c r="N75" i="1"/>
  <c r="K60" i="39"/>
  <c r="N19" i="14"/>
  <c r="M50" i="39" s="1"/>
  <c r="P64" i="1" s="1"/>
  <c r="O15" i="14"/>
  <c r="O18" i="14" s="1"/>
  <c r="M138" i="23"/>
  <c r="P254" i="1" s="1"/>
  <c r="Q247" i="35" s="1"/>
  <c r="M10" i="23"/>
  <c r="P85" i="1" s="1"/>
  <c r="Q81" i="35" s="1"/>
  <c r="M13" i="23"/>
  <c r="P88" i="1" s="1"/>
  <c r="Q84" i="35" s="1"/>
  <c r="M49" i="39"/>
  <c r="P63" i="1" s="1"/>
  <c r="M121" i="23"/>
  <c r="P237" i="1" s="1"/>
  <c r="Q228" i="35" s="1"/>
  <c r="M41" i="39"/>
  <c r="P55" i="1" s="1"/>
  <c r="P48" i="14"/>
  <c r="M137" i="23"/>
  <c r="P253" i="1" s="1"/>
  <c r="Q246" i="35" s="1"/>
  <c r="M12" i="39"/>
  <c r="P26" i="1" s="1"/>
  <c r="D52" i="36"/>
  <c r="O38" i="14"/>
  <c r="O88" i="1"/>
  <c r="P84" i="35" s="1"/>
  <c r="L54" i="14"/>
  <c r="K8" i="23"/>
  <c r="Q12" i="1"/>
  <c r="R12" i="1" s="1"/>
  <c r="D12" i="1" s="1"/>
  <c r="P56" i="14"/>
  <c r="K11" i="1"/>
  <c r="K18" i="1" s="1"/>
  <c r="K77" i="1" s="1"/>
  <c r="H158" i="23" s="1"/>
  <c r="K275" i="1" s="1"/>
  <c r="K277" i="1" s="1"/>
  <c r="K279" i="1" s="1"/>
  <c r="K357" i="1" s="1"/>
  <c r="Q13" i="1"/>
  <c r="R13" i="1" s="1"/>
  <c r="D13" i="1" s="1"/>
  <c r="P55" i="14"/>
  <c r="M79" i="35"/>
  <c r="M86" i="35" s="1"/>
  <c r="M272" i="35" s="1"/>
  <c r="M274" i="35" s="1"/>
  <c r="M354" i="35" s="1"/>
  <c r="L90" i="1"/>
  <c r="J60" i="14"/>
  <c r="J62" i="14" s="1"/>
  <c r="L10" i="1"/>
  <c r="M14" i="1"/>
  <c r="K59" i="14"/>
  <c r="M83" i="1"/>
  <c r="J16" i="23"/>
  <c r="L50" i="39"/>
  <c r="O64" i="1" s="1"/>
  <c r="L39" i="39"/>
  <c r="M53" i="14"/>
  <c r="D44" i="36"/>
  <c r="D56" i="36"/>
  <c r="D46" i="36"/>
  <c r="L142" i="23"/>
  <c r="O261" i="1"/>
  <c r="P246" i="35"/>
  <c r="P250" i="35" s="1"/>
  <c r="D47" i="36"/>
  <c r="D53" i="36"/>
  <c r="D48" i="36"/>
  <c r="D54" i="36"/>
  <c r="L37" i="40"/>
  <c r="L38" i="40" s="1"/>
  <c r="C43" i="36"/>
  <c r="R138" i="35"/>
  <c r="R145" i="35" s="1"/>
  <c r="R149" i="1"/>
  <c r="D149" i="1" s="1"/>
  <c r="Q250" i="1"/>
  <c r="O134" i="23"/>
  <c r="Q153" i="1"/>
  <c r="P86" i="13"/>
  <c r="E83" i="40" l="1"/>
  <c r="F83" i="40" s="1"/>
  <c r="C45" i="36"/>
  <c r="Q15" i="1"/>
  <c r="R15" i="1" s="1"/>
  <c r="D15" i="1" s="1"/>
  <c r="M66" i="23"/>
  <c r="P109" i="1"/>
  <c r="P137" i="1" s="1"/>
  <c r="Q9" i="1"/>
  <c r="O40" i="14"/>
  <c r="N31" i="39"/>
  <c r="N17" i="39"/>
  <c r="Q31" i="1" s="1"/>
  <c r="R31" i="1" s="1"/>
  <c r="D31" i="1" s="1"/>
  <c r="O19" i="14"/>
  <c r="O53" i="14" s="1"/>
  <c r="O54" i="14" s="1"/>
  <c r="Q14" i="1" s="1"/>
  <c r="N38" i="23"/>
  <c r="N13" i="23"/>
  <c r="Q88" i="1" s="1"/>
  <c r="R84" i="35" s="1"/>
  <c r="M39" i="39"/>
  <c r="P53" i="1" s="1"/>
  <c r="N51" i="39"/>
  <c r="Q65" i="1" s="1"/>
  <c r="N41" i="39"/>
  <c r="Q55" i="1" s="1"/>
  <c r="N121" i="23"/>
  <c r="Q237" i="1" s="1"/>
  <c r="R237" i="1" s="1"/>
  <c r="D237" i="1" s="1"/>
  <c r="N138" i="23"/>
  <c r="Q254" i="1" s="1"/>
  <c r="R254" i="1" s="1"/>
  <c r="D254" i="1" s="1"/>
  <c r="N53" i="14"/>
  <c r="N54" i="14" s="1"/>
  <c r="P14" i="1" s="1"/>
  <c r="N137" i="23"/>
  <c r="Q253" i="1" s="1"/>
  <c r="R246" i="35" s="1"/>
  <c r="N12" i="39"/>
  <c r="O12" i="39" s="1"/>
  <c r="N26" i="39"/>
  <c r="Q40" i="1" s="1"/>
  <c r="N10" i="23"/>
  <c r="Q85" i="1" s="1"/>
  <c r="R81" i="35" s="1"/>
  <c r="N49" i="39"/>
  <c r="Q63" i="1" s="1"/>
  <c r="M56" i="39"/>
  <c r="P70" i="1" s="1"/>
  <c r="Q250" i="35"/>
  <c r="P261" i="1"/>
  <c r="M142" i="23"/>
  <c r="L8" i="23"/>
  <c r="M54" i="14"/>
  <c r="L11" i="1"/>
  <c r="L18" i="1" s="1"/>
  <c r="L77" i="1" s="1"/>
  <c r="I158" i="23" s="1"/>
  <c r="L275" i="1" s="1"/>
  <c r="L277" i="1" s="1"/>
  <c r="O53" i="1"/>
  <c r="O75" i="1" s="1"/>
  <c r="L60" i="39"/>
  <c r="N83" i="1"/>
  <c r="K16" i="23"/>
  <c r="N79" i="35"/>
  <c r="N86" i="35" s="1"/>
  <c r="N272" i="35" s="1"/>
  <c r="N274" i="35" s="1"/>
  <c r="N354" i="35" s="1"/>
  <c r="M90" i="1"/>
  <c r="N14" i="1"/>
  <c r="L59" i="14"/>
  <c r="K60" i="14"/>
  <c r="M10" i="1"/>
  <c r="C50" i="36"/>
  <c r="D49" i="36"/>
  <c r="M37" i="40"/>
  <c r="M38" i="40" s="1"/>
  <c r="R242" i="35"/>
  <c r="R250" i="1"/>
  <c r="D250" i="1" s="1"/>
  <c r="N50" i="39" l="1"/>
  <c r="Q64" i="1" s="1"/>
  <c r="N56" i="39"/>
  <c r="Q70" i="1" s="1"/>
  <c r="N66" i="23"/>
  <c r="O66" i="23" s="1"/>
  <c r="Q109" i="1"/>
  <c r="O59" i="14"/>
  <c r="O60" i="14" s="1"/>
  <c r="Q11" i="1" s="1"/>
  <c r="N8" i="23"/>
  <c r="Q83" i="1" s="1"/>
  <c r="R79" i="35" s="1"/>
  <c r="R86" i="35" s="1"/>
  <c r="R272" i="35" s="1"/>
  <c r="R274" i="35" s="1"/>
  <c r="R354" i="35" s="1"/>
  <c r="N39" i="39"/>
  <c r="Q53" i="1" s="1"/>
  <c r="Q45" i="1"/>
  <c r="R45" i="1" s="1"/>
  <c r="D45" i="1" s="1"/>
  <c r="O31" i="39"/>
  <c r="Q26" i="1"/>
  <c r="R26" i="1" s="1"/>
  <c r="D26" i="1" s="1"/>
  <c r="O121" i="23"/>
  <c r="P75" i="1"/>
  <c r="M11" i="1"/>
  <c r="M18" i="1" s="1"/>
  <c r="M77" i="1" s="1"/>
  <c r="J158" i="23" s="1"/>
  <c r="M275" i="1" s="1"/>
  <c r="M277" i="1" s="1"/>
  <c r="M279" i="1" s="1"/>
  <c r="M357" i="1" s="1"/>
  <c r="K62" i="14"/>
  <c r="O17" i="39"/>
  <c r="R247" i="35"/>
  <c r="N142" i="23"/>
  <c r="M60" i="39"/>
  <c r="O138" i="23"/>
  <c r="M8" i="23"/>
  <c r="M16" i="23" s="1"/>
  <c r="N59" i="14"/>
  <c r="N60" i="14" s="1"/>
  <c r="P11" i="1" s="1"/>
  <c r="Q261" i="1"/>
  <c r="R228" i="35"/>
  <c r="R250" i="35" s="1"/>
  <c r="O79" i="35"/>
  <c r="O86" i="35" s="1"/>
  <c r="O272" i="35" s="1"/>
  <c r="O274" i="35" s="1"/>
  <c r="O354" i="35" s="1"/>
  <c r="N90" i="1"/>
  <c r="O14" i="1"/>
  <c r="M59" i="14"/>
  <c r="L60" i="14"/>
  <c r="N10" i="1"/>
  <c r="O83" i="1"/>
  <c r="L16" i="23"/>
  <c r="D51" i="36"/>
  <c r="L279" i="1"/>
  <c r="Q10" i="1" l="1"/>
  <c r="Q18" i="1" s="1"/>
  <c r="N16" i="23"/>
  <c r="N60" i="39"/>
  <c r="O62" i="14"/>
  <c r="Q90" i="1"/>
  <c r="Q137" i="1"/>
  <c r="R137" i="1" s="1"/>
  <c r="D137" i="1" s="1"/>
  <c r="C24" i="11" s="1"/>
  <c r="R109" i="1"/>
  <c r="D109" i="1" s="1"/>
  <c r="Q75" i="1"/>
  <c r="P10" i="1"/>
  <c r="P18" i="1" s="1"/>
  <c r="P77" i="1" s="1"/>
  <c r="N62" i="14"/>
  <c r="N11" i="1"/>
  <c r="N18" i="1" s="1"/>
  <c r="N77" i="1" s="1"/>
  <c r="K158" i="23" s="1"/>
  <c r="N275" i="1" s="1"/>
  <c r="N277" i="1" s="1"/>
  <c r="N279" i="1" s="1"/>
  <c r="N357" i="1" s="1"/>
  <c r="L62" i="14"/>
  <c r="P83" i="1"/>
  <c r="Q79" i="35" s="1"/>
  <c r="Q86" i="35" s="1"/>
  <c r="Q272" i="35" s="1"/>
  <c r="Q274" i="35" s="1"/>
  <c r="Q354" i="35" s="1"/>
  <c r="M60" i="14"/>
  <c r="O11" i="1" s="1"/>
  <c r="O10" i="1"/>
  <c r="P79" i="35"/>
  <c r="P86" i="35" s="1"/>
  <c r="P272" i="35" s="1"/>
  <c r="P274" i="35" s="1"/>
  <c r="P354" i="35" s="1"/>
  <c r="O90" i="1"/>
  <c r="D43" i="36"/>
  <c r="D45" i="36"/>
  <c r="L357" i="1"/>
  <c r="M158" i="23" l="1"/>
  <c r="P275" i="1" s="1"/>
  <c r="D24" i="11"/>
  <c r="E24" i="11"/>
  <c r="Q77" i="1"/>
  <c r="M62" i="14"/>
  <c r="P90" i="1"/>
  <c r="O18" i="1"/>
  <c r="O77" i="1" s="1"/>
  <c r="Q60" i="13"/>
  <c r="Q46" i="13"/>
  <c r="Q47" i="13"/>
  <c r="Q44" i="13"/>
  <c r="Q43" i="13"/>
  <c r="Q45" i="13"/>
  <c r="N19" i="18"/>
  <c r="N158" i="23" l="1"/>
  <c r="Q275" i="1" s="1"/>
  <c r="Q277" i="1" s="1"/>
  <c r="P277" i="1"/>
  <c r="P279" i="1" s="1"/>
  <c r="P357" i="1" s="1"/>
  <c r="L158" i="23"/>
  <c r="O275" i="1" s="1"/>
  <c r="O277" i="1" s="1"/>
  <c r="O279" i="1" s="1"/>
  <c r="O357" i="1" s="1"/>
  <c r="R18" i="1"/>
  <c r="D50" i="36"/>
  <c r="R7" i="1"/>
  <c r="Q59" i="13"/>
  <c r="Q41" i="13"/>
  <c r="Q279" i="1" l="1"/>
  <c r="P18" i="14"/>
  <c r="D7" i="1"/>
  <c r="C16" i="11" s="1"/>
  <c r="O26" i="39"/>
  <c r="P24" i="14"/>
  <c r="Q56" i="13"/>
  <c r="Q70" i="13"/>
  <c r="E16" i="11" l="1"/>
  <c r="D16" i="11"/>
  <c r="Q357" i="1"/>
  <c r="R53" i="1"/>
  <c r="D53" i="1" s="1"/>
  <c r="O39" i="39"/>
  <c r="O8" i="23"/>
  <c r="R64" i="1"/>
  <c r="D64" i="1" s="1"/>
  <c r="O50" i="39"/>
  <c r="R88" i="1"/>
  <c r="D88" i="1" s="1"/>
  <c r="O13" i="23"/>
  <c r="O142" i="23"/>
  <c r="O137" i="23"/>
  <c r="R70" i="1"/>
  <c r="D70" i="1" s="1"/>
  <c r="O56" i="39"/>
  <c r="R55" i="1"/>
  <c r="D55" i="1" s="1"/>
  <c r="O41" i="39"/>
  <c r="O49" i="39"/>
  <c r="R63" i="1"/>
  <c r="D63" i="1" s="1"/>
  <c r="R65" i="1"/>
  <c r="D65" i="1" s="1"/>
  <c r="O51" i="39"/>
  <c r="O10" i="23"/>
  <c r="P59" i="14"/>
  <c r="P38" i="14"/>
  <c r="O60" i="39"/>
  <c r="P54" i="14"/>
  <c r="R142" i="1"/>
  <c r="D142" i="1" s="1"/>
  <c r="Q75" i="13"/>
  <c r="Q86" i="13"/>
  <c r="Q73" i="13"/>
  <c r="O16" i="23" l="1"/>
  <c r="R83" i="1"/>
  <c r="D83" i="1" s="1"/>
  <c r="R75" i="1"/>
  <c r="R40" i="1"/>
  <c r="D40" i="1" s="1"/>
  <c r="R261" i="1"/>
  <c r="D261" i="1" s="1"/>
  <c r="C29" i="11" s="1"/>
  <c r="R253" i="1"/>
  <c r="D253" i="1" s="1"/>
  <c r="R85" i="1"/>
  <c r="D85" i="1" s="1"/>
  <c r="P40" i="14"/>
  <c r="P60" i="14"/>
  <c r="R14" i="1"/>
  <c r="D14" i="1" s="1"/>
  <c r="R9" i="1"/>
  <c r="D9" i="1" s="1"/>
  <c r="C17" i="11" s="1"/>
  <c r="R10" i="1"/>
  <c r="D10" i="1" s="1"/>
  <c r="R147" i="1"/>
  <c r="D147" i="1" s="1"/>
  <c r="Q80" i="13"/>
  <c r="R140" i="1"/>
  <c r="D140" i="1" s="1"/>
  <c r="D75" i="1" l="1"/>
  <c r="C19" i="11" s="1"/>
  <c r="E29" i="11"/>
  <c r="D29" i="11"/>
  <c r="E17" i="11"/>
  <c r="D17" i="11"/>
  <c r="D18" i="1"/>
  <c r="C18" i="11" s="1"/>
  <c r="P62" i="14"/>
  <c r="R77" i="1"/>
  <c r="D77" i="1" s="1"/>
  <c r="R11" i="1"/>
  <c r="D11" i="1" s="1"/>
  <c r="E19" i="11" l="1"/>
  <c r="D19" i="11"/>
  <c r="C20" i="11"/>
  <c r="E18" i="11"/>
  <c r="D18" i="11"/>
  <c r="R90" i="1"/>
  <c r="D90" i="1" s="1"/>
  <c r="C23" i="11" s="1"/>
  <c r="R153" i="1"/>
  <c r="E23" i="11" l="1"/>
  <c r="D23" i="11"/>
  <c r="E20" i="11"/>
  <c r="D20" i="11"/>
  <c r="R275" i="1"/>
  <c r="D275" i="1" s="1"/>
  <c r="C30" i="11" s="1"/>
  <c r="O158" i="23"/>
  <c r="R277" i="1"/>
  <c r="D277" i="1" s="1"/>
  <c r="D153" i="1"/>
  <c r="C25" i="11" s="1"/>
  <c r="D25" i="11" l="1"/>
  <c r="E25" i="11"/>
  <c r="E30" i="11"/>
  <c r="D30" i="11"/>
  <c r="C32" i="11"/>
  <c r="E32" i="11" l="1"/>
  <c r="D32" i="11"/>
  <c r="R357" i="1"/>
  <c r="D357" i="1" s="1"/>
  <c r="R279" i="1"/>
  <c r="D279" i="1" s="1"/>
  <c r="E35" i="11" l="1"/>
  <c r="D35" i="11"/>
  <c r="D15" i="37"/>
  <c r="D22" i="37" s="1"/>
  <c r="D98" i="37" s="1"/>
  <c r="D9" i="36" l="1"/>
  <c r="D18" i="36" l="1"/>
  <c r="H16" i="11" l="1"/>
  <c r="O15" i="40" l="1"/>
  <c r="O13" i="40" l="1"/>
  <c r="E88" i="40"/>
  <c r="F88" i="40" l="1"/>
  <c r="E91" i="40"/>
  <c r="F91" i="40" s="1"/>
  <c r="C55" i="36"/>
  <c r="C57" i="36" l="1"/>
  <c r="D55" i="36"/>
  <c r="C63" i="36" l="1"/>
  <c r="D57" i="36"/>
  <c r="H20" i="11" l="1"/>
  <c r="D63" i="36"/>
  <c r="H22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<sst xmlns="http://schemas.openxmlformats.org/spreadsheetml/2006/main" count="4907" uniqueCount="1200">
  <si>
    <t xml:space="preserve">
 </t>
  </si>
  <si>
    <t>Total Net Rental Income</t>
  </si>
  <si>
    <t/>
  </si>
  <si>
    <t>Other Income</t>
  </si>
  <si>
    <t>Effective Gross Income</t>
  </si>
  <si>
    <t>Administrative Expenses</t>
  </si>
  <si>
    <t>Advertising &amp; Marketing</t>
  </si>
  <si>
    <t>Management Fees</t>
  </si>
  <si>
    <t>Taxes &amp; Insurance</t>
  </si>
  <si>
    <t>Total Expenses</t>
  </si>
  <si>
    <t>Pet Rent</t>
  </si>
  <si>
    <t>Total Other Income</t>
  </si>
  <si>
    <t>Bank Charges</t>
  </si>
  <si>
    <t>Total Administrative Expenses</t>
  </si>
  <si>
    <t>Advertising &amp; Marketing Expenses</t>
  </si>
  <si>
    <t>Signage</t>
  </si>
  <si>
    <t>Maintenance Supplies</t>
  </si>
  <si>
    <t>HVAC</t>
  </si>
  <si>
    <t>Total Taxes &amp; Insurance</t>
  </si>
  <si>
    <t>Roof Repairs</t>
  </si>
  <si>
    <t>Total</t>
  </si>
  <si>
    <t>Property Insurance</t>
  </si>
  <si>
    <t>Pest Control</t>
  </si>
  <si>
    <t>Comments</t>
  </si>
  <si>
    <t xml:space="preserve">                </t>
  </si>
  <si>
    <t>Repair &amp; Maintenance</t>
  </si>
  <si>
    <t># of Units</t>
  </si>
  <si>
    <t>Total Rent</t>
  </si>
  <si>
    <t>Concessions</t>
  </si>
  <si>
    <t>Net Rental Income</t>
  </si>
  <si>
    <t>Net Operating Income</t>
  </si>
  <si>
    <t>PSF</t>
  </si>
  <si>
    <t>Unit Type</t>
  </si>
  <si>
    <t>Base  Rent</t>
  </si>
  <si>
    <t>Payroll Expenses</t>
  </si>
  <si>
    <t>Total Utilities</t>
  </si>
  <si>
    <t>Contract Services</t>
  </si>
  <si>
    <t>Utility Expenses</t>
  </si>
  <si>
    <t>Total Advertising &amp; Marketing Expenses</t>
  </si>
  <si>
    <t>Premiums</t>
  </si>
  <si>
    <t>Average New Lease</t>
  </si>
  <si>
    <t>TOTAL</t>
  </si>
  <si>
    <t>Window Washing</t>
  </si>
  <si>
    <t>Blinds/Drapes Repair</t>
  </si>
  <si>
    <t>Ceiling Fans/Fixtures</t>
  </si>
  <si>
    <t>Cleaning Supplies</t>
  </si>
  <si>
    <t>Total Repair &amp; Maintenance</t>
  </si>
  <si>
    <t>Vacancy Loss</t>
  </si>
  <si>
    <t>Lease Expirations</t>
  </si>
  <si>
    <t>Renewals</t>
  </si>
  <si>
    <t>Pest Control Reimbursement</t>
  </si>
  <si>
    <t xml:space="preserve">Upfront MOVE IN Month's Free </t>
  </si>
  <si>
    <t>Upfront MOVE IN Month's Free Percentage</t>
  </si>
  <si>
    <t>TOTAL MOVE IN CONCESSIONS</t>
  </si>
  <si>
    <t>TOTAL RENEWAL CONCESSIONS</t>
  </si>
  <si>
    <t>Capitalized Expenditures</t>
  </si>
  <si>
    <t>Total Capitalized Expenditures</t>
  </si>
  <si>
    <t>NET INCOME (LOSS)</t>
  </si>
  <si>
    <t>Total Other Fees</t>
  </si>
  <si>
    <t>Credit Card/ACH Fees</t>
  </si>
  <si>
    <t>Dues and Subscriptions</t>
  </si>
  <si>
    <t>Amenity Fee</t>
  </si>
  <si>
    <t>Net Effective Rent</t>
  </si>
  <si>
    <t>SUMMARY</t>
  </si>
  <si>
    <t>Property Name</t>
  </si>
  <si>
    <t>Property Location</t>
  </si>
  <si>
    <t>Square feet</t>
  </si>
  <si>
    <t xml:space="preserve">Per Unit </t>
  </si>
  <si>
    <t>Per SF</t>
  </si>
  <si>
    <t>INCOME</t>
  </si>
  <si>
    <t>Market Rent</t>
  </si>
  <si>
    <t>Net Market Rent</t>
  </si>
  <si>
    <t>Gross Income</t>
  </si>
  <si>
    <t>EXPENSES</t>
  </si>
  <si>
    <t>NET OPERATING INCOME</t>
  </si>
  <si>
    <t>Make Ready</t>
  </si>
  <si>
    <t>SECTION I - ASSUMPTIONS</t>
  </si>
  <si>
    <t>ADMINISTRATIVE EMPLOYEES:</t>
  </si>
  <si>
    <t>Employee Name</t>
  </si>
  <si>
    <t>Position</t>
  </si>
  <si>
    <t>Salaried Employees</t>
  </si>
  <si>
    <t>--</t>
  </si>
  <si>
    <t>Hourly Employees</t>
  </si>
  <si>
    <t>MAINTENANCE EMPLOYEES:</t>
  </si>
  <si>
    <t>SECTION II - SALARY AND BENEFITS BUDGET</t>
  </si>
  <si>
    <t>Administrative Employees</t>
  </si>
  <si>
    <t>Total Admin. Employees</t>
  </si>
  <si>
    <t>Maintenance Employees</t>
  </si>
  <si>
    <t>Total Maint. Employees</t>
  </si>
  <si>
    <t>SUMMARY:</t>
  </si>
  <si>
    <t>TOTAL SALARIES AND BENEFITS</t>
  </si>
  <si>
    <t>PAYROLL ACCRUAL</t>
  </si>
  <si>
    <t>Last Pay Check</t>
  </si>
  <si>
    <t>Pay Per Day Assuming 10 Days</t>
  </si>
  <si>
    <t>Days Accrued</t>
  </si>
  <si>
    <t>Accrual</t>
  </si>
  <si>
    <t>Accrual including Benefits</t>
  </si>
  <si>
    <t>Salaried Payroll Accrual</t>
  </si>
  <si>
    <t>Pay Per Day Assuming 14 Days</t>
  </si>
  <si>
    <t>Hourly Payroll Accrual</t>
  </si>
  <si>
    <t>Total Payroll Accrual</t>
  </si>
  <si>
    <t>Units:</t>
  </si>
  <si>
    <t>Square Feet</t>
  </si>
  <si>
    <t>ANNUAL</t>
  </si>
  <si>
    <t>ADJUSTED ASSUMPTIONS</t>
  </si>
  <si>
    <t>Lease Renewal Percentage</t>
  </si>
  <si>
    <t>Leases Renewed</t>
  </si>
  <si>
    <t>Early Moveouts/Skips/Evictions</t>
  </si>
  <si>
    <t>Beginning Units Occupied</t>
  </si>
  <si>
    <t>Move-ins</t>
  </si>
  <si>
    <t>Move-outs</t>
  </si>
  <si>
    <t xml:space="preserve">Ending Units Occupied </t>
  </si>
  <si>
    <t>Physical Occupancy</t>
  </si>
  <si>
    <t>REVENUE CALCULATION</t>
  </si>
  <si>
    <t>Vacancy Rate</t>
  </si>
  <si>
    <t>ANALYSIS</t>
  </si>
  <si>
    <t>Market Rent Per Sq. Foot</t>
  </si>
  <si>
    <t>Market Rent Per Unit</t>
  </si>
  <si>
    <t>Market Monthly % Change</t>
  </si>
  <si>
    <t>Locator Fees</t>
  </si>
  <si>
    <t>Business Cards</t>
  </si>
  <si>
    <t>Notecards/Thank You Cards</t>
  </si>
  <si>
    <t>Outreach Collateral</t>
  </si>
  <si>
    <t>Banners / Flags</t>
  </si>
  <si>
    <t>Balloons</t>
  </si>
  <si>
    <t>A-frames</t>
  </si>
  <si>
    <t>Billboards</t>
  </si>
  <si>
    <t>Bootlegs</t>
  </si>
  <si>
    <t xml:space="preserve">Vacant Unit Staging </t>
  </si>
  <si>
    <t>Resident Events</t>
  </si>
  <si>
    <t>Cleaning Fees</t>
  </si>
  <si>
    <t>Electric Reimbursement</t>
  </si>
  <si>
    <t>Water/Sewer Reimbursement</t>
  </si>
  <si>
    <t>Employee Recruitment</t>
  </si>
  <si>
    <t>Employee Recognition</t>
  </si>
  <si>
    <t>Mileage</t>
  </si>
  <si>
    <t>Compliance Fees</t>
  </si>
  <si>
    <t>Resident Retention</t>
  </si>
  <si>
    <t>Per Unit</t>
  </si>
  <si>
    <t>Move-outs:</t>
  </si>
  <si>
    <t>% Paints Contracted</t>
  </si>
  <si>
    <t>Expense:</t>
  </si>
  <si>
    <t>% Cleans Contracted</t>
  </si>
  <si>
    <t>% Carpet Cleans Contracted</t>
  </si>
  <si>
    <t>Monthly $ Amount</t>
  </si>
  <si>
    <t>Total Expense Per Turn:</t>
  </si>
  <si>
    <t>Sheetrock Repair</t>
  </si>
  <si>
    <t>Tile Repair</t>
  </si>
  <si>
    <t>Miscellaneous Unit Repair</t>
  </si>
  <si>
    <t>Cleaning Services</t>
  </si>
  <si>
    <t>Resurfacing Countertops</t>
  </si>
  <si>
    <t>Backflow Inspection</t>
  </si>
  <si>
    <t>Golf Cart Repairs</t>
  </si>
  <si>
    <t>Common Area Music</t>
  </si>
  <si>
    <t>Existing Recurring Concessions</t>
  </si>
  <si>
    <t>Upfront RENEWAL Upfront Free Percentage</t>
  </si>
  <si>
    <t>Healthcare Cost/Employee</t>
  </si>
  <si>
    <t>Total Make Ready:</t>
  </si>
  <si>
    <t xml:space="preserve">Cost per Contract Paint </t>
  </si>
  <si>
    <t xml:space="preserve">Cost per Contract Clean </t>
  </si>
  <si>
    <t>Cost per Contract Carpet Clean</t>
  </si>
  <si>
    <t>Application Fee</t>
  </si>
  <si>
    <t>Cleaning Fee</t>
  </si>
  <si>
    <t>Parking Spaces</t>
  </si>
  <si>
    <t>Price</t>
  </si>
  <si>
    <t>Parking Occupancy</t>
  </si>
  <si>
    <t>Storage Units</t>
  </si>
  <si>
    <t>Storage Occupancy</t>
  </si>
  <si>
    <t>Monthly Pest Fee</t>
  </si>
  <si>
    <t>Monthly Trash Fee</t>
  </si>
  <si>
    <t>Valet Trash Fee</t>
  </si>
  <si>
    <t>Utility Fee</t>
  </si>
  <si>
    <t xml:space="preserve">Reimbursement </t>
  </si>
  <si>
    <t>Per  Unit</t>
  </si>
  <si>
    <t>ApartmentList.com</t>
  </si>
  <si>
    <t>Zillow.com</t>
  </si>
  <si>
    <t>Search Engine Optimization (SEO)</t>
  </si>
  <si>
    <t>Search Engine Marketing (SEM)</t>
  </si>
  <si>
    <t>ApartmentRatings.com</t>
  </si>
  <si>
    <t>Locators</t>
  </si>
  <si>
    <t>Realtor Fees</t>
  </si>
  <si>
    <t>Resident Referrals</t>
  </si>
  <si>
    <t>Mini-Models</t>
  </si>
  <si>
    <t>WOW Fridge</t>
  </si>
  <si>
    <t xml:space="preserve">Move In Gifts </t>
  </si>
  <si>
    <t>Scent Air</t>
  </si>
  <si>
    <t>Model Marketing</t>
  </si>
  <si>
    <t>Marketing Promotions</t>
  </si>
  <si>
    <t>Outreach Marketing</t>
  </si>
  <si>
    <t>PEP Marketing</t>
  </si>
  <si>
    <t>Total Marketing</t>
  </si>
  <si>
    <t>Total Payroll Expenses</t>
  </si>
  <si>
    <t>Total Make Ready</t>
  </si>
  <si>
    <t xml:space="preserve">Repairs/Maintenance </t>
  </si>
  <si>
    <t>Total Contract Service Expense</t>
  </si>
  <si>
    <t>Average Increase</t>
  </si>
  <si>
    <t>Projected M/I's</t>
  </si>
  <si>
    <t>Average Increase over Prior Lease</t>
  </si>
  <si>
    <t xml:space="preserve">Mgmt Fee </t>
  </si>
  <si>
    <t>Cable Contract</t>
  </si>
  <si>
    <t>Average Renewal</t>
  </si>
  <si>
    <t>Month to Month Fees</t>
  </si>
  <si>
    <t>Amount/emp/pay check</t>
  </si>
  <si>
    <t>Total # of employees</t>
  </si>
  <si>
    <t>Number of Emp w/ HC</t>
  </si>
  <si>
    <t>Start Date</t>
  </si>
  <si>
    <t>GL Code</t>
  </si>
  <si>
    <t># Units:</t>
  </si>
  <si>
    <t>CHECKLIST</t>
  </si>
  <si>
    <t>Other Fees</t>
  </si>
  <si>
    <t>Total Base Expense Per Turn:</t>
  </si>
  <si>
    <t>Summary</t>
  </si>
  <si>
    <t>Operating Expenses</t>
  </si>
  <si>
    <t>Non-Operating Expenses</t>
  </si>
  <si>
    <t>Marketing Worksheet</t>
  </si>
  <si>
    <t>Payroll Worksheet</t>
  </si>
  <si>
    <t>Make Ready Worksheet</t>
  </si>
  <si>
    <t>Revenue Worksheet</t>
  </si>
  <si>
    <t>GPR Worksheet</t>
  </si>
  <si>
    <t>Totals/Avg</t>
  </si>
  <si>
    <t>YTD Budget</t>
  </si>
  <si>
    <t>Loss to Lease Calculation</t>
  </si>
  <si>
    <t>TOTAL INCREASE</t>
  </si>
  <si>
    <t>GPR INCREASE (including Premiums)</t>
  </si>
  <si>
    <t>Operating Budget</t>
  </si>
  <si>
    <t>Mgmt Fee Minimum</t>
  </si>
  <si>
    <t>ACCT_NO</t>
  </si>
  <si>
    <t>ACCT_NAME</t>
  </si>
  <si>
    <t>CATEGORY</t>
  </si>
  <si>
    <t>Field Name: ACCT_NO
UI Field Name: Primary Account and Sub Account
Type: Character
Length: 24
Default Value: None
Valid Values: Any; Must conform to primary/sub account specification in Company &gt; Setup: Company Info
Dependencies: None
Required: Yes
Editable: No</t>
  </si>
  <si>
    <t>Field Name: ACCT_NAME
UI Field Name: Title
Type: Character
Length: 80
Default Value: None
Valid Values: Any
Dependencies: None
Required: Yes
Editable: Yes</t>
  </si>
  <si>
    <t>Field Name: CATEGORY
UI Field Name: Category
Type: Character 
Length: 120
Default Value: None
Valid Values: Select any value in the drop-down list. Click any cell in this column to view the drop down list.  Do not type in a value.
Dependencies: You must select the General setup template during company setup to tag a category.  Otherwise, importing the chart of account with a category tagged will cause an error during the upload process.
Required: No
Editable: No
Note: You must select the General setup template during company setup.</t>
  </si>
  <si>
    <t>ISC - Rental Income</t>
  </si>
  <si>
    <t>Retail Rent</t>
  </si>
  <si>
    <t>Corporate/Guest Suite Income</t>
  </si>
  <si>
    <t>Rent from Subsidy / Third Party</t>
  </si>
  <si>
    <t>ISC - Vacancy, Losses &amp; Concessions</t>
  </si>
  <si>
    <t>Bad Debt - Rent</t>
  </si>
  <si>
    <t>Bad Debt Recovery - Rent</t>
  </si>
  <si>
    <t>Bad Debt Recovery - Other</t>
  </si>
  <si>
    <t>Gain/Loss to Lease in Force</t>
  </si>
  <si>
    <t>Model / Administrative Units</t>
  </si>
  <si>
    <t>Out of Service / Down Units</t>
  </si>
  <si>
    <t>Employee Units</t>
  </si>
  <si>
    <t>Concession - Preferred Plans</t>
  </si>
  <si>
    <t>One-Time Special or Allowance</t>
  </si>
  <si>
    <t>Charge Back Concessions</t>
  </si>
  <si>
    <t>Concession Prorated of Lease</t>
  </si>
  <si>
    <t>Resident Referral Concession</t>
  </si>
  <si>
    <t>Write-Off Uncollectable</t>
  </si>
  <si>
    <t>Miscellaneous Credit</t>
  </si>
  <si>
    <t>ISC - Other Income</t>
  </si>
  <si>
    <t>Administrative Fees</t>
  </si>
  <si>
    <t>Administration Fees Concession</t>
  </si>
  <si>
    <t>Alarm Fees</t>
  </si>
  <si>
    <t>Amenity Fees</t>
  </si>
  <si>
    <t>Application Fee Income</t>
  </si>
  <si>
    <t>Application Fee Concessions</t>
  </si>
  <si>
    <t>Cable TV Bulk Income</t>
  </si>
  <si>
    <t>Cable TV Commissions</t>
  </si>
  <si>
    <t>Damages Charged to Residents</t>
  </si>
  <si>
    <t>Forfeited Deposit</t>
  </si>
  <si>
    <t>Furniture Rental Income</t>
  </si>
  <si>
    <t>Garage or Tower Parking Permit</t>
  </si>
  <si>
    <t>Interest Income</t>
  </si>
  <si>
    <t>Keys, Locks, Lock Changes</t>
  </si>
  <si>
    <t>Late Charges</t>
  </si>
  <si>
    <t>Concession of Late Charges</t>
  </si>
  <si>
    <t>Laundry Room Income</t>
  </si>
  <si>
    <t>Lease Termination Fee Income</t>
  </si>
  <si>
    <t>Legal &amp; Collection Fee Income</t>
  </si>
  <si>
    <t>Miscellaneous Income</t>
  </si>
  <si>
    <t>Renters Insurance Reimbursement</t>
  </si>
  <si>
    <t>NSF Fee Income</t>
  </si>
  <si>
    <t>Reserved Parking</t>
  </si>
  <si>
    <t>Pet Fee Income</t>
  </si>
  <si>
    <t xml:space="preserve">Short Term Premium </t>
  </si>
  <si>
    <t>Storage Space Rental</t>
  </si>
  <si>
    <t>Storm Water Reimbursement</t>
  </si>
  <si>
    <t>Transfer Fee</t>
  </si>
  <si>
    <t>Trash Reimbursement - Door to door pickup</t>
  </si>
  <si>
    <t xml:space="preserve">Trash Reimbursement </t>
  </si>
  <si>
    <t>Utility Reimbursement</t>
  </si>
  <si>
    <t>Utilities - Billing Fee Reimbursement</t>
  </si>
  <si>
    <t>Vending Income</t>
  </si>
  <si>
    <t>Washer / Dryer Rental Income</t>
  </si>
  <si>
    <t>CAM Income</t>
  </si>
  <si>
    <t>ISC - Payroll &amp; Related</t>
  </si>
  <si>
    <t>Payroll - Leasing Commissions</t>
  </si>
  <si>
    <t>Temporary Office Help</t>
  </si>
  <si>
    <t>Temporary Maintenance Help</t>
  </si>
  <si>
    <t>Group Health Insurance</t>
  </si>
  <si>
    <t>Related Payroll Costs</t>
  </si>
  <si>
    <t>Access Gate Expense</t>
  </si>
  <si>
    <t>ISC - Maintenance &amp; Repairs</t>
  </si>
  <si>
    <t>Animal/Pest Control Supplies</t>
  </si>
  <si>
    <t>Appliance Repairs</t>
  </si>
  <si>
    <t>Boiler Repairs</t>
  </si>
  <si>
    <t>Building Exterior Repairs</t>
  </si>
  <si>
    <t>Building Interior Repairs</t>
  </si>
  <si>
    <t>Business Center</t>
  </si>
  <si>
    <t>Carpet and Floor Cleaning / Repair</t>
  </si>
  <si>
    <t>Cleaning R&amp;M</t>
  </si>
  <si>
    <t>Club Room</t>
  </si>
  <si>
    <t>Common Area Repairs</t>
  </si>
  <si>
    <t>Compactor</t>
  </si>
  <si>
    <t>Generator</t>
  </si>
  <si>
    <t>Electrical Supplies and Services</t>
  </si>
  <si>
    <t>Elevator Repairs</t>
  </si>
  <si>
    <t>Equipment Repairs</t>
  </si>
  <si>
    <t>Fitness Center</t>
  </si>
  <si>
    <t>Garage Repairs and Maintenance</t>
  </si>
  <si>
    <t>Garbage Disposals</t>
  </si>
  <si>
    <t>Garbage Repairs and Maintenance</t>
  </si>
  <si>
    <t>Grounds Repairs and Maintenance</t>
  </si>
  <si>
    <t>HVAC - Filter Replacement</t>
  </si>
  <si>
    <t>Keys and Locks</t>
  </si>
  <si>
    <t>Lighting Supplies and Repairs</t>
  </si>
  <si>
    <t>Other Recreational Repair</t>
  </si>
  <si>
    <t>Parking Lot Repairs and Maint.</t>
  </si>
  <si>
    <t>Plumbing Supplies and Services</t>
  </si>
  <si>
    <t>Pool Repairs and Services</t>
  </si>
  <si>
    <t>Safety and Fire Supplies</t>
  </si>
  <si>
    <t>Sheetrock R&amp;M</t>
  </si>
  <si>
    <t>Signage Supplies and Repairs</t>
  </si>
  <si>
    <t>Spare Parts</t>
  </si>
  <si>
    <t>Sprinkler/Irrigation Supplies/Repair</t>
  </si>
  <si>
    <t>Water Treatment</t>
  </si>
  <si>
    <t>Window and Door Repairs</t>
  </si>
  <si>
    <t>CONTRACT SERVICES</t>
  </si>
  <si>
    <t>Cleaning Services - Corporate Units</t>
  </si>
  <si>
    <t>Elevator Service Contract</t>
  </si>
  <si>
    <t>Equipment Rental</t>
  </si>
  <si>
    <t>Generator Maintenance Contract</t>
  </si>
  <si>
    <t>HVAC Maintenance Contract</t>
  </si>
  <si>
    <t>Fire Alarm Contract</t>
  </si>
  <si>
    <t>Fire Sprinkler Contract</t>
  </si>
  <si>
    <t>Intrusion Alarm Contract</t>
  </si>
  <si>
    <t>Janitorial Contract</t>
  </si>
  <si>
    <t>Landscape /Maintenance Contract</t>
  </si>
  <si>
    <t>Landscape/Seasonal</t>
  </si>
  <si>
    <t>Security Patrol</t>
  </si>
  <si>
    <t>Parking Garage</t>
  </si>
  <si>
    <t>Trash - Door to Door Pick Up</t>
  </si>
  <si>
    <t>Trash Disposal</t>
  </si>
  <si>
    <t>Washer/Dryer Rental</t>
  </si>
  <si>
    <t>MAKE READY</t>
  </si>
  <si>
    <t>Carpet Cleaning/Repair</t>
  </si>
  <si>
    <t>Main/Cleaning Service</t>
  </si>
  <si>
    <t>Paint Contractor</t>
  </si>
  <si>
    <t>Paint Supplies</t>
  </si>
  <si>
    <t>Resurfacing Bathtubs</t>
  </si>
  <si>
    <t>Property Enhancement</t>
  </si>
  <si>
    <t>Electric/Common Areas</t>
  </si>
  <si>
    <t>ISC - Utilities</t>
  </si>
  <si>
    <t>Electric - Corporate Units</t>
  </si>
  <si>
    <t>Electric/Vacant</t>
  </si>
  <si>
    <t>Electric  - Model</t>
  </si>
  <si>
    <t>Utilities - Billing Fee</t>
  </si>
  <si>
    <t>Utilities - Electricity</t>
  </si>
  <si>
    <t>Utilities - Gas/Heating Oil</t>
  </si>
  <si>
    <t>Utilities - Water</t>
  </si>
  <si>
    <t>Utilities - Water/Sewer</t>
  </si>
  <si>
    <t>Accounting Services</t>
  </si>
  <si>
    <t>ISC - Administrative Expenses</t>
  </si>
  <si>
    <t>Answering/On Hold Services</t>
  </si>
  <si>
    <t>Cell Phones/Pagers</t>
  </si>
  <si>
    <t>Coffee and Refreshments</t>
  </si>
  <si>
    <t>Computer Expense</t>
  </si>
  <si>
    <t>Key Machine Contract</t>
  </si>
  <si>
    <t>Employee Meetings</t>
  </si>
  <si>
    <t>Forms</t>
  </si>
  <si>
    <t>Furniture Rental - Units</t>
  </si>
  <si>
    <t>Legal Services</t>
  </si>
  <si>
    <t>Licenses/Permits/Fees</t>
  </si>
  <si>
    <t>Violations</t>
  </si>
  <si>
    <t>Meetings and Training Classes</t>
  </si>
  <si>
    <t>Misc. Administrative Expenses</t>
  </si>
  <si>
    <t>Office Equipment Rental</t>
  </si>
  <si>
    <t>Office Supplies and Equipment</t>
  </si>
  <si>
    <t>Ops Technology Fee</t>
  </si>
  <si>
    <t>Other Professional Services</t>
  </si>
  <si>
    <t>Parking Tolls and Fees</t>
  </si>
  <si>
    <t>Postage, Courier, and Freight</t>
  </si>
  <si>
    <t>Printing</t>
  </si>
  <si>
    <t>Resident Screening</t>
  </si>
  <si>
    <t>Software Expenses</t>
  </si>
  <si>
    <t>Telephone and Internet Services</t>
  </si>
  <si>
    <t>Cable/Internet - Corporate Units</t>
  </si>
  <si>
    <t>Training/Seminars</t>
  </si>
  <si>
    <t>Travel Expense</t>
  </si>
  <si>
    <t>Uniform Rental/Purchase</t>
  </si>
  <si>
    <t>ISC - Marketing Expenses</t>
  </si>
  <si>
    <t>Advertising - Property Website</t>
  </si>
  <si>
    <t>Call Center Service</t>
  </si>
  <si>
    <t>ISC - Management Fees</t>
  </si>
  <si>
    <t>Asset Management Fee</t>
  </si>
  <si>
    <t>Ad Valorem (Property) Taxes</t>
  </si>
  <si>
    <t>ISC - Taxes &amp; Insurance</t>
  </si>
  <si>
    <t>Personal Property Taxes</t>
  </si>
  <si>
    <t>Homeowners Association Fees</t>
  </si>
  <si>
    <t>ISC - Debt Services</t>
  </si>
  <si>
    <t>Mortgage Interest</t>
  </si>
  <si>
    <t>Loan Closing Cost - Interest Expense</t>
  </si>
  <si>
    <t>SAIL Loan Interest</t>
  </si>
  <si>
    <t>Renters Insurance</t>
  </si>
  <si>
    <t>Mortgage Insurance Premium</t>
  </si>
  <si>
    <t>Other Insurance</t>
  </si>
  <si>
    <t>Property Tax Service &amp; Consulting Fee</t>
  </si>
  <si>
    <t>Depreciation Expense</t>
  </si>
  <si>
    <t>ISC - Depreciation &amp; Amortization</t>
  </si>
  <si>
    <t>Depreciation Exp: Building</t>
  </si>
  <si>
    <t>Depreciation Exp: Building Improvements</t>
  </si>
  <si>
    <t>Depreciation Exp: FFE</t>
  </si>
  <si>
    <t>Depreciation Exp: Land Improvements</t>
  </si>
  <si>
    <t>Depreciation Exp: Distributive Trades and Services</t>
  </si>
  <si>
    <t>Amortization Expense</t>
  </si>
  <si>
    <t>Amortization Exp: Loan Acq Costs</t>
  </si>
  <si>
    <t>Compliance Monitoring Fee</t>
  </si>
  <si>
    <t>Financial Monitoring Fee</t>
  </si>
  <si>
    <t>Loan Servicing Fee</t>
  </si>
  <si>
    <t>Trustee Fees</t>
  </si>
  <si>
    <t>Issuer Administration Fee</t>
  </si>
  <si>
    <t>Penalties and Fines</t>
  </si>
  <si>
    <t>Nondeductible Expenses</t>
  </si>
  <si>
    <t>ISC - Other Non-Operating Expenses</t>
  </si>
  <si>
    <t>Filing Fees</t>
  </si>
  <si>
    <t>Legal &amp; Professional Fees</t>
  </si>
  <si>
    <t>Acquisition Expenses</t>
  </si>
  <si>
    <t>Gain/Loss on Asset Disposal</t>
  </si>
  <si>
    <t>Gain/Loss on Insurance Proceeds</t>
  </si>
  <si>
    <t>CAPEX-Building-Common Area</t>
  </si>
  <si>
    <t>ISC - Capital Expenditures</t>
  </si>
  <si>
    <t>CAPEX-Building-Exterior</t>
  </si>
  <si>
    <t>CAPEX-Carpet Replacement</t>
  </si>
  <si>
    <t>CAPEX-Ceiling Fans/Fixtures</t>
  </si>
  <si>
    <t>CAPEX-Clubhouse</t>
  </si>
  <si>
    <t>CAPEX-Dishwashers</t>
  </si>
  <si>
    <t>CAPEX-Disposals</t>
  </si>
  <si>
    <t>CAPEX-Microwaves</t>
  </si>
  <si>
    <t>CAPEX-Equipment</t>
  </si>
  <si>
    <t>CAPEX-Fire Protection/Life Safety</t>
  </si>
  <si>
    <t>CAPEX-Furniture &amp; Fixtures</t>
  </si>
  <si>
    <t>CAPEX-Gates/Fencing</t>
  </si>
  <si>
    <t>CAPEX-HVAC</t>
  </si>
  <si>
    <t>CAPEX-Water Heaters</t>
  </si>
  <si>
    <t>CAPEX-Interior Improvements</t>
  </si>
  <si>
    <t>CAPEX-Site Improvements</t>
  </si>
  <si>
    <t>CAPEX-Signage</t>
  </si>
  <si>
    <t>CAPEX-Landscaping</t>
  </si>
  <si>
    <t>CAPEX-Lighting</t>
  </si>
  <si>
    <t>CAPEX-Marketing</t>
  </si>
  <si>
    <t>CAPEX-Mini-Blinds/Drapes</t>
  </si>
  <si>
    <t>CAPEX-Other</t>
  </si>
  <si>
    <t>CAPEX-Painting</t>
  </si>
  <si>
    <t>CAPEX-Parking Lot</t>
  </si>
  <si>
    <t>CAPEX-Pest Control</t>
  </si>
  <si>
    <t>CAPEX-Ranges</t>
  </si>
  <si>
    <t>CAPEX-Refrigerators</t>
  </si>
  <si>
    <t>CAPEX-Roof Repairs-Major</t>
  </si>
  <si>
    <t>CAPEX-Startup Costs</t>
  </si>
  <si>
    <t xml:space="preserve">CAPEX-Startup Costs - Marketing </t>
  </si>
  <si>
    <t>CAPEX-Startup Costs - Preleasing</t>
  </si>
  <si>
    <t>CAPEX-Startup Costs - Operating Deficit</t>
  </si>
  <si>
    <t>CAPEX-Vinyl/Tile</t>
  </si>
  <si>
    <t>CAPEX-Washers/Dryers</t>
  </si>
  <si>
    <t>CAPEX-Assets Capitalized</t>
  </si>
  <si>
    <t>Collateral</t>
  </si>
  <si>
    <t>Playground</t>
  </si>
  <si>
    <t>Property Manager</t>
  </si>
  <si>
    <t>Payroll - Office and Clerical</t>
  </si>
  <si>
    <t>Payroll - Maintenance</t>
  </si>
  <si>
    <t>Payroll - Maintenance Overtime</t>
  </si>
  <si>
    <t>Bonuses</t>
  </si>
  <si>
    <t>Employeee Burden</t>
  </si>
  <si>
    <t>Advertising - Internet</t>
  </si>
  <si>
    <t>Marketing Printing</t>
  </si>
  <si>
    <t>Marketing/Promotions</t>
  </si>
  <si>
    <t>Account Set-Up Fee</t>
  </si>
  <si>
    <t>Move-Out Fee</t>
  </si>
  <si>
    <t>Pet Fee</t>
  </si>
  <si>
    <t>% of Move-Ins</t>
  </si>
  <si>
    <t>% of Occ. Units</t>
  </si>
  <si>
    <t>Admin Fee</t>
  </si>
  <si>
    <t>Parking Concessions</t>
  </si>
  <si>
    <t>Storage Space Rental Concession</t>
  </si>
  <si>
    <t>Gas Reimbursement</t>
  </si>
  <si>
    <t>Monthly
Base Salary</t>
  </si>
  <si>
    <t>Hourly
Rate</t>
  </si>
  <si>
    <t>Monthly
Bonus</t>
  </si>
  <si>
    <t>Reg. Hours
per Week</t>
  </si>
  <si>
    <t>% 
Increase</t>
  </si>
  <si>
    <t>New Monthly 
Salary/Hrly Rate</t>
  </si>
  <si>
    <t>Loan Cost/FMV Adj - Interest Expense</t>
  </si>
  <si>
    <t>SF</t>
  </si>
  <si>
    <t>Total SF</t>
  </si>
  <si>
    <t>Mortgage Reserves/Escrows</t>
  </si>
  <si>
    <t>Reforecast</t>
  </si>
  <si>
    <t>Total Adjust. LTL</t>
  </si>
  <si>
    <t>Other Employee Benefits</t>
  </si>
  <si>
    <t>Worker's Compensation</t>
  </si>
  <si>
    <t>401K Contribution</t>
  </si>
  <si>
    <t>%  of Rent</t>
  </si>
  <si>
    <t>% of  Occ.</t>
  </si>
  <si>
    <t>Account Set Up Fee</t>
  </si>
  <si>
    <t>Vacation Accrual</t>
  </si>
  <si>
    <t>TBD</t>
  </si>
  <si>
    <t>Service Supervisor</t>
  </si>
  <si>
    <t>Promotional Items</t>
  </si>
  <si>
    <t>Digital/Social Campaign Design Updates</t>
  </si>
  <si>
    <t>Client to confirm</t>
  </si>
  <si>
    <t xml:space="preserve">Paid Social Media Ads </t>
  </si>
  <si>
    <t>Brochures/Pocket Folders</t>
  </si>
  <si>
    <t>Zumper.com</t>
  </si>
  <si>
    <t>Managed Social Media</t>
  </si>
  <si>
    <t xml:space="preserve">Photography </t>
  </si>
  <si>
    <t>Year 1 Total</t>
  </si>
  <si>
    <t>Included in bank charges</t>
  </si>
  <si>
    <t>Realpage</t>
  </si>
  <si>
    <t>Cash - Operating</t>
  </si>
  <si>
    <t>BSC - Cash</t>
  </si>
  <si>
    <t>Cash - Depository Account</t>
  </si>
  <si>
    <t>Cash - Lockbox Account</t>
  </si>
  <si>
    <t>Cash - Security Deposit</t>
  </si>
  <si>
    <t>Cash - Security Deposit Regions Bk</t>
  </si>
  <si>
    <t>Credit Card Payments in Transit</t>
  </si>
  <si>
    <t>Cash - Paragon Bank</t>
  </si>
  <si>
    <t>Cash - Regions Bank</t>
  </si>
  <si>
    <t>Cash - Capital Reserve</t>
  </si>
  <si>
    <t>Cash - Yoo Fitness</t>
  </si>
  <si>
    <t>Escrow - Capital Reserve</t>
  </si>
  <si>
    <t>MIP Escrow</t>
  </si>
  <si>
    <t>Escrow - Priority Repair</t>
  </si>
  <si>
    <t>Escrow - Tax &amp; Insurance</t>
  </si>
  <si>
    <t>Escrow - Insurance</t>
  </si>
  <si>
    <t>Self Held Tax/Insurance Escrow</t>
  </si>
  <si>
    <t>Petty Cash on Hand</t>
  </si>
  <si>
    <t>Cash Money Market</t>
  </si>
  <si>
    <t>Cash Savings</t>
  </si>
  <si>
    <t>Cash - Owner</t>
  </si>
  <si>
    <t>Bond Fund</t>
  </si>
  <si>
    <t>Bond Interest Fund</t>
  </si>
  <si>
    <t>Bond Principal Fund</t>
  </si>
  <si>
    <t>Bond Fund - Expense Fund</t>
  </si>
  <si>
    <t>Bond Fund - Replacement Reserve</t>
  </si>
  <si>
    <t>Bond Fund - Taxes/Insurance Escrow</t>
  </si>
  <si>
    <t>Accounts Receivable Tenants</t>
  </si>
  <si>
    <t>BSC - Accounts Receivable</t>
  </si>
  <si>
    <t>Accounts Receivable - Other</t>
  </si>
  <si>
    <t>Straight Line Rent Adj.</t>
  </si>
  <si>
    <t>InterEntity Receivable</t>
  </si>
  <si>
    <t>Credit Card Accounts Receivable</t>
  </si>
  <si>
    <t>Accounts Receivable Commercial</t>
  </si>
  <si>
    <t>BSC - Other Current Assets</t>
  </si>
  <si>
    <t>Unbilled Utility Reimbursements</t>
  </si>
  <si>
    <t>Funded Payroll</t>
  </si>
  <si>
    <t>Advances to Employee</t>
  </si>
  <si>
    <t>Due From Others</t>
  </si>
  <si>
    <t>Due To/From Seller</t>
  </si>
  <si>
    <t>COVID-19 Receivable</t>
  </si>
  <si>
    <t>Allowance for Doubtful Accounts</t>
  </si>
  <si>
    <t>Prepaid expenses</t>
  </si>
  <si>
    <t>Prepaid Insurance</t>
  </si>
  <si>
    <t>Prepaid Real Estate Tax</t>
  </si>
  <si>
    <t>Real Estate Tax Intangible/Abatement</t>
  </si>
  <si>
    <t>A/A: Real Estate Tax Intangible/Abatement</t>
  </si>
  <si>
    <t>Prepaid Interest</t>
  </si>
  <si>
    <t>Deferred Lease Commissions</t>
  </si>
  <si>
    <t>Land</t>
  </si>
  <si>
    <t>BSC - Fixed Asset Accounts</t>
  </si>
  <si>
    <t>Land Improvements</t>
  </si>
  <si>
    <t>Land Improvements - Acq Exp</t>
  </si>
  <si>
    <t>A/D: Land Improvements</t>
  </si>
  <si>
    <t>BSC - Depreciation &amp; Amortization</t>
  </si>
  <si>
    <t>Construction In Processs</t>
  </si>
  <si>
    <t>Building</t>
  </si>
  <si>
    <t>Building - Acq Exp</t>
  </si>
  <si>
    <t>A/D: Building</t>
  </si>
  <si>
    <t>Furniture and Fixtures</t>
  </si>
  <si>
    <t>Furniture &amp; Fixtures - Appliances (Recurring CAPEX)</t>
  </si>
  <si>
    <t>Furniture &amp; Fixtures - Carpet Vinyl (Recurring CAPEX)</t>
  </si>
  <si>
    <t>Furniture &amp; Fixtures - HVAC</t>
  </si>
  <si>
    <t>Furniture &amp; Fixtures - Window Treatment</t>
  </si>
  <si>
    <t>Furniture &amp; Fixtures - Unit Rehab/Upgrade</t>
  </si>
  <si>
    <t>A/D: Furniture and Fixtures</t>
  </si>
  <si>
    <t>Building Improvements</t>
  </si>
  <si>
    <t>Building Improvements - Exterior</t>
  </si>
  <si>
    <t>Building Improvements - Unit Upgrade</t>
  </si>
  <si>
    <t>A/D: Building Improvements</t>
  </si>
  <si>
    <t>Equipment</t>
  </si>
  <si>
    <t>Distributive Trades and Services</t>
  </si>
  <si>
    <t>A/D: Distributive Trades and Services</t>
  </si>
  <si>
    <t>Accum Depr: Equipment</t>
  </si>
  <si>
    <t>Appliances</t>
  </si>
  <si>
    <t>Appliances - 200DB</t>
  </si>
  <si>
    <t>Automobiles &amp; Vehicles</t>
  </si>
  <si>
    <t>Accum Depr: Autos &amp; Vehicles</t>
  </si>
  <si>
    <t>Landscaping</t>
  </si>
  <si>
    <t>Intangible - In Place Leases</t>
  </si>
  <si>
    <t>BSC - Other Assets</t>
  </si>
  <si>
    <t>A/A: In Place Leases</t>
  </si>
  <si>
    <t>Deferred Loan Costs</t>
  </si>
  <si>
    <t>Intangible-Lease Up Value</t>
  </si>
  <si>
    <t>Loan Costs</t>
  </si>
  <si>
    <t>A/A: Loan Costs</t>
  </si>
  <si>
    <t>Rate Cap</t>
  </si>
  <si>
    <t>A/A: Rate Cap Market Adj.</t>
  </si>
  <si>
    <t>Rate Cap Reimbursement Receivable</t>
  </si>
  <si>
    <t>Tax Credit Fees</t>
  </si>
  <si>
    <t>A/A: Tax Credit Fees</t>
  </si>
  <si>
    <t>Other Deposits</t>
  </si>
  <si>
    <t>Utility Deposits</t>
  </si>
  <si>
    <t>Water and Sewer Deposits</t>
  </si>
  <si>
    <t>Electricity Deposits</t>
  </si>
  <si>
    <t>Suspense</t>
  </si>
  <si>
    <t>Accounts Payable</t>
  </si>
  <si>
    <t>BSC - Current Liabilities</t>
  </si>
  <si>
    <t>Other Accounts Payable</t>
  </si>
  <si>
    <t>InterEntity Payable</t>
  </si>
  <si>
    <t>Security Deposits Tenants</t>
  </si>
  <si>
    <t>Pet Deposits</t>
  </si>
  <si>
    <t>Deposit Refunds in Transit</t>
  </si>
  <si>
    <t>Other Current Accounts Payable</t>
  </si>
  <si>
    <t>Other Liabilities</t>
  </si>
  <si>
    <t>Payroll Payable</t>
  </si>
  <si>
    <t>BSC - Other Current Liabilities</t>
  </si>
  <si>
    <t>Employee Benefits Payable</t>
  </si>
  <si>
    <t>Insurance Payable</t>
  </si>
  <si>
    <t>Payroll Tax Payable</t>
  </si>
  <si>
    <t>Sales Tax Payable</t>
  </si>
  <si>
    <t>Notes Payable - Short Term</t>
  </si>
  <si>
    <t>Due To Affiliates</t>
  </si>
  <si>
    <t>Due To GP</t>
  </si>
  <si>
    <t>Due to Security from Operating</t>
  </si>
  <si>
    <t>Due to Operating from Special Assessment</t>
  </si>
  <si>
    <t>Due To Others</t>
  </si>
  <si>
    <t>Unclaimed Property</t>
  </si>
  <si>
    <t>Accrued Expenses</t>
  </si>
  <si>
    <t>Accrued Bond Fees</t>
  </si>
  <si>
    <t>Accrued Insurance</t>
  </si>
  <si>
    <t>Accrued Interest</t>
  </si>
  <si>
    <t>Accrued Asset Management Fees</t>
  </si>
  <si>
    <t>Accrued Management Fees</t>
  </si>
  <si>
    <t>Accrued Franchise Tax</t>
  </si>
  <si>
    <t>Accrued Operating Exp.</t>
  </si>
  <si>
    <t>Accrued Property Tax</t>
  </si>
  <si>
    <t>Accrued Home Loan Interest</t>
  </si>
  <si>
    <t>Accrued SAIL Loan Interest</t>
  </si>
  <si>
    <t>2250.000</t>
  </si>
  <si>
    <t>Other Accrued Expenses</t>
  </si>
  <si>
    <t>Unearned Revenue</t>
  </si>
  <si>
    <t>Prepaid Items Received</t>
  </si>
  <si>
    <t>Prepaid Rents - Residents</t>
  </si>
  <si>
    <t>Security Deposits Retail Tenants</t>
  </si>
  <si>
    <t>BSC - Long Term Liabilities</t>
  </si>
  <si>
    <t>Notes Payable - Long Term</t>
  </si>
  <si>
    <t>Developer Fee - Note Payable</t>
  </si>
  <si>
    <t>Loan Payable - Mortgage</t>
  </si>
  <si>
    <t>Loan Payable - Mortgage Principal Payment</t>
  </si>
  <si>
    <t>Loan Payable - Mortgage FMV Adj.</t>
  </si>
  <si>
    <t>Loan Payable - Mortgage FMV Adj. Amort</t>
  </si>
  <si>
    <t>Contra Loan Payable - Closing Costs</t>
  </si>
  <si>
    <t>SAIL Home Loan Payable</t>
  </si>
  <si>
    <t>Ship Loan Payable</t>
  </si>
  <si>
    <t>Capital Stock</t>
  </si>
  <si>
    <t>BSC - Equity Position</t>
  </si>
  <si>
    <t>Owners Equity</t>
  </si>
  <si>
    <t>Owners Equity - Ltd Partner #1</t>
  </si>
  <si>
    <t>Other Paid-In Capital/Due To From GP</t>
  </si>
  <si>
    <t>Co-owner Equity: BF TIC LLC</t>
  </si>
  <si>
    <t>Co-owner Equity: Weil Mezzo1 LLC</t>
  </si>
  <si>
    <t>Sweeps</t>
  </si>
  <si>
    <t>Distributions</t>
  </si>
  <si>
    <t>Syndication Fees</t>
  </si>
  <si>
    <t>Retained Earnings</t>
  </si>
  <si>
    <t>BSC - Retained Earnings</t>
  </si>
  <si>
    <t>Straight Line Retail Rent</t>
  </si>
  <si>
    <t>Retail Vacancy Loss</t>
  </si>
  <si>
    <t>Courtesy Officer Units</t>
  </si>
  <si>
    <t>COVID-19 Concessions</t>
  </si>
  <si>
    <t>Account Set-up Fee</t>
  </si>
  <si>
    <t>Clubhouse Rental</t>
  </si>
  <si>
    <t>Bike Rental</t>
  </si>
  <si>
    <t>Tax Flood Insurance</t>
  </si>
  <si>
    <t>Pet Rent Income</t>
  </si>
  <si>
    <t>Bad Debt - Other</t>
  </si>
  <si>
    <t>4991.100</t>
  </si>
  <si>
    <t>Bad Debt - COVID19</t>
  </si>
  <si>
    <t>Payroll - Administrative Overtime</t>
  </si>
  <si>
    <t>5035.100</t>
  </si>
  <si>
    <t>Payroll - Leasing Commissions Maint</t>
  </si>
  <si>
    <t>Payroll - Maintenance Supervisor</t>
  </si>
  <si>
    <t>5110.300</t>
  </si>
  <si>
    <t>Bonuses - Maintenance Other</t>
  </si>
  <si>
    <t>5120.100</t>
  </si>
  <si>
    <t>Employeee Burden (Sonder)</t>
  </si>
  <si>
    <t>CAM - Payroll</t>
  </si>
  <si>
    <t>Boiler Repairs (Sonder)</t>
  </si>
  <si>
    <t>Elevator Repairs (Sonder)</t>
  </si>
  <si>
    <t>CAM Repairs and Maintenance</t>
  </si>
  <si>
    <t>Major Building Repairs</t>
  </si>
  <si>
    <t>Major Rehab</t>
  </si>
  <si>
    <t>Major Common Area Maintenance</t>
  </si>
  <si>
    <t>Major HVAC Repairs</t>
  </si>
  <si>
    <t>Major Paving Repairs</t>
  </si>
  <si>
    <t>Major Repairs - Other</t>
  </si>
  <si>
    <r>
      <t>Landscape /</t>
    </r>
    <r>
      <rPr>
        <sz val="10"/>
        <rFont val="Calibri"/>
        <family val="2"/>
        <scheme val="minor"/>
      </rPr>
      <t>Maintenance Contract</t>
    </r>
  </si>
  <si>
    <t>Pest Control Contra</t>
  </si>
  <si>
    <t>Trash - Door to Door Pick Up Contra</t>
  </si>
  <si>
    <t>Trash Disposal Contra</t>
  </si>
  <si>
    <t>CAM - Contract Services</t>
  </si>
  <si>
    <t>Utilities - Billing Fee Contra</t>
  </si>
  <si>
    <t>Utilities - Irrigation</t>
  </si>
  <si>
    <t>Utilities - Water/Sewer Contra</t>
  </si>
  <si>
    <t>CAM - Utilities</t>
  </si>
  <si>
    <t>CAM - Administrative</t>
  </si>
  <si>
    <t>Yoo - Amenity management services</t>
  </si>
  <si>
    <t>Yoo - Amenity management insurance</t>
  </si>
  <si>
    <t>Yoo - Computer software</t>
  </si>
  <si>
    <t>Yoo - Community POS app</t>
  </si>
  <si>
    <t>Yoo - Training &amp; certification</t>
  </si>
  <si>
    <t xml:space="preserve">Yoo - Travel </t>
  </si>
  <si>
    <t>Yoo - Reimbursable expenses</t>
  </si>
  <si>
    <t>Yoo - Cultural programs/memberships</t>
  </si>
  <si>
    <t>Yoo - Art of living | YOO living cards</t>
  </si>
  <si>
    <t>Yoo - Resident functions / events</t>
  </si>
  <si>
    <t>Yoo - Hospitality, juice</t>
  </si>
  <si>
    <t>Yoo - Hospitality, coffee</t>
  </si>
  <si>
    <t>Yoo - Hospitality, alcohol</t>
  </si>
  <si>
    <t>Yoo - Hospitality, bottled water</t>
  </si>
  <si>
    <t>Yoo - Hospitality, other beverage</t>
  </si>
  <si>
    <t>Yoo - Hospitality, fruit</t>
  </si>
  <si>
    <t>Yoo - Hospitality, breakfast</t>
  </si>
  <si>
    <t>Yoo - Hospitality, umbrellas</t>
  </si>
  <si>
    <t>Yoo - Hospitality, afternoon snacks</t>
  </si>
  <si>
    <t>Yoo - Hospitality, towel service</t>
  </si>
  <si>
    <t>Yoo - Hospitality, pet treats</t>
  </si>
  <si>
    <t>Yoo - Fitness, group classes</t>
  </si>
  <si>
    <t>Yoo - Fitness, specialty events</t>
  </si>
  <si>
    <t>Yoo - Fitness, sports day</t>
  </si>
  <si>
    <t>Yoo - Fitness, uniforms</t>
  </si>
  <si>
    <t>Yoo - Fitness, equipment</t>
  </si>
  <si>
    <t>Yoo - Fitness, cleaning supplies</t>
  </si>
  <si>
    <t>Yoo - Fitness, sponsorships</t>
  </si>
  <si>
    <t>Yoo - Gifts, move-in</t>
  </si>
  <si>
    <t>Yoo - Gifts, birthday</t>
  </si>
  <si>
    <t>Yoo - Gifts, resident loyalty</t>
  </si>
  <si>
    <t>Yoo - Concierge, uniforms</t>
  </si>
  <si>
    <t>Advertising-Programs/Software</t>
  </si>
  <si>
    <t>Realtor/Locator Fees</t>
  </si>
  <si>
    <t xml:space="preserve">Model </t>
  </si>
  <si>
    <t>Photography</t>
  </si>
  <si>
    <t>Prospect Refreshments</t>
  </si>
  <si>
    <t>Resident Activities</t>
  </si>
  <si>
    <t>Resident Referral Fees</t>
  </si>
  <si>
    <t>Shopping Reports</t>
  </si>
  <si>
    <t xml:space="preserve">Signage </t>
  </si>
  <si>
    <t>CAM - Marketing</t>
  </si>
  <si>
    <t>Fees and Dues</t>
  </si>
  <si>
    <t>Early Extinguishment of Debt</t>
  </si>
  <si>
    <t>Rate Cap Market Adj.</t>
  </si>
  <si>
    <t>Interest Expense - Rate Cap Reimbursement</t>
  </si>
  <si>
    <t>Mortgage Principal</t>
  </si>
  <si>
    <t>Mortgage Principal/Res/Esc Capitalized</t>
  </si>
  <si>
    <t>Preferred Return</t>
  </si>
  <si>
    <t>CAM - Taxes and Insurance</t>
  </si>
  <si>
    <t>Owners Exp Reimb. - Rentlytics/Startup costs</t>
  </si>
  <si>
    <t>Weather Related Losses</t>
  </si>
  <si>
    <t>9043.100</t>
  </si>
  <si>
    <t>COVID-19 Related Losses</t>
  </si>
  <si>
    <t>Ground Lease/Stated Rent</t>
  </si>
  <si>
    <t>CAM - Other Expenses</t>
  </si>
  <si>
    <t>CAPEX-Storm Damage</t>
  </si>
  <si>
    <t>CAPEX-Insurance Projects</t>
  </si>
  <si>
    <t>CAPEX-CAM</t>
  </si>
  <si>
    <t>Package Lockers</t>
  </si>
  <si>
    <t xml:space="preserve">Start Up Budget - Construction to First Units </t>
  </si>
  <si>
    <t>NOTES</t>
  </si>
  <si>
    <t>Advertising and Marketing</t>
  </si>
  <si>
    <t xml:space="preserve">Brand Identity and Positioning </t>
  </si>
  <si>
    <t>General and Administrative</t>
  </si>
  <si>
    <t>Phone System</t>
  </si>
  <si>
    <t>Voice over IP</t>
  </si>
  <si>
    <t>Temporary Leasing Office Space</t>
  </si>
  <si>
    <t>Temporary Office Set up - furniture rental</t>
  </si>
  <si>
    <t>Uniforms</t>
  </si>
  <si>
    <t>Total General and Administrative</t>
  </si>
  <si>
    <t>Office</t>
  </si>
  <si>
    <t>Computers</t>
  </si>
  <si>
    <t>4 Laptops</t>
  </si>
  <si>
    <t>Copy/Scan/Fax Machine</t>
  </si>
  <si>
    <t>Manager's Printer</t>
  </si>
  <si>
    <t>iPads</t>
  </si>
  <si>
    <t>3 Ipads</t>
  </si>
  <si>
    <t>Business Center Computer</t>
  </si>
  <si>
    <t>2 computers and desktops</t>
  </si>
  <si>
    <t>Business Center Printer</t>
  </si>
  <si>
    <t>Key System</t>
  </si>
  <si>
    <t>Smart Lock System + key fabs</t>
  </si>
  <si>
    <t>Miscellaneous Office Supplies</t>
  </si>
  <si>
    <t>Total Office</t>
  </si>
  <si>
    <t>Maintenance Start-up</t>
  </si>
  <si>
    <t>See Maintenance Start Up Tab</t>
  </si>
  <si>
    <t>Total Maintenance Start-up</t>
  </si>
  <si>
    <t>TOTALS</t>
  </si>
  <si>
    <t>Media Schedule and Budget - Construction to First Units</t>
  </si>
  <si>
    <t xml:space="preserve">Renderings </t>
  </si>
  <si>
    <t>RKW Maintenance Startup List</t>
  </si>
  <si>
    <t>Per Unit Cost $</t>
  </si>
  <si>
    <t>Total $</t>
  </si>
  <si>
    <t>50' SJTW 15A Extension Cord</t>
  </si>
  <si>
    <t>100' SJTW 15A Extension Cord</t>
  </si>
  <si>
    <t>570 Piece Wire Connector</t>
  </si>
  <si>
    <t>PVC Electrical Tape 10/pk</t>
  </si>
  <si>
    <t>PVC Electrical Tape color/5-pk</t>
  </si>
  <si>
    <t>Klein Wire Stripper/Cutter</t>
  </si>
  <si>
    <t>Klein Electrical Test Kit</t>
  </si>
  <si>
    <t>Haier Portable AC 14,000 BTU</t>
  </si>
  <si>
    <t>Inficon Leak Detector</t>
  </si>
  <si>
    <t>JB Brass Charging Manifold</t>
  </si>
  <si>
    <t xml:space="preserve">Empty MC Acetylene Cylinder </t>
  </si>
  <si>
    <t>MC Acetylene Refill</t>
  </si>
  <si>
    <t>JB 7 CFM Vacuum Pump</t>
  </si>
  <si>
    <t>Silver Brazinz Flux</t>
  </si>
  <si>
    <t>Cool Gel Spray</t>
  </si>
  <si>
    <t>Portable Condensate Blowout Kit</t>
  </si>
  <si>
    <t>Nozzle</t>
  </si>
  <si>
    <t>44 Gal Rubbermaid Vented Brute Gry Trash Can</t>
  </si>
  <si>
    <t>44 Gallon 0.9 Mil Trash Bag Package Of 100</t>
  </si>
  <si>
    <t>Queenaire Cyclone Ozone Deodorizer</t>
  </si>
  <si>
    <t>Queenaire Maintenance Kit</t>
  </si>
  <si>
    <t xml:space="preserve">Rubbermaid Brute Trash Can Dolly </t>
  </si>
  <si>
    <t>20" Burnishing floor pad</t>
  </si>
  <si>
    <t>Fido House® Header Pet Waste Station</t>
  </si>
  <si>
    <t>Fido Baggies® Pet Waste Header Bags Package Of 12</t>
  </si>
  <si>
    <t>Pooper Scooper And Pan</t>
  </si>
  <si>
    <t>17" Tornado Low-Speed Floor Machine</t>
  </si>
  <si>
    <t>Norton® 17" Stripping Floor Pad, Heavy-Duty, Box Of 5</t>
  </si>
  <si>
    <t>17 Inch White Polishing Floor Pad Box Of 5</t>
  </si>
  <si>
    <t>Spray Bottles 3/pk</t>
  </si>
  <si>
    <t>D-Handle Commercial Hand Truck</t>
  </si>
  <si>
    <t>DJ Products</t>
  </si>
  <si>
    <t>Waste Caddy Lite-plus brackets (Optional)</t>
  </si>
  <si>
    <t>Graco Ultra Handheld Paint Sprayer (Optional)</t>
  </si>
  <si>
    <t>Graco Magnum Sprayer (Optional)</t>
  </si>
  <si>
    <t>Caulk gun</t>
  </si>
  <si>
    <t>Drywall mud pan</t>
  </si>
  <si>
    <t>1 1/2" and 3" combo pack drywall knife</t>
  </si>
  <si>
    <t xml:space="preserve">6" drywall knife </t>
  </si>
  <si>
    <t xml:space="preserve">10" drywall knife </t>
  </si>
  <si>
    <t>Roller pan tray</t>
  </si>
  <si>
    <t>Tray Liner 10/pk</t>
  </si>
  <si>
    <t>Roller extension pole 4 - 8</t>
  </si>
  <si>
    <t>9 x 12' Trimaco 6 Oz Canvas Drop Cloth</t>
  </si>
  <si>
    <t xml:space="preserve">1-1/2, 2 and 3" paint brush set </t>
  </si>
  <si>
    <t xml:space="preserve">9" Roller </t>
  </si>
  <si>
    <t>9" Roller handle</t>
  </si>
  <si>
    <t>Ridgid K-400 drain snake</t>
  </si>
  <si>
    <t>Drain cleaning Tool 12/pk</t>
  </si>
  <si>
    <t>Pool/Spa</t>
  </si>
  <si>
    <t>Taylor Pool - Test Kit</t>
  </si>
  <si>
    <t>Pool Wall Brush With 18 Inch Curved Back</t>
  </si>
  <si>
    <t>Pool Leaf Rake</t>
  </si>
  <si>
    <t>Pool Rope, 50 Foot Blue/White</t>
  </si>
  <si>
    <t>19 Inch Pool Vacuum Head</t>
  </si>
  <si>
    <t>Pool 60 Foot Heaving Line With Metal Hanger</t>
  </si>
  <si>
    <t>Pool Life Ring, 24 Inch</t>
  </si>
  <si>
    <t>Pool Life And Rescue Hook</t>
  </si>
  <si>
    <t>16 Foot Fiberglass Pool Pole</t>
  </si>
  <si>
    <t>Leather Palm Glove L 2/pk</t>
  </si>
  <si>
    <t>SAS Safety Disposable Shoe Covers Package Of 300</t>
  </si>
  <si>
    <t>Earplugs 33 decibel 200/pk</t>
  </si>
  <si>
    <t>Justrite 45-Gal Flammable Cabinet</t>
  </si>
  <si>
    <t>Wet Floor sign</t>
  </si>
  <si>
    <t>SAS Safety Employee Hazard Communication Kit-GHS</t>
  </si>
  <si>
    <t>Brady Bloodborne Pathogens Poster</t>
  </si>
  <si>
    <t>6 Foot Fiberglass Step Ladder</t>
  </si>
  <si>
    <t>4 Foot Fiberglass Step Ladder</t>
  </si>
  <si>
    <t>8 Foot Fiberglass Step Ladder</t>
  </si>
  <si>
    <t>12 Foot Fiberglass Step Ladder</t>
  </si>
  <si>
    <t>Eklind 10-Piece 6" T-Handle Hex Wrenches</t>
  </si>
  <si>
    <t>24" Bolt Cutters</t>
  </si>
  <si>
    <t>Echo 58.2cc Backpck Gas Blower</t>
  </si>
  <si>
    <t>2700 Psi Pressure Washer</t>
  </si>
  <si>
    <t>20" Rotary Surface Cleaner</t>
  </si>
  <si>
    <t>DEWALT 20V Max Lithium Ion 5-Piece Combo Kit</t>
  </si>
  <si>
    <t>Heavy-Duty Wood-Top Workbench</t>
  </si>
  <si>
    <t>RIDGID 16 Gallon Wet/Dry Vacuum With Blower</t>
  </si>
  <si>
    <t xml:space="preserve">Stinger 2.5 Gallon Wet/Dry Vacuum </t>
  </si>
  <si>
    <t>RIDGID Stinger Replacement Filter Pack Of 3</t>
  </si>
  <si>
    <t xml:space="preserve">72 X 48 X 24" Storage Rack </t>
  </si>
  <si>
    <t>DeWalt 8" 3/4 HP Bench Grinder</t>
  </si>
  <si>
    <t>6" Heavy-Duty Bench Vise With Swivel Base</t>
  </si>
  <si>
    <t>Total start-up cost</t>
  </si>
  <si>
    <t>Access Gate Remote Income</t>
  </si>
  <si>
    <t>ApartmentGuide.com/Rent.Com</t>
  </si>
  <si>
    <t>Apartments.com/ApartmentFinder.com</t>
  </si>
  <si>
    <t>Corporate Marketing</t>
  </si>
  <si>
    <t>Submarket Events</t>
  </si>
  <si>
    <t>On Demand Design &amp; Printing Program</t>
  </si>
  <si>
    <t>Mandatory</t>
  </si>
  <si>
    <t>Optional</t>
  </si>
  <si>
    <t>Optional for Y1 - Warranty covers for first year, will need to buy all for Y2</t>
  </si>
  <si>
    <t>Laptop Price</t>
  </si>
  <si>
    <t># of Laptops</t>
  </si>
  <si>
    <t>iPad Price</t>
  </si>
  <si>
    <t>Advertising- Internet</t>
  </si>
  <si>
    <t>Notes</t>
  </si>
  <si>
    <t>Property Website</t>
  </si>
  <si>
    <t>Programs/Software</t>
  </si>
  <si>
    <t>Internet</t>
  </si>
  <si>
    <t>Start Date:</t>
  </si>
  <si>
    <t>Lease Up Budget</t>
  </si>
  <si>
    <t>Assumed $30 per door expense</t>
  </si>
  <si>
    <t>Stationery Package - Biz Card, eLetterhead, Notecard, Review Card</t>
  </si>
  <si>
    <t>Email Campaign</t>
  </si>
  <si>
    <t>iPad/Tablet Leasing</t>
  </si>
  <si>
    <t>Start Up Payroll</t>
  </si>
  <si>
    <t>Total Start Up Payroll</t>
  </si>
  <si>
    <t>Shelf Storage Rack (72x36x24")</t>
  </si>
  <si>
    <t>Total Management Fee</t>
  </si>
  <si>
    <t>End Date</t>
  </si>
  <si>
    <t>[Placeholder]</t>
  </si>
  <si>
    <t>IT Networking</t>
  </si>
  <si>
    <t>Assumptions</t>
  </si>
  <si>
    <t># of Ipads</t>
  </si>
  <si>
    <t>Mgmt Fee</t>
  </si>
  <si>
    <t>Management Fee Minimum</t>
  </si>
  <si>
    <t>Per Occupied Unit</t>
  </si>
  <si>
    <t>Per Model</t>
  </si>
  <si>
    <t>Start Up Fee</t>
  </si>
  <si>
    <t>Smart Lock System</t>
  </si>
  <si>
    <t>Key Fabs</t>
  </si>
  <si>
    <t>General and Administrative Assumptions</t>
  </si>
  <si>
    <t>Office Assumptions</t>
  </si>
  <si>
    <t>Management Fee Assumptions</t>
  </si>
  <si>
    <t>Every other Month</t>
  </si>
  <si>
    <t>No Access Gate</t>
  </si>
  <si>
    <t>Access Gate Included</t>
  </si>
  <si>
    <t># of Elevators</t>
  </si>
  <si>
    <t>Per Elevator</t>
  </si>
  <si>
    <t>Per Month</t>
  </si>
  <si>
    <t>Property Manager Salary</t>
  </si>
  <si>
    <t>Unit Delivery Schedule</t>
  </si>
  <si>
    <t>Upfront RENEWAL Month's Free</t>
  </si>
  <si>
    <t>Electrical</t>
  </si>
  <si>
    <t>Manual Key Cutting Machine</t>
  </si>
  <si>
    <t>Chrome Transporter Bell Cart Gry</t>
  </si>
  <si>
    <t>Namco 120 Pint Dehumidifier</t>
  </si>
  <si>
    <t>Nitrogen - R Tank Refill</t>
  </si>
  <si>
    <t>Empty Nitrogen Cylinder - 20 Cf</t>
  </si>
  <si>
    <t>50lb Recovery Cylinder - New</t>
  </si>
  <si>
    <t>Oxy/Acetylene Weld/Braze Kit w/Carrier</t>
  </si>
  <si>
    <t>Turbotorch Nitrogen Regulator</t>
  </si>
  <si>
    <t>Inficon Electronic Charging Scale</t>
  </si>
  <si>
    <t>Inficon Vortex Recovery Machine</t>
  </si>
  <si>
    <t>15% Silver Brazing Sticks 28/Pkg</t>
  </si>
  <si>
    <t>Hose Reel Hanger 50' Metal</t>
  </si>
  <si>
    <t>Swan Garden Hose 5/8" x 100' Heavy-Duty</t>
  </si>
  <si>
    <t>Deep Cleaning Commercial Carpet Extractr</t>
  </si>
  <si>
    <t>Tornado Windshear 3200 3-Speed Air Mover</t>
  </si>
  <si>
    <t>Zep Carpet Extractor Shampoo 1 Gal 4/Cs</t>
  </si>
  <si>
    <t>169 Ounce Fabuloso 3/Cs</t>
  </si>
  <si>
    <t>Clorox Bleach 121 Oz 3/Cs</t>
  </si>
  <si>
    <t>32" Litter Pick Up Tool</t>
  </si>
  <si>
    <t>20 Ounce 4-Ply Cotton Cut End Mop 4/Pkg</t>
  </si>
  <si>
    <t>Mntnce Wrhse Terry Towel 24/Pkg</t>
  </si>
  <si>
    <t>31 Qt Mop Bucket/Wringer Combo</t>
  </si>
  <si>
    <t>5 X 36 Black Dust Mop Frame 2/Pkg</t>
  </si>
  <si>
    <t>60 Locking Swivel Dust Mop Handle 2/Pkg</t>
  </si>
  <si>
    <t>Looped End Dust Mop For 36" Frame 2/Pk</t>
  </si>
  <si>
    <t>Lobby Dust Pan With Flip Up Handle</t>
  </si>
  <si>
    <t>Professional Furniture Dolly</t>
  </si>
  <si>
    <t>Suncast Comm Utlty Cart Hvy Duty 26 x 45</t>
  </si>
  <si>
    <t>6" Black Rubber Heavy-Duty Plunger</t>
  </si>
  <si>
    <t>GeneralWire Hand Spun Auger</t>
  </si>
  <si>
    <t>GeneralWire Toilet Auger 3'</t>
  </si>
  <si>
    <t>Dual Eye Wash Station</t>
  </si>
  <si>
    <t>SAS Safety NSX Turbo Safety Eyewear</t>
  </si>
  <si>
    <t>4-Shelf Type B First Aid Cabinet</t>
  </si>
  <si>
    <t>9 Mil Blk Ntrl Pdr Free Ex Glv-XL Bx/90</t>
  </si>
  <si>
    <t>Howard Leight Ultra Lightweight Earmuffs</t>
  </si>
  <si>
    <t>5 Lock Lockout/Tagout Station</t>
  </si>
  <si>
    <t>Personal Basic Lockout Kit</t>
  </si>
  <si>
    <t>R95 Series Particulate Respirator 10/Box</t>
  </si>
  <si>
    <t>1 Gallon Safety Can</t>
  </si>
  <si>
    <t>5 Gallon Safety Can With Funnel</t>
  </si>
  <si>
    <t>SDS Right-To-Understand Center</t>
  </si>
  <si>
    <t>3 X 1000' "Caution" Barrier Tape</t>
  </si>
  <si>
    <t>Lockout Safety Poster - English</t>
  </si>
  <si>
    <t>2.6 Oz Echo 50-1 Engine Oil "Pkg Of 6"</t>
  </si>
  <si>
    <t>Instant Powr Jump Starter/Air Compressor</t>
  </si>
  <si>
    <t>Item #</t>
  </si>
  <si>
    <t>Description</t>
  </si>
  <si>
    <t>Quantity Ordered</t>
  </si>
  <si>
    <t>Hardware</t>
  </si>
  <si>
    <t>Hospitality Supply</t>
  </si>
  <si>
    <t>Irrigation</t>
  </si>
  <si>
    <t>Janitorial/Cleaning</t>
  </si>
  <si>
    <t>Material Handling</t>
  </si>
  <si>
    <t>Paint &amp; Sundries</t>
  </si>
  <si>
    <t>Plumbing</t>
  </si>
  <si>
    <t>Safety &amp; Signage</t>
  </si>
  <si>
    <t>Tools</t>
  </si>
  <si>
    <t>Training Fee per month</t>
  </si>
  <si>
    <t>Tech Fee Per Month</t>
  </si>
  <si>
    <t>Employee Burden</t>
  </si>
  <si>
    <t>Lease Up Operating Expenses Only- Start Up Costs not included</t>
  </si>
  <si>
    <t>[ Placeholder]</t>
  </si>
  <si>
    <t>[Employee Name TBD]</t>
  </si>
  <si>
    <t>Property Manager Bonus</t>
  </si>
  <si>
    <t>Maintenance Supervisor Quarterly Bonus</t>
  </si>
  <si>
    <t># of Employees</t>
  </si>
  <si>
    <t>Discount %</t>
  </si>
  <si>
    <t># of Models</t>
  </si>
  <si>
    <t>Bad Debt (%)</t>
  </si>
  <si>
    <t>Collections (%)</t>
  </si>
  <si>
    <t>Advertising- Intenet</t>
  </si>
  <si>
    <t>Virtual Tours</t>
  </si>
  <si>
    <t>Videography</t>
  </si>
  <si>
    <t>Interactive Site Map</t>
  </si>
  <si>
    <t>Apartments.com Network</t>
  </si>
  <si>
    <t>Zillow Network</t>
  </si>
  <si>
    <t>Automated Email Marketing Campaigns</t>
  </si>
  <si>
    <t xml:space="preserve">Email Campaign Design </t>
  </si>
  <si>
    <t xml:space="preserve">Floorplans </t>
  </si>
  <si>
    <t>Notecards</t>
  </si>
  <si>
    <t>Digital Ad Design</t>
  </si>
  <si>
    <t>Bootlegs/ Bandits</t>
  </si>
  <si>
    <t>Resident Appreciation Week</t>
  </si>
  <si>
    <t>Internet Only</t>
  </si>
  <si>
    <t>Every Other Month</t>
  </si>
  <si>
    <t>Every Quarter</t>
  </si>
  <si>
    <t>Yieldstar</t>
  </si>
  <si>
    <t>Phased In</t>
  </si>
  <si>
    <t>Start Up Budget Summary</t>
  </si>
  <si>
    <t>Management Fee</t>
  </si>
  <si>
    <t>Fee Reimbursement</t>
  </si>
  <si>
    <t>Begins 3 months from 1st units</t>
  </si>
  <si>
    <t>Credit</t>
  </si>
  <si>
    <t>Total Employees Hired</t>
  </si>
  <si>
    <t>LMS and Technology Fees</t>
  </si>
  <si>
    <t xml:space="preserve">Per Consulting Agreement </t>
  </si>
  <si>
    <t>Leak Seek Spray</t>
  </si>
  <si>
    <t>Consulting Fee</t>
  </si>
  <si>
    <t>Internet Fee</t>
  </si>
  <si>
    <t>Petty Cash</t>
  </si>
  <si>
    <t>Garbage Cans</t>
  </si>
  <si>
    <t>Garbage Cans for Common Area/Pool (4 per site)</t>
  </si>
  <si>
    <t>Smart Rent</t>
  </si>
  <si>
    <t>Virtual Staging</t>
  </si>
  <si>
    <t>DONOTIMPORT</t>
  </si>
  <si>
    <t>ACCT_TYPE</t>
  </si>
  <si>
    <t>NORMAL_BALANCE</t>
  </si>
  <si>
    <t>CLOSEABLE</t>
  </si>
  <si>
    <t>CLOSETOACCT_NO</t>
  </si>
  <si>
    <t>REQ_DEPT</t>
  </si>
  <si>
    <t>REQ_LOC</t>
  </si>
  <si>
    <t>ACTIVE</t>
  </si>
  <si>
    <t>REQUIRECUSTOMER</t>
  </si>
  <si>
    <t>REQUIREVENDOR</t>
  </si>
  <si>
    <t>#
Any row which starts with a # will be ignored during import</t>
  </si>
  <si>
    <t>Field Name: ACCT_TYPE
UI Field Name: Account Type
Type: Character
Length: 1
Default Value: None
Valid Values: N = Balance Sheet; I = Income Statement
Dependencies: None
Required: Yes
Editable: Yes</t>
  </si>
  <si>
    <t>Field Name: NORMAL_BALANCE
UI Field Name: Normal Balance
Type: Number
Length: 2
Default Value: None
Valid Values: DB for debit; CR for credit
Dependencies: Can adversely affect Beginning Balances transactions if not correct
Required: Yes
Editable: Yes</t>
  </si>
  <si>
    <t xml:space="preserve">Field Name: CLOSEABLE
UI Field Name: Period End Closing Type
Type: Character
Length: 1
Default Value: None
Valid Values: N = non-closing; C = closing to; R - closed to
Dependencies: None
Required: Yes
Editable: Yes
</t>
  </si>
  <si>
    <t xml:space="preserve">Field Name: CLOSETOACCT_NO
UI Field Name: Close Into Account
Type: Character
Length: 24
Default Value: None
Valid Values: Any; Must conform to primary/sub account specification in Company &gt; Setup: Company Info
Dependencies: Must point to valid account
Required: Yes if CLOSEABLE = C
Editable: Yes
</t>
  </si>
  <si>
    <t>Field Name: REQ_DEPT
UI Field Name: Require Department
Type: Character
Length: 1
Default Value: F
Valid Values: T = true; F = false
Dependencies: None
Required: No
Editable: Yes</t>
  </si>
  <si>
    <t>Field Name: REQ_LOC
UI Field Name: Require Location
Type: Character
Length: 1
Default Value: F
Valid Values: T = true; F = false
Dependencies: None
Required: No
Editable: Yes</t>
  </si>
  <si>
    <t>Field Name: ACTIVE
UI Field Name: Status
Type: Character
Length: 1
Default Value: T
Valid Values: T = true; F = false
Dependencies: None
Required: No
Editable: Yes
Notes: T = visible in lists; F = not visible in lists, but remains in system for later use.</t>
  </si>
  <si>
    <t>Field name: REQUIRECUSTOMER_x000D_
UI Field Name: Customer_x000D_
Field Type: Character_x000D_
Length: 20_x000D_
Default Value: F_x000D_
Valid Values: T (true), F (false)_x000D_
Required: No</t>
  </si>
  <si>
    <t>Field name: REQUIREVENDOR_x000D_
UI Field Name: Vendor_x000D_
Field Type: Character_x000D_
Length: 20_x000D_
Default Value: F_x000D_
Valid Values: T (true), F (false)_x000D_
Required: No</t>
  </si>
  <si>
    <t>N</t>
  </si>
  <si>
    <t>DB</t>
  </si>
  <si>
    <t>T</t>
  </si>
  <si>
    <t>Enclave Only</t>
  </si>
  <si>
    <t>MSP Reserves</t>
  </si>
  <si>
    <t>MSP Tangible Property</t>
  </si>
  <si>
    <t>Interest Reserve</t>
  </si>
  <si>
    <t>Developer Fees</t>
  </si>
  <si>
    <t>Intangible Accumulated Amortization</t>
  </si>
  <si>
    <t>CR</t>
  </si>
  <si>
    <t>Blue Rock Only</t>
  </si>
  <si>
    <t>Accrued Utilities</t>
  </si>
  <si>
    <t>Palm Park Only</t>
  </si>
  <si>
    <t>Alexan Winter Only</t>
  </si>
  <si>
    <t>Long Term Loan Payable</t>
  </si>
  <si>
    <t>Owners Equity - Ltd Partner #2</t>
  </si>
  <si>
    <t>Laurel View ONLY</t>
  </si>
  <si>
    <t>R/E Adjustment - Laurel View</t>
  </si>
  <si>
    <t>R</t>
  </si>
  <si>
    <t>I</t>
  </si>
  <si>
    <t>C</t>
  </si>
  <si>
    <t>Inactive</t>
  </si>
  <si>
    <t>Made avtive again 5/11/18 per Christine's request</t>
  </si>
  <si>
    <t>New</t>
  </si>
  <si>
    <t>Lease Lock Fee Income</t>
  </si>
  <si>
    <t>Retail Prop Only</t>
  </si>
  <si>
    <t>CAM Income True-up</t>
  </si>
  <si>
    <t>Payroll - Asst. Mgr.</t>
  </si>
  <si>
    <t>5030.000</t>
  </si>
  <si>
    <t xml:space="preserve">Payroll - Leasing </t>
  </si>
  <si>
    <t>5110.200</t>
  </si>
  <si>
    <t>Bonuses - Maintenance Mgr.</t>
  </si>
  <si>
    <t>Circ Comm Only</t>
  </si>
  <si>
    <t>COVID19 Seaside Villas</t>
  </si>
  <si>
    <t>Dog Park</t>
  </si>
  <si>
    <t>i</t>
  </si>
  <si>
    <t>Leon Cap Grp Only</t>
  </si>
  <si>
    <t>INACTIVE</t>
  </si>
  <si>
    <t>Inactive for 2018</t>
  </si>
  <si>
    <t>Will Have to make inactive for 2018, currently being used for 2017</t>
  </si>
  <si>
    <t>Late Fees</t>
  </si>
  <si>
    <t>NEW</t>
  </si>
  <si>
    <t>Lease Lock</t>
  </si>
  <si>
    <t>Software Expenses - LRO</t>
  </si>
  <si>
    <t>Yoo Only - Art of Living</t>
  </si>
  <si>
    <t>Move up to Admin</t>
  </si>
  <si>
    <t>Incentive Management Fees</t>
  </si>
  <si>
    <t>Disposition Expenses</t>
  </si>
  <si>
    <t>BR - Only used at their discretion</t>
  </si>
  <si>
    <t>Lazul Only</t>
  </si>
  <si>
    <t>Bank Fees - Construction Account</t>
  </si>
  <si>
    <t>Homeowner Incentive Program - Palm Park</t>
  </si>
  <si>
    <t>Aura Only</t>
  </si>
  <si>
    <t>CAPEX-Startup Costs - Broker Commissions</t>
  </si>
  <si>
    <t>CAPEX-Startup Costs - Legal Expense</t>
  </si>
  <si>
    <t>Owners Exp Reimb. - Rentlytics/Startup Costs</t>
  </si>
  <si>
    <t>AM Allocation</t>
  </si>
  <si>
    <t xml:space="preserve">Tech Stack </t>
  </si>
  <si>
    <t>Technology/Software Expenses</t>
  </si>
  <si>
    <t>Technology 2 - Marketing</t>
  </si>
  <si>
    <t>Technology 3 - Operations</t>
  </si>
  <si>
    <t>Tech Stack ($18.46 per unit) - Begins 60 days out</t>
  </si>
  <si>
    <t>Amenity Fee (monthly)</t>
  </si>
  <si>
    <t>Techonology 2 - Marketing</t>
  </si>
  <si>
    <t>March  Training</t>
  </si>
  <si>
    <t>Mix %</t>
  </si>
  <si>
    <t>$/unit</t>
  </si>
  <si>
    <t>$ PSF</t>
  </si>
  <si>
    <t>Studio</t>
  </si>
  <si>
    <t>1x1</t>
  </si>
  <si>
    <t>2x2</t>
  </si>
  <si>
    <t>TH</t>
  </si>
  <si>
    <t>SFR</t>
  </si>
  <si>
    <t xml:space="preserve">Floorplans - Illustration and Branded Template </t>
  </si>
  <si>
    <t>Marketing Video</t>
  </si>
  <si>
    <t>BTR/SFR Feed</t>
  </si>
  <si>
    <t>Temp Construction Signage</t>
  </si>
  <si>
    <t>Email Campaign - HTML Design and Management</t>
  </si>
  <si>
    <t>Branded Floor Mats</t>
  </si>
  <si>
    <t xml:space="preserve">Branding Development </t>
  </si>
  <si>
    <t>Photography with Virtual Staging</t>
  </si>
  <si>
    <t>SGT per Month</t>
  </si>
  <si>
    <t>Website Hosting per Month</t>
  </si>
  <si>
    <t>Realtor Fee</t>
  </si>
  <si>
    <t>Excludes NC</t>
  </si>
  <si>
    <t>.</t>
  </si>
  <si>
    <t>Total/Avg</t>
  </si>
  <si>
    <t>3x2</t>
  </si>
  <si>
    <t>Quarterly Shops</t>
  </si>
  <si>
    <t>Per Quarter</t>
  </si>
  <si>
    <t>Premium</t>
  </si>
  <si>
    <t xml:space="preserve">Premium </t>
  </si>
  <si>
    <t>Pre-Leasing Funding Begins</t>
  </si>
  <si>
    <t>TAA Dues</t>
  </si>
  <si>
    <t xml:space="preserve"> </t>
  </si>
  <si>
    <t>Technology Stack -2 - Marketing</t>
  </si>
  <si>
    <t xml:space="preserve">$3500 during 1st building, $4500 min once 2nd blg </t>
  </si>
  <si>
    <t>Marketing Tech Stack</t>
  </si>
  <si>
    <t>Total Marketing Tech Stack</t>
  </si>
  <si>
    <t>Marketing Tech stack</t>
  </si>
  <si>
    <t>SEO Premium Enhancement</t>
  </si>
  <si>
    <t>Website Hosting Upgrade</t>
  </si>
  <si>
    <t>See product details under Assumptions -------------------------&gt;</t>
  </si>
  <si>
    <t>Per unit</t>
  </si>
  <si>
    <t>CRM</t>
  </si>
  <si>
    <t>Reputation</t>
  </si>
  <si>
    <t>Online Listing</t>
  </si>
  <si>
    <t>Customer</t>
  </si>
  <si>
    <t>Website</t>
  </si>
  <si>
    <t>Funnel</t>
  </si>
  <si>
    <t>Reputation.com, Yelp, Apt Ratings</t>
  </si>
  <si>
    <t>Yext</t>
  </si>
  <si>
    <t>Satisfacts, NPS</t>
  </si>
  <si>
    <t>Hosting Fee, SEO</t>
  </si>
  <si>
    <t>Marketing Tech Stack- Start Up</t>
  </si>
  <si>
    <t>Marketing Tech Stack - Start Up</t>
  </si>
  <si>
    <t>Reputation.com, Yelp, AptRatings</t>
  </si>
  <si>
    <t>Online Listing Management</t>
  </si>
  <si>
    <t>Customer Satisfaction Survey</t>
  </si>
  <si>
    <t>Satisfacts</t>
  </si>
  <si>
    <t>Repuation Management</t>
  </si>
  <si>
    <t>Hosting Fee, Search Engine Optimization</t>
  </si>
  <si>
    <t>Contact Center</t>
  </si>
  <si>
    <t>Anyone Home missed leasing &amp; maintenance calls</t>
  </si>
  <si>
    <t xml:space="preserve">One Time Start up </t>
  </si>
  <si>
    <t xml:space="preserve">
Core PMS - Real Page
Screening - ID Verification	Real Page
Ops Invoice Processing - Real Page
Market Survey	Radix
Maintenence	Leo 247
LMS Tech	GraceHill
Residential Portal	Alfred Aos</t>
  </si>
  <si>
    <t>NOVA RTP 2680</t>
  </si>
  <si>
    <t>2680 NC Highway 55, Durham, NC 27713</t>
  </si>
  <si>
    <t>Abraham Ng'hwani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</si>
</sst>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0.000"/>
    <numFmt numFmtId="168" formatCode="&quot;$&quot;#,##0.00"/>
    <numFmt numFmtId="169" formatCode="&quot;$&quot;#,##0"/>
    <numFmt numFmtId="170" formatCode="mmm\ dd\,\ yyyy"/>
    <numFmt numFmtId="171" formatCode="&quot;Anticipated Year End &quot;0"/>
    <numFmt numFmtId="172" formatCode="&quot;Budget &quot;0"/>
    <numFmt numFmtId="173" formatCode="0.0%;\(0.0%\)"/>
    <numFmt numFmtId="174" formatCode="0.00_)"/>
    <numFmt numFmtId="175" formatCode="mmm\-yy_)"/>
    <numFmt numFmtId="176" formatCode="#,##0.000_);\(#,##0.000\)"/>
    <numFmt numFmtId="177" formatCode="0_);[Red]\(0\)"/>
    <numFmt numFmtId="178" formatCode="mmm\-yyyy"/>
    <numFmt numFmtId="179" formatCode="[$-409]mmm\-yy;@"/>
    <numFmt numFmtId="180" formatCode="[$-409]mmmm\ d\,\ yyyy;@"/>
    <numFmt numFmtId="181" formatCode="0\ &quot;Model&quot;"/>
    <numFmt numFmtId="182" formatCode="_([$$-409]* #,##0.00_);_([$$-409]* \(#,##0.00\);_([$$-409]* &quot;-&quot;??_);_(@_)"/>
    <numFmt numFmtId="183" formatCode="_([$$-409]* #,##0_);_([$$-409]* \(#,##0\);_([$$-409]* &quot;-&quot;??_);_(@_)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Times New Roman"/>
      <family val="1"/>
    </font>
    <font>
      <sz val="8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5"/>
      <name val="Helv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0"/>
      <name val="Arial"/>
      <family val="2"/>
    </font>
    <font>
      <sz val="8"/>
      <name val="Verdana"/>
      <family val="2"/>
    </font>
    <font>
      <sz val="11"/>
      <color indexed="8"/>
      <name val="Calibri"/>
      <family val="2"/>
    </font>
    <font>
      <sz val="10"/>
      <color theme="1"/>
      <name val="Calibri"/>
      <family val="2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i/>
      <sz val="20"/>
      <color rgb="FF0000FF"/>
      <name val="Times New Roman"/>
      <family val="1"/>
    </font>
    <font>
      <i/>
      <sz val="14"/>
      <color rgb="FF0000FF"/>
      <name val="Times New Roman"/>
      <family val="1"/>
    </font>
    <font>
      <i/>
      <sz val="16"/>
      <color rgb="FF0000FF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0"/>
      <color theme="0"/>
      <name val="Times New Roman"/>
      <family val="1"/>
    </font>
    <font>
      <sz val="12"/>
      <name val="Times New Roman"/>
      <family val="1"/>
    </font>
    <font>
      <sz val="10"/>
      <color rgb="FF141FF8"/>
      <name val="Times New Roman"/>
      <family val="1"/>
    </font>
    <font>
      <b/>
      <sz val="10"/>
      <color rgb="FFFF0000"/>
      <name val="Times New Roman"/>
      <family val="1"/>
    </font>
    <font>
      <b/>
      <u/>
      <sz val="10"/>
      <name val="Times New Roman"/>
      <family val="1"/>
    </font>
    <font>
      <u val="singleAccounting"/>
      <sz val="10"/>
      <name val="Times New Roman"/>
      <family val="1"/>
    </font>
    <font>
      <b/>
      <sz val="10"/>
      <name val="Times New Roman"/>
      <family val="1"/>
    </font>
    <font>
      <u/>
      <sz val="10"/>
      <name val="Times New Roman"/>
      <family val="1"/>
    </font>
    <font>
      <sz val="10"/>
      <color rgb="FF0070C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Times New Roman"/>
      <family val="1"/>
    </font>
    <font>
      <sz val="10"/>
      <color theme="0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sz val="10"/>
      <color indexed="9"/>
      <name val="Times New Roman"/>
      <family val="1"/>
    </font>
    <font>
      <sz val="10"/>
      <color indexed="12"/>
      <name val="Times New Roman"/>
      <family val="1"/>
    </font>
    <font>
      <b/>
      <sz val="10"/>
      <color rgb="FF0070C0"/>
      <name val="Times New Roman"/>
      <family val="1"/>
    </font>
    <font>
      <sz val="10"/>
      <color rgb="FF0000FF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i/>
      <u/>
      <sz val="14"/>
      <name val="Times New Roman"/>
      <family val="1"/>
    </font>
    <font>
      <b/>
      <sz val="9"/>
      <name val="Times New Roman"/>
      <family val="1"/>
    </font>
    <font>
      <b/>
      <sz val="9"/>
      <color rgb="FF333333"/>
      <name val="Times New Roman"/>
      <family val="1"/>
    </font>
    <font>
      <b/>
      <sz val="9"/>
      <color theme="0"/>
      <name val="Times New Roman"/>
      <family val="1"/>
    </font>
    <font>
      <sz val="8"/>
      <color rgb="FF000000"/>
      <name val="Times New Roman"/>
      <family val="1"/>
    </font>
    <font>
      <sz val="8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1"/>
      <name val="Times New Roman"/>
      <family val="1"/>
    </font>
    <font>
      <sz val="9"/>
      <name val="Times New Roman"/>
      <family val="1"/>
    </font>
    <font>
      <b/>
      <sz val="9"/>
      <color rgb="FF141FF8"/>
      <name val="Times New Roman"/>
      <family val="1"/>
    </font>
    <font>
      <b/>
      <i/>
      <sz val="10"/>
      <color indexed="8"/>
      <name val="Times New Roman"/>
      <family val="1"/>
    </font>
    <font>
      <i/>
      <sz val="10"/>
      <name val="Times New Roman"/>
      <family val="1"/>
    </font>
    <font>
      <b/>
      <sz val="10"/>
      <color theme="1"/>
      <name val="Times New Roman"/>
      <family val="1"/>
    </font>
    <font>
      <i/>
      <sz val="10"/>
      <color rgb="FF141FF8"/>
      <name val="Times New Roman"/>
      <family val="1"/>
    </font>
    <font>
      <b/>
      <i/>
      <sz val="10"/>
      <name val="Times New Roman"/>
      <family val="1"/>
    </font>
    <font>
      <b/>
      <sz val="10"/>
      <color rgb="FF141FF8"/>
      <name val="Times New Roman"/>
      <family val="1"/>
    </font>
    <font>
      <b/>
      <sz val="10"/>
      <color theme="1" tint="0.249977111117893"/>
      <name val="Times New Roman"/>
      <family val="1"/>
    </font>
    <font>
      <i/>
      <sz val="14"/>
      <name val="Times New Roman"/>
      <family val="1"/>
    </font>
    <font>
      <i/>
      <sz val="10"/>
      <name val="Calibri"/>
      <family val="2"/>
      <scheme val="minor"/>
    </font>
    <font>
      <sz val="10"/>
      <color rgb="FF3366FF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AEC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7B9D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48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</borders>
  <cellStyleXfs count="26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37" fontId="8" fillId="0" borderId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37" fontId="16" fillId="0" borderId="0"/>
    <xf numFmtId="0" fontId="4" fillId="0" borderId="0"/>
    <xf numFmtId="43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20" fillId="0" borderId="0"/>
    <xf numFmtId="43" fontId="20" fillId="0" borderId="0" applyFont="0" applyFill="0" applyBorder="0" applyAlignment="0" applyProtection="0"/>
    <xf numFmtId="0" fontId="21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23" fillId="0" borderId="0"/>
    <xf numFmtId="44" fontId="23" fillId="0" borderId="0" applyFont="0" applyFill="0" applyBorder="0" applyAlignment="0" applyProtection="0"/>
    <xf numFmtId="0" fontId="2" fillId="0" borderId="0"/>
    <xf numFmtId="9" fontId="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</cellStyleXfs>
  <cellXfs count="1101">
    <xf numFmtId="0" fontId="0" fillId="0" borderId="0" xfId="0"/>
    <xf numFmtId="0" fontId="17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5" fillId="3" borderId="0" xfId="0" applyFont="1" applyFill="1"/>
    <xf numFmtId="0" fontId="5" fillId="6" borderId="0" xfId="0" applyFont="1" applyFill="1"/>
    <xf numFmtId="0" fontId="7" fillId="0" borderId="0" xfId="0" applyFont="1"/>
    <xf numFmtId="0" fontId="19" fillId="0" borderId="0" xfId="10" applyProtection="1"/>
    <xf numFmtId="0" fontId="10" fillId="0" borderId="0" xfId="0" applyFont="1" applyAlignment="1">
      <alignment horizontal="left" vertical="top"/>
    </xf>
    <xf numFmtId="0" fontId="10" fillId="0" borderId="0" xfId="0" applyFont="1"/>
    <xf numFmtId="2" fontId="10" fillId="0" borderId="0" xfId="0" applyNumberFormat="1" applyFont="1"/>
    <xf numFmtId="164" fontId="10" fillId="0" borderId="0" xfId="1" applyNumberFormat="1" applyFont="1"/>
    <xf numFmtId="0" fontId="14" fillId="0" borderId="0" xfId="0" applyFont="1"/>
    <xf numFmtId="164" fontId="14" fillId="5" borderId="13" xfId="1" applyNumberFormat="1" applyFont="1" applyFill="1" applyBorder="1"/>
    <xf numFmtId="164" fontId="14" fillId="0" borderId="13" xfId="1" applyNumberFormat="1" applyFont="1" applyBorder="1"/>
    <xf numFmtId="164" fontId="10" fillId="0" borderId="0" xfId="1" applyNumberFormat="1" applyFont="1" applyAlignment="1">
      <alignment horizontal="center"/>
    </xf>
    <xf numFmtId="0" fontId="10" fillId="0" borderId="3" xfId="0" applyFont="1" applyBorder="1"/>
    <xf numFmtId="0" fontId="10" fillId="0" borderId="21" xfId="0" applyFont="1" applyBorder="1"/>
    <xf numFmtId="0" fontId="10" fillId="0" borderId="19" xfId="0" applyFont="1" applyBorder="1"/>
    <xf numFmtId="0" fontId="10" fillId="0" borderId="22" xfId="0" applyFont="1" applyBorder="1"/>
    <xf numFmtId="0" fontId="10" fillId="0" borderId="23" xfId="0" applyFont="1" applyBorder="1"/>
    <xf numFmtId="0" fontId="10" fillId="0" borderId="24" xfId="0" applyFont="1" applyBorder="1"/>
    <xf numFmtId="0" fontId="10" fillId="0" borderId="25" xfId="0" applyFont="1" applyBorder="1"/>
    <xf numFmtId="0" fontId="10" fillId="0" borderId="26" xfId="0" applyFont="1" applyBorder="1"/>
    <xf numFmtId="0" fontId="14" fillId="0" borderId="23" xfId="0" applyFont="1" applyBorder="1"/>
    <xf numFmtId="0" fontId="14" fillId="0" borderId="24" xfId="0" applyFont="1" applyBorder="1"/>
    <xf numFmtId="0" fontId="10" fillId="0" borderId="27" xfId="0" applyFont="1" applyBorder="1"/>
    <xf numFmtId="0" fontId="10" fillId="0" borderId="5" xfId="0" applyFont="1" applyBorder="1"/>
    <xf numFmtId="0" fontId="10" fillId="0" borderId="28" xfId="0" applyFont="1" applyBorder="1"/>
    <xf numFmtId="43" fontId="14" fillId="0" borderId="23" xfId="1" applyFont="1" applyBorder="1"/>
    <xf numFmtId="43" fontId="14" fillId="0" borderId="0" xfId="1" applyFont="1" applyBorder="1"/>
    <xf numFmtId="43" fontId="14" fillId="0" borderId="24" xfId="1" applyFont="1" applyBorder="1"/>
    <xf numFmtId="43" fontId="14" fillId="5" borderId="29" xfId="1" applyFont="1" applyFill="1" applyBorder="1"/>
    <xf numFmtId="43" fontId="14" fillId="5" borderId="13" xfId="1" applyFont="1" applyFill="1" applyBorder="1"/>
    <xf numFmtId="43" fontId="14" fillId="5" borderId="30" xfId="1" applyFont="1" applyFill="1" applyBorder="1"/>
    <xf numFmtId="43" fontId="14" fillId="0" borderId="29" xfId="1" applyFont="1" applyBorder="1"/>
    <xf numFmtId="43" fontId="14" fillId="0" borderId="13" xfId="1" applyFont="1" applyBorder="1"/>
    <xf numFmtId="43" fontId="14" fillId="0" borderId="30" xfId="1" applyFont="1" applyBorder="1"/>
    <xf numFmtId="164" fontId="14" fillId="0" borderId="0" xfId="1" applyNumberFormat="1" applyFont="1" applyBorder="1"/>
    <xf numFmtId="164" fontId="10" fillId="0" borderId="0" xfId="1" applyNumberFormat="1" applyFont="1" applyBorder="1"/>
    <xf numFmtId="164" fontId="10" fillId="0" borderId="3" xfId="1" applyNumberFormat="1" applyFont="1" applyBorder="1"/>
    <xf numFmtId="49" fontId="18" fillId="7" borderId="20" xfId="0" applyNumberFormat="1" applyFont="1" applyFill="1" applyBorder="1" applyAlignment="1">
      <alignment horizontal="left" vertical="center" wrapText="1"/>
    </xf>
    <xf numFmtId="179" fontId="18" fillId="7" borderId="20" xfId="0" applyNumberFormat="1" applyFont="1" applyFill="1" applyBorder="1" applyAlignment="1">
      <alignment horizontal="center" vertical="center" wrapText="1"/>
    </xf>
    <xf numFmtId="179" fontId="18" fillId="7" borderId="20" xfId="0" applyNumberFormat="1" applyFont="1" applyFill="1" applyBorder="1" applyAlignment="1">
      <alignment horizontal="center" vertical="center"/>
    </xf>
    <xf numFmtId="17" fontId="18" fillId="7" borderId="20" xfId="1" applyNumberFormat="1" applyFont="1" applyFill="1" applyBorder="1" applyAlignment="1" applyProtection="1">
      <alignment horizontal="center" vertical="center" wrapText="1"/>
    </xf>
    <xf numFmtId="0" fontId="18" fillId="7" borderId="20" xfId="0" applyFont="1" applyFill="1" applyBorder="1" applyAlignment="1">
      <alignment horizontal="center" vertical="center"/>
    </xf>
    <xf numFmtId="17" fontId="18" fillId="7" borderId="20" xfId="0" applyNumberFormat="1" applyFont="1" applyFill="1" applyBorder="1" applyAlignment="1">
      <alignment horizontal="center" vertical="center"/>
    </xf>
    <xf numFmtId="43" fontId="10" fillId="0" borderId="23" xfId="1" applyFont="1" applyBorder="1"/>
    <xf numFmtId="43" fontId="10" fillId="0" borderId="0" xfId="1" applyFont="1" applyBorder="1"/>
    <xf numFmtId="43" fontId="10" fillId="0" borderId="24" xfId="1" applyFont="1" applyBorder="1"/>
    <xf numFmtId="164" fontId="10" fillId="0" borderId="23" xfId="1" applyNumberFormat="1" applyFont="1" applyBorder="1"/>
    <xf numFmtId="164" fontId="10" fillId="0" borderId="24" xfId="1" applyNumberFormat="1" applyFont="1" applyBorder="1"/>
    <xf numFmtId="164" fontId="10" fillId="0" borderId="25" xfId="1" applyNumberFormat="1" applyFont="1" applyBorder="1"/>
    <xf numFmtId="164" fontId="10" fillId="0" borderId="26" xfId="1" applyNumberFormat="1" applyFont="1" applyBorder="1"/>
    <xf numFmtId="164" fontId="14" fillId="0" borderId="23" xfId="1" applyNumberFormat="1" applyFont="1" applyBorder="1"/>
    <xf numFmtId="164" fontId="14" fillId="0" borderId="24" xfId="1" applyNumberFormat="1" applyFont="1" applyBorder="1"/>
    <xf numFmtId="43" fontId="10" fillId="0" borderId="23" xfId="1" applyFont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24" xfId="1" applyFont="1" applyBorder="1" applyAlignment="1">
      <alignment horizontal="center"/>
    </xf>
    <xf numFmtId="0" fontId="5" fillId="0" borderId="15" xfId="0" applyFont="1" applyBorder="1"/>
    <xf numFmtId="43" fontId="5" fillId="0" borderId="0" xfId="0" applyNumberFormat="1" applyFont="1"/>
    <xf numFmtId="0" fontId="8" fillId="0" borderId="7" xfId="0" applyFont="1" applyBorder="1" applyAlignment="1" applyProtection="1">
      <alignment wrapText="1"/>
      <protection locked="0"/>
    </xf>
    <xf numFmtId="0" fontId="5" fillId="0" borderId="3" xfId="0" applyFont="1" applyBorder="1"/>
    <xf numFmtId="0" fontId="5" fillId="0" borderId="6" xfId="0" applyFont="1" applyBorder="1"/>
    <xf numFmtId="37" fontId="12" fillId="0" borderId="6" xfId="3" applyFont="1" applyBorder="1" applyAlignment="1">
      <alignment horizontal="left" vertical="top" wrapText="1"/>
    </xf>
    <xf numFmtId="0" fontId="14" fillId="14" borderId="6" xfId="0" applyFont="1" applyFill="1" applyBorder="1" applyAlignment="1">
      <alignment horizontal="left" vertical="top"/>
    </xf>
    <xf numFmtId="0" fontId="14" fillId="14" borderId="38" xfId="0" applyFont="1" applyFill="1" applyBorder="1" applyAlignment="1">
      <alignment horizontal="left" vertical="top"/>
    </xf>
    <xf numFmtId="37" fontId="12" fillId="0" borderId="38" xfId="3" applyFont="1" applyBorder="1" applyAlignment="1">
      <alignment horizontal="left" vertical="top" wrapText="1"/>
    </xf>
    <xf numFmtId="167" fontId="10" fillId="0" borderId="2" xfId="11" applyNumberFormat="1" applyFont="1" applyBorder="1" applyAlignment="1">
      <alignment horizontal="center"/>
    </xf>
    <xf numFmtId="0" fontId="10" fillId="0" borderId="2" xfId="11" applyFont="1" applyBorder="1"/>
    <xf numFmtId="0" fontId="10" fillId="0" borderId="12" xfId="12" applyFont="1" applyBorder="1" applyAlignment="1">
      <alignment horizontal="left" vertical="top"/>
    </xf>
    <xf numFmtId="167" fontId="10" fillId="0" borderId="0" xfId="11" applyNumberFormat="1" applyFont="1" applyAlignment="1">
      <alignment horizontal="center"/>
    </xf>
    <xf numFmtId="0" fontId="10" fillId="0" borderId="0" xfId="11" applyFont="1"/>
    <xf numFmtId="0" fontId="10" fillId="0" borderId="8" xfId="12" applyFont="1" applyBorder="1" applyAlignment="1">
      <alignment horizontal="left" vertical="top"/>
    </xf>
    <xf numFmtId="0" fontId="22" fillId="0" borderId="0" xfId="12" applyFont="1" applyAlignment="1">
      <alignment horizontal="left"/>
    </xf>
    <xf numFmtId="167" fontId="10" fillId="5" borderId="0" xfId="11" applyNumberFormat="1" applyFont="1" applyFill="1" applyAlignment="1">
      <alignment horizontal="center"/>
    </xf>
    <xf numFmtId="0" fontId="10" fillId="5" borderId="0" xfId="11" applyFont="1" applyFill="1"/>
    <xf numFmtId="0" fontId="10" fillId="5" borderId="8" xfId="12" applyFont="1" applyFill="1" applyBorder="1" applyAlignment="1">
      <alignment horizontal="left" vertical="top"/>
    </xf>
    <xf numFmtId="167" fontId="10" fillId="0" borderId="0" xfId="11" quotePrefix="1" applyNumberFormat="1" applyFont="1" applyAlignment="1">
      <alignment horizontal="center"/>
    </xf>
    <xf numFmtId="167" fontId="10" fillId="8" borderId="0" xfId="11" applyNumberFormat="1" applyFont="1" applyFill="1" applyAlignment="1">
      <alignment horizontal="center"/>
    </xf>
    <xf numFmtId="0" fontId="10" fillId="8" borderId="0" xfId="11" applyFont="1" applyFill="1"/>
    <xf numFmtId="0" fontId="10" fillId="8" borderId="8" xfId="12" applyFont="1" applyFill="1" applyBorder="1" applyAlignment="1">
      <alignment horizontal="left" vertical="top"/>
    </xf>
    <xf numFmtId="167" fontId="10" fillId="9" borderId="0" xfId="11" applyNumberFormat="1" applyFont="1" applyFill="1" applyAlignment="1">
      <alignment horizontal="center"/>
    </xf>
    <xf numFmtId="0" fontId="10" fillId="9" borderId="0" xfId="11" applyFont="1" applyFill="1"/>
    <xf numFmtId="0" fontId="10" fillId="9" borderId="8" xfId="12" applyFont="1" applyFill="1" applyBorder="1" applyAlignment="1">
      <alignment horizontal="left" vertical="top"/>
    </xf>
    <xf numFmtId="167" fontId="10" fillId="10" borderId="0" xfId="11" applyNumberFormat="1" applyFont="1" applyFill="1" applyAlignment="1">
      <alignment horizontal="center"/>
    </xf>
    <xf numFmtId="0" fontId="10" fillId="10" borderId="0" xfId="11" applyFont="1" applyFill="1"/>
    <xf numFmtId="0" fontId="10" fillId="10" borderId="8" xfId="12" applyFont="1" applyFill="1" applyBorder="1" applyAlignment="1">
      <alignment horizontal="left" vertical="top"/>
    </xf>
    <xf numFmtId="167" fontId="10" fillId="11" borderId="0" xfId="11" applyNumberFormat="1" applyFont="1" applyFill="1" applyAlignment="1">
      <alignment horizontal="center"/>
    </xf>
    <xf numFmtId="0" fontId="10" fillId="11" borderId="0" xfId="11" applyFont="1" applyFill="1"/>
    <xf numFmtId="0" fontId="10" fillId="11" borderId="8" xfId="12" applyFont="1" applyFill="1" applyBorder="1" applyAlignment="1">
      <alignment horizontal="left" vertical="top"/>
    </xf>
    <xf numFmtId="167" fontId="15" fillId="0" borderId="0" xfId="11" applyNumberFormat="1" applyFont="1" applyAlignment="1">
      <alignment horizontal="center"/>
    </xf>
    <xf numFmtId="0" fontId="15" fillId="0" borderId="0" xfId="11" applyFont="1"/>
    <xf numFmtId="0" fontId="15" fillId="0" borderId="8" xfId="12" applyFont="1" applyBorder="1" applyAlignment="1">
      <alignment horizontal="left" vertical="top"/>
    </xf>
    <xf numFmtId="167" fontId="10" fillId="11" borderId="0" xfId="11" quotePrefix="1" applyNumberFormat="1" applyFont="1" applyFill="1" applyAlignment="1">
      <alignment horizontal="center"/>
    </xf>
    <xf numFmtId="0" fontId="10" fillId="0" borderId="0" xfId="12" applyFont="1" applyAlignment="1">
      <alignment horizontal="left" vertical="top"/>
    </xf>
    <xf numFmtId="0" fontId="10" fillId="5" borderId="0" xfId="12" applyFont="1" applyFill="1" applyAlignment="1">
      <alignment horizontal="left" vertical="top"/>
    </xf>
    <xf numFmtId="167" fontId="10" fillId="0" borderId="3" xfId="11" applyNumberFormat="1" applyFont="1" applyBorder="1" applyAlignment="1">
      <alignment horizontal="center"/>
    </xf>
    <xf numFmtId="0" fontId="10" fillId="0" borderId="3" xfId="12" applyFont="1" applyBorder="1" applyAlignment="1">
      <alignment horizontal="left" vertical="top"/>
    </xf>
    <xf numFmtId="0" fontId="10" fillId="0" borderId="10" xfId="12" applyFont="1" applyBorder="1" applyAlignment="1">
      <alignment horizontal="left" vertical="top"/>
    </xf>
    <xf numFmtId="0" fontId="8" fillId="0" borderId="3" xfId="0" applyFont="1" applyBorder="1"/>
    <xf numFmtId="0" fontId="24" fillId="0" borderId="0" xfId="20" applyFont="1"/>
    <xf numFmtId="0" fontId="24" fillId="0" borderId="0" xfId="20" applyFont="1" applyAlignment="1">
      <alignment horizontal="centerContinuous"/>
    </xf>
    <xf numFmtId="0" fontId="25" fillId="0" borderId="0" xfId="20" applyFont="1" applyAlignment="1">
      <alignment horizontal="centerContinuous"/>
    </xf>
    <xf numFmtId="0" fontId="26" fillId="0" borderId="0" xfId="20" applyFont="1" applyAlignment="1">
      <alignment horizontal="centerContinuous"/>
    </xf>
    <xf numFmtId="0" fontId="27" fillId="0" borderId="0" xfId="20" applyFont="1" applyAlignment="1">
      <alignment horizontal="centerContinuous"/>
    </xf>
    <xf numFmtId="0" fontId="28" fillId="0" borderId="3" xfId="0" applyFont="1" applyBorder="1"/>
    <xf numFmtId="0" fontId="8" fillId="0" borderId="0" xfId="0" applyFont="1"/>
    <xf numFmtId="41" fontId="29" fillId="0" borderId="0" xfId="0" applyNumberFormat="1" applyFont="1"/>
    <xf numFmtId="0" fontId="31" fillId="0" borderId="0" xfId="0" applyFont="1"/>
    <xf numFmtId="41" fontId="8" fillId="0" borderId="7" xfId="0" applyNumberFormat="1" applyFont="1" applyBorder="1"/>
    <xf numFmtId="14" fontId="32" fillId="0" borderId="8" xfId="0" applyNumberFormat="1" applyFont="1" applyBorder="1" applyAlignment="1" applyProtection="1">
      <alignment shrinkToFit="1"/>
      <protection locked="0"/>
    </xf>
    <xf numFmtId="41" fontId="29" fillId="0" borderId="0" xfId="0" applyNumberFormat="1" applyFont="1" applyAlignment="1">
      <alignment horizontal="centerContinuous" shrinkToFit="1"/>
    </xf>
    <xf numFmtId="41" fontId="8" fillId="0" borderId="0" xfId="0" applyNumberFormat="1" applyFont="1" applyAlignment="1">
      <alignment shrinkToFit="1"/>
    </xf>
    <xf numFmtId="41" fontId="8" fillId="0" borderId="7" xfId="0" quotePrefix="1" applyNumberFormat="1" applyFont="1" applyBorder="1" applyAlignment="1">
      <alignment horizontal="left"/>
    </xf>
    <xf numFmtId="41" fontId="8" fillId="0" borderId="7" xfId="0" applyNumberFormat="1" applyFont="1" applyBorder="1" applyAlignment="1">
      <alignment horizontal="left"/>
    </xf>
    <xf numFmtId="164" fontId="8" fillId="4" borderId="8" xfId="1" applyNumberFormat="1" applyFont="1" applyFill="1" applyBorder="1" applyAlignment="1" applyProtection="1">
      <alignment horizontal="right" shrinkToFit="1"/>
    </xf>
    <xf numFmtId="41" fontId="8" fillId="0" borderId="9" xfId="0" applyNumberFormat="1" applyFont="1" applyBorder="1"/>
    <xf numFmtId="164" fontId="8" fillId="4" borderId="10" xfId="1" applyNumberFormat="1" applyFont="1" applyFill="1" applyBorder="1" applyAlignment="1" applyProtection="1">
      <alignment horizontal="right" shrinkToFit="1"/>
    </xf>
    <xf numFmtId="41" fontId="8" fillId="0" borderId="0" xfId="0" applyNumberFormat="1" applyFont="1"/>
    <xf numFmtId="164" fontId="8" fillId="0" borderId="0" xfId="1" applyNumberFormat="1" applyFont="1" applyFill="1" applyBorder="1" applyAlignment="1" applyProtection="1">
      <alignment horizontal="right" shrinkToFit="1"/>
    </xf>
    <xf numFmtId="41" fontId="33" fillId="0" borderId="0" xfId="0" applyNumberFormat="1" applyFont="1" applyAlignment="1">
      <alignment shrinkToFit="1"/>
    </xf>
    <xf numFmtId="0" fontId="30" fillId="15" borderId="17" xfId="0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center" vertical="center" wrapText="1" shrinkToFit="1"/>
    </xf>
    <xf numFmtId="0" fontId="30" fillId="15" borderId="6" xfId="0" applyFont="1" applyFill="1" applyBorder="1" applyAlignment="1">
      <alignment horizontal="center" vertical="center" shrinkToFit="1"/>
    </xf>
    <xf numFmtId="0" fontId="30" fillId="15" borderId="38" xfId="0" applyFont="1" applyFill="1" applyBorder="1" applyAlignment="1">
      <alignment horizontal="center" vertical="center" shrinkToFit="1"/>
    </xf>
    <xf numFmtId="0" fontId="34" fillId="0" borderId="7" xfId="0" applyFont="1" applyBorder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shrinkToFit="1"/>
    </xf>
    <xf numFmtId="0" fontId="8" fillId="0" borderId="8" xfId="0" applyFont="1" applyBorder="1" applyAlignment="1">
      <alignment horizontal="center" shrinkToFit="1"/>
    </xf>
    <xf numFmtId="0" fontId="8" fillId="0" borderId="7" xfId="0" applyFont="1" applyBorder="1"/>
    <xf numFmtId="0" fontId="8" fillId="0" borderId="8" xfId="0" applyFont="1" applyBorder="1"/>
    <xf numFmtId="165" fontId="8" fillId="4" borderId="0" xfId="0" applyNumberFormat="1" applyFont="1" applyFill="1" applyAlignment="1">
      <alignment horizontal="left" shrinkToFit="1"/>
    </xf>
    <xf numFmtId="44" fontId="8" fillId="4" borderId="8" xfId="0" applyNumberFormat="1" applyFont="1" applyFill="1" applyBorder="1" applyAlignment="1">
      <alignment horizontal="center" shrinkToFit="1"/>
    </xf>
    <xf numFmtId="0" fontId="8" fillId="0" borderId="7" xfId="0" applyFont="1" applyBorder="1" applyAlignment="1">
      <alignment horizontal="right"/>
    </xf>
    <xf numFmtId="42" fontId="8" fillId="0" borderId="8" xfId="0" applyNumberFormat="1" applyFont="1" applyBorder="1"/>
    <xf numFmtId="165" fontId="35" fillId="4" borderId="0" xfId="0" applyNumberFormat="1" applyFont="1" applyFill="1" applyAlignment="1">
      <alignment horizontal="left" shrinkToFit="1"/>
    </xf>
    <xf numFmtId="44" fontId="35" fillId="4" borderId="8" xfId="0" applyNumberFormat="1" applyFont="1" applyFill="1" applyBorder="1" applyAlignment="1">
      <alignment horizontal="center" shrinkToFit="1"/>
    </xf>
    <xf numFmtId="165" fontId="8" fillId="4" borderId="3" xfId="0" applyNumberFormat="1" applyFont="1" applyFill="1" applyBorder="1" applyAlignment="1">
      <alignment horizontal="left" shrinkToFit="1"/>
    </xf>
    <xf numFmtId="44" fontId="8" fillId="4" borderId="10" xfId="0" applyNumberFormat="1" applyFont="1" applyFill="1" applyBorder="1" applyAlignment="1">
      <alignment horizontal="center" shrinkToFit="1"/>
    </xf>
    <xf numFmtId="165" fontId="36" fillId="4" borderId="0" xfId="0" applyNumberFormat="1" applyFont="1" applyFill="1" applyAlignment="1">
      <alignment horizontal="left" shrinkToFit="1"/>
    </xf>
    <xf numFmtId="44" fontId="36" fillId="4" borderId="8" xfId="0" applyNumberFormat="1" applyFont="1" applyFill="1" applyBorder="1" applyAlignment="1">
      <alignment horizontal="center" shrinkToFit="1"/>
    </xf>
    <xf numFmtId="165" fontId="8" fillId="0" borderId="0" xfId="0" applyNumberFormat="1" applyFont="1" applyAlignment="1">
      <alignment horizontal="center" shrinkToFit="1"/>
    </xf>
    <xf numFmtId="165" fontId="8" fillId="0" borderId="0" xfId="0" applyNumberFormat="1" applyFont="1" applyAlignment="1">
      <alignment horizontal="left" shrinkToFit="1"/>
    </xf>
    <xf numFmtId="44" fontId="8" fillId="0" borderId="8" xfId="0" applyNumberFormat="1" applyFont="1" applyBorder="1" applyAlignment="1">
      <alignment horizontal="center" shrinkToFit="1"/>
    </xf>
    <xf numFmtId="0" fontId="8" fillId="0" borderId="44" xfId="0" applyFont="1" applyBorder="1" applyAlignment="1">
      <alignment horizontal="right"/>
    </xf>
    <xf numFmtId="42" fontId="8" fillId="0" borderId="45" xfId="0" applyNumberFormat="1" applyFont="1" applyBorder="1"/>
    <xf numFmtId="165" fontId="8" fillId="0" borderId="0" xfId="0" applyNumberFormat="1" applyFont="1" applyAlignment="1">
      <alignment horizontal="center"/>
    </xf>
    <xf numFmtId="0" fontId="36" fillId="0" borderId="46" xfId="0" applyFont="1" applyBorder="1" applyAlignment="1">
      <alignment horizontal="right"/>
    </xf>
    <xf numFmtId="42" fontId="36" fillId="0" borderId="47" xfId="0" applyNumberFormat="1" applyFont="1" applyBorder="1"/>
    <xf numFmtId="49" fontId="5" fillId="0" borderId="7" xfId="0" applyNumberFormat="1" applyFont="1" applyBorder="1" applyAlignment="1">
      <alignment horizontal="left"/>
    </xf>
    <xf numFmtId="165" fontId="8" fillId="4" borderId="0" xfId="0" applyNumberFormat="1" applyFont="1" applyFill="1" applyAlignment="1">
      <alignment horizontal="left" vertical="center" shrinkToFit="1"/>
    </xf>
    <xf numFmtId="165" fontId="8" fillId="4" borderId="3" xfId="0" applyNumberFormat="1" applyFont="1" applyFill="1" applyBorder="1" applyAlignment="1">
      <alignment horizontal="left" vertical="center" shrinkToFit="1"/>
    </xf>
    <xf numFmtId="165" fontId="36" fillId="4" borderId="0" xfId="0" applyNumberFormat="1" applyFont="1" applyFill="1" applyAlignment="1">
      <alignment horizontal="left" vertical="center" shrinkToFit="1"/>
    </xf>
    <xf numFmtId="0" fontId="36" fillId="0" borderId="9" xfId="0" applyFont="1" applyBorder="1"/>
    <xf numFmtId="165" fontId="36" fillId="4" borderId="6" xfId="0" applyNumberFormat="1" applyFont="1" applyFill="1" applyBorder="1" applyAlignment="1">
      <alignment horizontal="left" shrinkToFit="1"/>
    </xf>
    <xf numFmtId="44" fontId="36" fillId="4" borderId="38" xfId="0" applyNumberFormat="1" applyFont="1" applyFill="1" applyBorder="1" applyAlignment="1">
      <alignment horizontal="center" shrinkToFit="1"/>
    </xf>
    <xf numFmtId="41" fontId="8" fillId="0" borderId="3" xfId="0" applyNumberFormat="1" applyFont="1" applyBorder="1"/>
    <xf numFmtId="41" fontId="8" fillId="0" borderId="3" xfId="0" applyNumberFormat="1" applyFont="1" applyBorder="1" applyAlignment="1">
      <alignment shrinkToFit="1"/>
    </xf>
    <xf numFmtId="41" fontId="8" fillId="0" borderId="0" xfId="0" quotePrefix="1" applyNumberFormat="1" applyFont="1" applyAlignment="1">
      <alignment horizontal="left"/>
    </xf>
    <xf numFmtId="171" fontId="37" fillId="0" borderId="0" xfId="0" applyNumberFormat="1" applyFont="1" applyAlignment="1">
      <alignment horizontal="center" shrinkToFit="1"/>
    </xf>
    <xf numFmtId="172" fontId="37" fillId="0" borderId="0" xfId="0" applyNumberFormat="1" applyFont="1" applyAlignment="1">
      <alignment horizontal="center" shrinkToFit="1"/>
    </xf>
    <xf numFmtId="0" fontId="36" fillId="0" borderId="11" xfId="0" applyFont="1" applyBorder="1" applyAlignment="1">
      <alignment vertical="center"/>
    </xf>
    <xf numFmtId="0" fontId="8" fillId="0" borderId="2" xfId="0" applyFont="1" applyBorder="1"/>
    <xf numFmtId="0" fontId="8" fillId="0" borderId="12" xfId="0" applyFont="1" applyBorder="1"/>
    <xf numFmtId="0" fontId="8" fillId="0" borderId="7" xfId="0" applyFont="1" applyBorder="1" applyProtection="1">
      <protection locked="0"/>
    </xf>
    <xf numFmtId="0" fontId="38" fillId="0" borderId="0" xfId="0" applyFont="1" applyProtection="1">
      <protection locked="0"/>
    </xf>
    <xf numFmtId="0" fontId="38" fillId="0" borderId="8" xfId="0" applyFont="1" applyBorder="1" applyProtection="1">
      <protection locked="0"/>
    </xf>
    <xf numFmtId="0" fontId="38" fillId="0" borderId="9" xfId="0" applyFont="1" applyBorder="1" applyProtection="1">
      <protection locked="0"/>
    </xf>
    <xf numFmtId="0" fontId="38" fillId="0" borderId="3" xfId="0" applyFont="1" applyBorder="1" applyProtection="1">
      <protection locked="0"/>
    </xf>
    <xf numFmtId="0" fontId="38" fillId="0" borderId="10" xfId="0" applyFont="1" applyBorder="1" applyProtection="1">
      <protection locked="0"/>
    </xf>
    <xf numFmtId="0" fontId="8" fillId="0" borderId="3" xfId="15" applyFont="1" applyBorder="1"/>
    <xf numFmtId="0" fontId="24" fillId="0" borderId="0" xfId="15" applyFont="1"/>
    <xf numFmtId="0" fontId="39" fillId="0" borderId="0" xfId="15" applyFont="1" applyAlignment="1">
      <alignment vertical="center"/>
    </xf>
    <xf numFmtId="0" fontId="40" fillId="0" borderId="0" xfId="15" applyFont="1"/>
    <xf numFmtId="0" fontId="41" fillId="15" borderId="17" xfId="15" applyFont="1" applyFill="1" applyBorder="1"/>
    <xf numFmtId="0" fontId="42" fillId="15" borderId="6" xfId="15" applyFont="1" applyFill="1" applyBorder="1"/>
    <xf numFmtId="0" fontId="42" fillId="15" borderId="38" xfId="15" applyFont="1" applyFill="1" applyBorder="1"/>
    <xf numFmtId="0" fontId="8" fillId="0" borderId="32" xfId="0" applyFont="1" applyBorder="1" applyAlignment="1">
      <alignment horizontal="right"/>
    </xf>
    <xf numFmtId="17" fontId="30" fillId="15" borderId="17" xfId="1" applyNumberFormat="1" applyFont="1" applyFill="1" applyBorder="1" applyAlignment="1" applyProtection="1">
      <alignment horizontal="center" vertical="center" wrapText="1"/>
    </xf>
    <xf numFmtId="17" fontId="30" fillId="15" borderId="6" xfId="1" applyNumberFormat="1" applyFont="1" applyFill="1" applyBorder="1" applyAlignment="1" applyProtection="1">
      <alignment horizontal="center" vertical="center" wrapText="1"/>
    </xf>
    <xf numFmtId="0" fontId="41" fillId="15" borderId="38" xfId="15" applyFont="1" applyFill="1" applyBorder="1" applyAlignment="1">
      <alignment horizontal="center"/>
    </xf>
    <xf numFmtId="0" fontId="36" fillId="0" borderId="0" xfId="11" applyFont="1"/>
    <xf numFmtId="0" fontId="34" fillId="0" borderId="15" xfId="11" applyFont="1" applyBorder="1" applyAlignment="1">
      <alignment horizontal="center"/>
    </xf>
    <xf numFmtId="0" fontId="24" fillId="0" borderId="7" xfId="15" applyFont="1" applyBorder="1"/>
    <xf numFmtId="164" fontId="32" fillId="0" borderId="0" xfId="0" applyNumberFormat="1" applyFont="1" applyAlignment="1" applyProtection="1">
      <alignment horizontal="right"/>
      <protection locked="0"/>
    </xf>
    <xf numFmtId="0" fontId="24" fillId="0" borderId="8" xfId="15" applyFont="1" applyBorder="1"/>
    <xf numFmtId="41" fontId="8" fillId="4" borderId="0" xfId="11" applyNumberFormat="1" applyFont="1" applyFill="1"/>
    <xf numFmtId="41" fontId="8" fillId="4" borderId="15" xfId="11" applyNumberFormat="1" applyFont="1" applyFill="1" applyBorder="1"/>
    <xf numFmtId="0" fontId="24" fillId="0" borderId="8" xfId="15" applyFont="1" applyBorder="1" applyProtection="1">
      <protection locked="0"/>
    </xf>
    <xf numFmtId="0" fontId="24" fillId="0" borderId="9" xfId="15" applyFont="1" applyBorder="1"/>
    <xf numFmtId="164" fontId="32" fillId="0" borderId="3" xfId="0" applyNumberFormat="1" applyFont="1" applyBorder="1" applyAlignment="1" applyProtection="1">
      <alignment horizontal="right"/>
      <protection locked="0"/>
    </xf>
    <xf numFmtId="0" fontId="24" fillId="0" borderId="3" xfId="15" applyFont="1" applyBorder="1"/>
    <xf numFmtId="165" fontId="32" fillId="0" borderId="8" xfId="2" applyNumberFormat="1" applyFont="1" applyFill="1" applyBorder="1" applyProtection="1">
      <protection locked="0"/>
    </xf>
    <xf numFmtId="41" fontId="8" fillId="4" borderId="3" xfId="11" applyNumberFormat="1" applyFont="1" applyFill="1" applyBorder="1"/>
    <xf numFmtId="41" fontId="8" fillId="4" borderId="16" xfId="11" applyNumberFormat="1" applyFont="1" applyFill="1" applyBorder="1"/>
    <xf numFmtId="167" fontId="40" fillId="0" borderId="0" xfId="15" applyNumberFormat="1" applyFont="1"/>
    <xf numFmtId="0" fontId="36" fillId="4" borderId="0" xfId="11" applyFont="1" applyFill="1"/>
    <xf numFmtId="42" fontId="36" fillId="4" borderId="0" xfId="11" applyNumberFormat="1" applyFont="1" applyFill="1"/>
    <xf numFmtId="42" fontId="36" fillId="4" borderId="15" xfId="11" applyNumberFormat="1" applyFont="1" applyFill="1" applyBorder="1"/>
    <xf numFmtId="0" fontId="43" fillId="0" borderId="8" xfId="15" applyFont="1" applyBorder="1" applyProtection="1">
      <protection locked="0"/>
    </xf>
    <xf numFmtId="42" fontId="36" fillId="0" borderId="0" xfId="11" applyNumberFormat="1" applyFont="1"/>
    <xf numFmtId="42" fontId="36" fillId="0" borderId="15" xfId="11" applyNumberFormat="1" applyFont="1" applyBorder="1"/>
    <xf numFmtId="0" fontId="8" fillId="0" borderId="0" xfId="11" applyFont="1" applyAlignment="1">
      <alignment horizontal="left" indent="2"/>
    </xf>
    <xf numFmtId="41" fontId="8" fillId="0" borderId="0" xfId="11" applyNumberFormat="1" applyFont="1" applyAlignment="1" applyProtection="1">
      <alignment horizontal="left" indent="2"/>
      <protection locked="0"/>
    </xf>
    <xf numFmtId="164" fontId="32" fillId="0" borderId="8" xfId="0" applyNumberFormat="1" applyFont="1" applyBorder="1" applyAlignment="1" applyProtection="1">
      <alignment horizontal="right"/>
      <protection locked="0"/>
    </xf>
    <xf numFmtId="164" fontId="38" fillId="0" borderId="10" xfId="0" applyNumberFormat="1" applyFont="1" applyBorder="1" applyAlignment="1" applyProtection="1">
      <alignment horizontal="right"/>
      <protection locked="0"/>
    </xf>
    <xf numFmtId="0" fontId="8" fillId="0" borderId="3" xfId="11" applyFont="1" applyBorder="1" applyAlignment="1">
      <alignment horizontal="left" indent="2"/>
    </xf>
    <xf numFmtId="42" fontId="36" fillId="4" borderId="16" xfId="11" applyNumberFormat="1" applyFont="1" applyFill="1" applyBorder="1"/>
    <xf numFmtId="0" fontId="8" fillId="0" borderId="8" xfId="0" applyFont="1" applyBorder="1" applyProtection="1">
      <protection locked="0"/>
    </xf>
    <xf numFmtId="10" fontId="8" fillId="0" borderId="0" xfId="0" applyNumberFormat="1" applyFont="1" applyAlignment="1" applyProtection="1">
      <alignment horizontal="right"/>
      <protection locked="0"/>
    </xf>
    <xf numFmtId="165" fontId="8" fillId="0" borderId="8" xfId="2" applyNumberFormat="1" applyFont="1" applyFill="1" applyBorder="1" applyProtection="1">
      <protection locked="0"/>
    </xf>
    <xf numFmtId="165" fontId="32" fillId="0" borderId="3" xfId="2" applyNumberFormat="1" applyFont="1" applyFill="1" applyBorder="1" applyProtection="1">
      <protection locked="0"/>
    </xf>
    <xf numFmtId="0" fontId="24" fillId="0" borderId="3" xfId="15" applyFont="1" applyBorder="1" applyAlignment="1">
      <alignment horizontal="right"/>
    </xf>
    <xf numFmtId="10" fontId="32" fillId="0" borderId="10" xfId="0" applyNumberFormat="1" applyFont="1" applyBorder="1" applyAlignment="1" applyProtection="1">
      <alignment horizontal="right"/>
      <protection locked="0"/>
    </xf>
    <xf numFmtId="1" fontId="8" fillId="4" borderId="0" xfId="0" applyNumberFormat="1" applyFont="1" applyFill="1" applyAlignment="1">
      <alignment shrinkToFit="1"/>
    </xf>
    <xf numFmtId="3" fontId="8" fillId="4" borderId="0" xfId="0" applyNumberFormat="1" applyFont="1" applyFill="1" applyAlignment="1">
      <alignment shrinkToFit="1"/>
    </xf>
    <xf numFmtId="3" fontId="8" fillId="4" borderId="3" xfId="0" applyNumberFormat="1" applyFont="1" applyFill="1" applyBorder="1" applyAlignment="1">
      <alignment shrinkToFit="1"/>
    </xf>
    <xf numFmtId="44" fontId="36" fillId="0" borderId="15" xfId="11" applyNumberFormat="1" applyFont="1" applyBorder="1"/>
    <xf numFmtId="42" fontId="36" fillId="0" borderId="16" xfId="11" applyNumberFormat="1" applyFont="1" applyBorder="1"/>
    <xf numFmtId="42" fontId="8" fillId="4" borderId="0" xfId="11" applyNumberFormat="1" applyFont="1" applyFill="1"/>
    <xf numFmtId="42" fontId="8" fillId="4" borderId="15" xfId="11" applyNumberFormat="1" applyFont="1" applyFill="1" applyBorder="1"/>
    <xf numFmtId="9" fontId="24" fillId="0" borderId="8" xfId="4" applyFont="1" applyBorder="1" applyProtection="1">
      <protection locked="0"/>
    </xf>
    <xf numFmtId="42" fontId="8" fillId="4" borderId="16" xfId="11" applyNumberFormat="1" applyFont="1" applyFill="1" applyBorder="1"/>
    <xf numFmtId="0" fontId="24" fillId="0" borderId="8" xfId="15" applyFont="1" applyBorder="1" applyAlignment="1" applyProtection="1">
      <alignment wrapText="1"/>
      <protection locked="0"/>
    </xf>
    <xf numFmtId="0" fontId="8" fillId="0" borderId="3" xfId="11" applyFont="1" applyBorder="1"/>
    <xf numFmtId="44" fontId="36" fillId="0" borderId="16" xfId="11" applyNumberFormat="1" applyFont="1" applyBorder="1"/>
    <xf numFmtId="0" fontId="44" fillId="0" borderId="8" xfId="15" applyFont="1" applyBorder="1" applyProtection="1">
      <protection locked="0"/>
    </xf>
    <xf numFmtId="0" fontId="45" fillId="0" borderId="3" xfId="0" applyFont="1" applyBorder="1"/>
    <xf numFmtId="37" fontId="36" fillId="0" borderId="0" xfId="6" applyFont="1" applyAlignment="1">
      <alignment horizontal="left"/>
    </xf>
    <xf numFmtId="37" fontId="8" fillId="0" borderId="0" xfId="6" applyFont="1"/>
    <xf numFmtId="37" fontId="8" fillId="0" borderId="0" xfId="6" applyFont="1" applyAlignment="1">
      <alignment shrinkToFit="1"/>
    </xf>
    <xf numFmtId="37" fontId="36" fillId="0" borderId="0" xfId="6" applyFont="1" applyAlignment="1">
      <alignment horizontal="center" shrinkToFit="1"/>
    </xf>
    <xf numFmtId="37" fontId="30" fillId="15" borderId="17" xfId="6" applyFont="1" applyFill="1" applyBorder="1" applyAlignment="1">
      <alignment horizontal="center" vertical="center"/>
    </xf>
    <xf numFmtId="37" fontId="30" fillId="15" borderId="6" xfId="6" applyFont="1" applyFill="1" applyBorder="1" applyAlignment="1">
      <alignment horizontal="center" vertical="center"/>
    </xf>
    <xf numFmtId="37" fontId="30" fillId="15" borderId="6" xfId="6" applyFont="1" applyFill="1" applyBorder="1" applyAlignment="1">
      <alignment horizontal="center" vertical="center" wrapText="1" shrinkToFit="1"/>
    </xf>
    <xf numFmtId="37" fontId="30" fillId="15" borderId="38" xfId="6" applyFont="1" applyFill="1" applyBorder="1" applyAlignment="1">
      <alignment horizontal="center" vertical="center" wrapText="1" shrinkToFit="1"/>
    </xf>
    <xf numFmtId="37" fontId="34" fillId="0" borderId="0" xfId="6" applyFont="1" applyAlignment="1">
      <alignment horizontal="left"/>
    </xf>
    <xf numFmtId="37" fontId="34" fillId="0" borderId="0" xfId="6" applyFont="1"/>
    <xf numFmtId="174" fontId="8" fillId="0" borderId="0" xfId="6" applyNumberFormat="1" applyFont="1" applyAlignment="1">
      <alignment shrinkToFit="1"/>
    </xf>
    <xf numFmtId="37" fontId="32" fillId="0" borderId="14" xfId="6" applyFont="1" applyBorder="1" applyProtection="1">
      <protection locked="0"/>
    </xf>
    <xf numFmtId="37" fontId="8" fillId="4" borderId="11" xfId="6" applyFont="1" applyFill="1" applyBorder="1"/>
    <xf numFmtId="5" fontId="8" fillId="4" borderId="2" xfId="6" applyNumberFormat="1" applyFont="1" applyFill="1" applyBorder="1" applyAlignment="1" applyProtection="1">
      <alignment horizontal="center" shrinkToFit="1"/>
      <protection locked="0"/>
    </xf>
    <xf numFmtId="174" fontId="8" fillId="4" borderId="2" xfId="6" quotePrefix="1" applyNumberFormat="1" applyFont="1" applyFill="1" applyBorder="1" applyAlignment="1">
      <alignment horizontal="center" shrinkToFit="1"/>
    </xf>
    <xf numFmtId="37" fontId="8" fillId="4" borderId="2" xfId="6" applyFont="1" applyFill="1" applyBorder="1" applyAlignment="1">
      <alignment horizontal="center" shrinkToFit="1"/>
    </xf>
    <xf numFmtId="166" fontId="32" fillId="4" borderId="2" xfId="6" applyNumberFormat="1" applyFont="1" applyFill="1" applyBorder="1" applyAlignment="1" applyProtection="1">
      <alignment horizontal="center" shrinkToFit="1"/>
      <protection locked="0"/>
    </xf>
    <xf numFmtId="37" fontId="8" fillId="4" borderId="12" xfId="6" applyFont="1" applyFill="1" applyBorder="1" applyAlignment="1">
      <alignment horizontal="center" shrinkToFit="1"/>
    </xf>
    <xf numFmtId="179" fontId="32" fillId="0" borderId="2" xfId="6" applyNumberFormat="1" applyFont="1" applyBorder="1" applyAlignment="1" applyProtection="1">
      <alignment horizontal="center" shrinkToFit="1"/>
      <protection locked="0"/>
    </xf>
    <xf numFmtId="179" fontId="32" fillId="0" borderId="12" xfId="6" applyNumberFormat="1" applyFont="1" applyBorder="1" applyAlignment="1" applyProtection="1">
      <alignment horizontal="center" shrinkToFit="1"/>
      <protection locked="0"/>
    </xf>
    <xf numFmtId="0" fontId="8" fillId="0" borderId="14" xfId="0" applyFont="1" applyBorder="1"/>
    <xf numFmtId="165" fontId="8" fillId="0" borderId="12" xfId="2" applyNumberFormat="1" applyFont="1" applyFill="1" applyBorder="1" applyProtection="1"/>
    <xf numFmtId="0" fontId="8" fillId="0" borderId="15" xfId="0" applyFont="1" applyBorder="1"/>
    <xf numFmtId="175" fontId="46" fillId="0" borderId="0" xfId="6" applyNumberFormat="1" applyFont="1" applyAlignment="1">
      <alignment shrinkToFit="1"/>
    </xf>
    <xf numFmtId="9" fontId="8" fillId="0" borderId="8" xfId="4" applyFont="1" applyFill="1" applyBorder="1" applyProtection="1"/>
    <xf numFmtId="37" fontId="34" fillId="0" borderId="15" xfId="6" applyFont="1" applyBorder="1"/>
    <xf numFmtId="37" fontId="8" fillId="0" borderId="7" xfId="6" quotePrefix="1" applyFont="1" applyBorder="1" applyAlignment="1">
      <alignment horizontal="left"/>
    </xf>
    <xf numFmtId="5" fontId="8" fillId="0" borderId="0" xfId="6" applyNumberFormat="1" applyFont="1" applyAlignment="1">
      <alignment horizontal="center" shrinkToFit="1"/>
    </xf>
    <xf numFmtId="174" fontId="8" fillId="0" borderId="0" xfId="6" applyNumberFormat="1" applyFont="1" applyAlignment="1">
      <alignment horizontal="center" shrinkToFit="1"/>
    </xf>
    <xf numFmtId="37" fontId="8" fillId="0" borderId="0" xfId="6" applyFont="1" applyAlignment="1">
      <alignment horizontal="center" shrinkToFit="1"/>
    </xf>
    <xf numFmtId="166" fontId="8" fillId="0" borderId="0" xfId="6" applyNumberFormat="1" applyFont="1" applyAlignment="1">
      <alignment horizontal="center" shrinkToFit="1"/>
    </xf>
    <xf numFmtId="166" fontId="8" fillId="0" borderId="8" xfId="6" applyNumberFormat="1" applyFont="1" applyBorder="1" applyAlignment="1">
      <alignment horizontal="center" shrinkToFit="1"/>
    </xf>
    <xf numFmtId="37" fontId="38" fillId="0" borderId="0" xfId="6" applyFont="1" applyAlignment="1" applyProtection="1">
      <alignment horizontal="center" shrinkToFit="1"/>
      <protection locked="0"/>
    </xf>
    <xf numFmtId="175" fontId="46" fillId="0" borderId="8" xfId="6" applyNumberFormat="1" applyFont="1" applyBorder="1" applyAlignment="1">
      <alignment shrinkToFit="1"/>
    </xf>
    <xf numFmtId="37" fontId="46" fillId="0" borderId="0" xfId="6" applyFont="1" applyAlignment="1">
      <alignment shrinkToFit="1"/>
    </xf>
    <xf numFmtId="165" fontId="8" fillId="0" borderId="8" xfId="2" applyNumberFormat="1" applyFont="1" applyFill="1" applyBorder="1" applyProtection="1"/>
    <xf numFmtId="37" fontId="32" fillId="0" borderId="15" xfId="6" applyFont="1" applyBorder="1" applyProtection="1">
      <protection locked="0"/>
    </xf>
    <xf numFmtId="37" fontId="8" fillId="4" borderId="7" xfId="6" applyFont="1" applyFill="1" applyBorder="1"/>
    <xf numFmtId="5" fontId="8" fillId="0" borderId="0" xfId="6" quotePrefix="1" applyNumberFormat="1" applyFont="1" applyAlignment="1">
      <alignment horizontal="center" shrinkToFit="1"/>
    </xf>
    <xf numFmtId="39" fontId="8" fillId="4" borderId="0" xfId="6" applyNumberFormat="1" applyFont="1" applyFill="1" applyAlignment="1" applyProtection="1">
      <alignment horizontal="center" shrinkToFit="1"/>
      <protection locked="0"/>
    </xf>
    <xf numFmtId="5" fontId="38" fillId="4" borderId="0" xfId="6" applyNumberFormat="1" applyFont="1" applyFill="1" applyAlignment="1" applyProtection="1">
      <alignment horizontal="center" shrinkToFit="1"/>
      <protection locked="0"/>
    </xf>
    <xf numFmtId="37" fontId="8" fillId="4" borderId="0" xfId="6" applyFont="1" applyFill="1" applyAlignment="1" applyProtection="1">
      <alignment horizontal="center" shrinkToFit="1"/>
      <protection locked="0"/>
    </xf>
    <xf numFmtId="166" fontId="32" fillId="4" borderId="0" xfId="6" applyNumberFormat="1" applyFont="1" applyFill="1" applyAlignment="1" applyProtection="1">
      <alignment horizontal="center" shrinkToFit="1"/>
      <protection locked="0"/>
    </xf>
    <xf numFmtId="39" fontId="8" fillId="4" borderId="8" xfId="6" applyNumberFormat="1" applyFont="1" applyFill="1" applyBorder="1" applyAlignment="1">
      <alignment horizontal="center" shrinkToFit="1"/>
    </xf>
    <xf numFmtId="179" fontId="32" fillId="0" borderId="8" xfId="6" applyNumberFormat="1" applyFont="1" applyBorder="1" applyAlignment="1" applyProtection="1">
      <alignment horizontal="center" shrinkToFit="1"/>
      <protection locked="0"/>
    </xf>
    <xf numFmtId="179" fontId="32" fillId="0" borderId="7" xfId="6" applyNumberFormat="1" applyFont="1" applyBorder="1" applyAlignment="1" applyProtection="1">
      <alignment horizontal="center" shrinkToFit="1"/>
      <protection locked="0"/>
    </xf>
    <xf numFmtId="168" fontId="38" fillId="4" borderId="0" xfId="6" applyNumberFormat="1" applyFont="1" applyFill="1" applyAlignment="1" applyProtection="1">
      <alignment horizontal="center" shrinkToFit="1"/>
      <protection locked="0"/>
    </xf>
    <xf numFmtId="9" fontId="8" fillId="0" borderId="8" xfId="2" applyNumberFormat="1" applyFont="1" applyFill="1" applyBorder="1" applyProtection="1"/>
    <xf numFmtId="0" fontId="8" fillId="0" borderId="16" xfId="0" applyFont="1" applyBorder="1"/>
    <xf numFmtId="164" fontId="8" fillId="0" borderId="10" xfId="0" applyNumberFormat="1" applyFont="1" applyBorder="1"/>
    <xf numFmtId="37" fontId="8" fillId="0" borderId="15" xfId="6" applyFont="1" applyBorder="1"/>
    <xf numFmtId="37" fontId="8" fillId="0" borderId="7" xfId="6" applyFont="1" applyBorder="1" applyAlignment="1">
      <alignment horizontal="left"/>
    </xf>
    <xf numFmtId="168" fontId="8" fillId="0" borderId="0" xfId="6" applyNumberFormat="1" applyFont="1" applyAlignment="1">
      <alignment horizontal="center" shrinkToFit="1"/>
    </xf>
    <xf numFmtId="169" fontId="8" fillId="0" borderId="0" xfId="6" applyNumberFormat="1" applyFont="1" applyAlignment="1">
      <alignment horizontal="center" shrinkToFit="1"/>
    </xf>
    <xf numFmtId="37" fontId="8" fillId="0" borderId="8" xfId="6" applyFont="1" applyBorder="1" applyAlignment="1">
      <alignment horizontal="center" shrinkToFit="1"/>
    </xf>
    <xf numFmtId="175" fontId="32" fillId="0" borderId="0" xfId="6" applyNumberFormat="1" applyFont="1" applyAlignment="1">
      <alignment horizontal="center" shrinkToFit="1"/>
    </xf>
    <xf numFmtId="37" fontId="46" fillId="0" borderId="8" xfId="6" applyFont="1" applyBorder="1" applyAlignment="1">
      <alignment shrinkToFit="1"/>
    </xf>
    <xf numFmtId="37" fontId="8" fillId="0" borderId="7" xfId="6" applyFont="1" applyBorder="1"/>
    <xf numFmtId="37" fontId="8" fillId="0" borderId="8" xfId="6" applyFont="1" applyBorder="1" applyAlignment="1">
      <alignment shrinkToFit="1"/>
    </xf>
    <xf numFmtId="5" fontId="8" fillId="4" borderId="0" xfId="6" applyNumberFormat="1" applyFont="1" applyFill="1" applyAlignment="1" applyProtection="1">
      <alignment horizontal="center" shrinkToFit="1"/>
      <protection locked="0"/>
    </xf>
    <xf numFmtId="39" fontId="8" fillId="4" borderId="0" xfId="6" applyNumberFormat="1" applyFont="1" applyFill="1" applyAlignment="1">
      <alignment horizontal="center" shrinkToFit="1"/>
    </xf>
    <xf numFmtId="37" fontId="32" fillId="0" borderId="16" xfId="6" applyFont="1" applyBorder="1" applyProtection="1">
      <protection locked="0"/>
    </xf>
    <xf numFmtId="37" fontId="8" fillId="4" borderId="9" xfId="6" applyFont="1" applyFill="1" applyBorder="1"/>
    <xf numFmtId="5" fontId="8" fillId="0" borderId="3" xfId="6" quotePrefix="1" applyNumberFormat="1" applyFont="1" applyBorder="1" applyAlignment="1">
      <alignment horizontal="center" shrinkToFit="1"/>
    </xf>
    <xf numFmtId="39" fontId="8" fillId="4" borderId="3" xfId="6" applyNumberFormat="1" applyFont="1" applyFill="1" applyBorder="1" applyAlignment="1" applyProtection="1">
      <alignment horizontal="center" shrinkToFit="1"/>
      <protection locked="0"/>
    </xf>
    <xf numFmtId="37" fontId="8" fillId="4" borderId="3" xfId="6" applyFont="1" applyFill="1" applyBorder="1" applyAlignment="1" applyProtection="1">
      <alignment horizontal="center" shrinkToFit="1"/>
      <protection locked="0"/>
    </xf>
    <xf numFmtId="166" fontId="32" fillId="4" borderId="3" xfId="6" applyNumberFormat="1" applyFont="1" applyFill="1" applyBorder="1" applyAlignment="1" applyProtection="1">
      <alignment horizontal="center" shrinkToFit="1"/>
      <protection locked="0"/>
    </xf>
    <xf numFmtId="39" fontId="8" fillId="4" borderId="3" xfId="6" applyNumberFormat="1" applyFont="1" applyFill="1" applyBorder="1" applyAlignment="1">
      <alignment horizontal="center" shrinkToFit="1"/>
    </xf>
    <xf numFmtId="179" fontId="32" fillId="0" borderId="9" xfId="6" applyNumberFormat="1" applyFont="1" applyBorder="1" applyAlignment="1" applyProtection="1">
      <alignment horizontal="center" shrinkToFit="1"/>
      <protection locked="0"/>
    </xf>
    <xf numFmtId="179" fontId="32" fillId="0" borderId="10" xfId="6" applyNumberFormat="1" applyFont="1" applyBorder="1" applyAlignment="1" applyProtection="1">
      <alignment horizontal="center" shrinkToFit="1"/>
      <protection locked="0"/>
    </xf>
    <xf numFmtId="37" fontId="47" fillId="0" borderId="0" xfId="6" applyFont="1"/>
    <xf numFmtId="168" fontId="47" fillId="0" borderId="0" xfId="6" applyNumberFormat="1" applyFont="1" applyAlignment="1">
      <alignment horizontal="center" shrinkToFit="1"/>
    </xf>
    <xf numFmtId="5" fontId="47" fillId="0" borderId="0" xfId="6" applyNumberFormat="1" applyFont="1" applyAlignment="1">
      <alignment horizontal="center" shrinkToFit="1"/>
    </xf>
    <xf numFmtId="37" fontId="47" fillId="0" borderId="0" xfId="6" applyFont="1" applyAlignment="1">
      <alignment horizontal="center" shrinkToFit="1"/>
    </xf>
    <xf numFmtId="1" fontId="8" fillId="0" borderId="0" xfId="0" applyNumberFormat="1" applyFont="1"/>
    <xf numFmtId="1" fontId="8" fillId="0" borderId="3" xfId="0" applyNumberFormat="1" applyFont="1" applyBorder="1"/>
    <xf numFmtId="175" fontId="30" fillId="15" borderId="6" xfId="6" applyNumberFormat="1" applyFont="1" applyFill="1" applyBorder="1" applyAlignment="1">
      <alignment horizontal="center" vertical="center" shrinkToFit="1"/>
    </xf>
    <xf numFmtId="175" fontId="30" fillId="15" borderId="32" xfId="6" applyNumberFormat="1" applyFont="1" applyFill="1" applyBorder="1" applyAlignment="1">
      <alignment horizontal="center" vertical="center" shrinkToFit="1"/>
    </xf>
    <xf numFmtId="37" fontId="8" fillId="0" borderId="15" xfId="6" applyFont="1" applyBorder="1" applyAlignment="1">
      <alignment shrinkToFit="1"/>
    </xf>
    <xf numFmtId="164" fontId="8" fillId="4" borderId="0" xfId="1" applyNumberFormat="1" applyFont="1" applyFill="1" applyBorder="1" applyAlignment="1" applyProtection="1">
      <alignment shrinkToFit="1"/>
    </xf>
    <xf numFmtId="164" fontId="36" fillId="4" borderId="15" xfId="1" applyNumberFormat="1" applyFont="1" applyFill="1" applyBorder="1" applyAlignment="1" applyProtection="1">
      <alignment shrinkToFit="1"/>
    </xf>
    <xf numFmtId="164" fontId="8" fillId="0" borderId="0" xfId="1" applyNumberFormat="1" applyFont="1" applyFill="1" applyBorder="1" applyAlignment="1" applyProtection="1">
      <alignment shrinkToFit="1"/>
    </xf>
    <xf numFmtId="164" fontId="8" fillId="0" borderId="15" xfId="1" applyNumberFormat="1" applyFont="1" applyFill="1" applyBorder="1" applyAlignment="1" applyProtection="1">
      <alignment shrinkToFit="1"/>
    </xf>
    <xf numFmtId="5" fontId="8" fillId="0" borderId="0" xfId="6" applyNumberFormat="1" applyFont="1" applyAlignment="1">
      <alignment shrinkToFit="1"/>
    </xf>
    <xf numFmtId="5" fontId="8" fillId="0" borderId="15" xfId="6" applyNumberFormat="1" applyFont="1" applyBorder="1" applyAlignment="1">
      <alignment shrinkToFit="1"/>
    </xf>
    <xf numFmtId="37" fontId="36" fillId="0" borderId="0" xfId="6" applyFont="1" applyAlignment="1">
      <alignment vertical="center"/>
    </xf>
    <xf numFmtId="37" fontId="8" fillId="0" borderId="0" xfId="6" applyFont="1" applyAlignment="1">
      <alignment vertical="center"/>
    </xf>
    <xf numFmtId="165" fontId="36" fillId="4" borderId="6" xfId="6" applyNumberFormat="1" applyFont="1" applyFill="1" applyBorder="1" applyAlignment="1">
      <alignment vertical="center" shrinkToFit="1"/>
    </xf>
    <xf numFmtId="165" fontId="36" fillId="4" borderId="32" xfId="6" applyNumberFormat="1" applyFont="1" applyFill="1" applyBorder="1" applyAlignment="1">
      <alignment vertical="center" shrinkToFit="1"/>
    </xf>
    <xf numFmtId="167" fontId="5" fillId="0" borderId="0" xfId="0" applyNumberFormat="1" applyFont="1"/>
    <xf numFmtId="37" fontId="8" fillId="0" borderId="0" xfId="6" quotePrefix="1" applyFont="1" applyAlignment="1">
      <alignment horizontal="left"/>
    </xf>
    <xf numFmtId="37" fontId="8" fillId="0" borderId="0" xfId="6" applyFont="1" applyAlignment="1">
      <alignment horizontal="left"/>
    </xf>
    <xf numFmtId="37" fontId="36" fillId="0" borderId="0" xfId="6" quotePrefix="1" applyFont="1" applyAlignment="1">
      <alignment horizontal="left"/>
    </xf>
    <xf numFmtId="164" fontId="38" fillId="4" borderId="0" xfId="1" applyNumberFormat="1" applyFont="1" applyFill="1" applyBorder="1" applyAlignment="1" applyProtection="1">
      <alignment shrinkToFit="1"/>
    </xf>
    <xf numFmtId="9" fontId="8" fillId="0" borderId="0" xfId="6" applyNumberFormat="1" applyFont="1" applyAlignment="1">
      <alignment horizontal="center"/>
    </xf>
    <xf numFmtId="164" fontId="32" fillId="4" borderId="0" xfId="1" applyNumberFormat="1" applyFont="1" applyFill="1" applyBorder="1" applyAlignment="1" applyProtection="1">
      <alignment shrinkToFit="1"/>
      <protection locked="0"/>
    </xf>
    <xf numFmtId="9" fontId="32" fillId="0" borderId="0" xfId="6" applyNumberFormat="1" applyFont="1" applyAlignment="1" applyProtection="1">
      <alignment horizontal="center"/>
      <protection locked="0"/>
    </xf>
    <xf numFmtId="164" fontId="8" fillId="0" borderId="0" xfId="1" applyNumberFormat="1" applyFont="1" applyProtection="1"/>
    <xf numFmtId="164" fontId="8" fillId="0" borderId="15" xfId="1" applyNumberFormat="1" applyFont="1" applyBorder="1" applyProtection="1"/>
    <xf numFmtId="176" fontId="8" fillId="0" borderId="0" xfId="6" applyNumberFormat="1" applyFont="1" applyAlignment="1">
      <alignment vertical="center"/>
    </xf>
    <xf numFmtId="165" fontId="36" fillId="4" borderId="13" xfId="6" applyNumberFormat="1" applyFont="1" applyFill="1" applyBorder="1" applyAlignment="1">
      <alignment vertical="center" shrinkToFit="1"/>
    </xf>
    <xf numFmtId="165" fontId="36" fillId="4" borderId="33" xfId="6" applyNumberFormat="1" applyFont="1" applyFill="1" applyBorder="1" applyAlignment="1">
      <alignment vertical="center" shrinkToFit="1"/>
    </xf>
    <xf numFmtId="175" fontId="34" fillId="0" borderId="0" xfId="6" applyNumberFormat="1" applyFont="1" applyAlignment="1">
      <alignment horizontal="center" shrinkToFit="1"/>
    </xf>
    <xf numFmtId="39" fontId="49" fillId="0" borderId="0" xfId="6" applyNumberFormat="1" applyFont="1"/>
    <xf numFmtId="39" fontId="50" fillId="0" borderId="0" xfId="6" applyNumberFormat="1" applyFont="1" applyAlignment="1">
      <alignment shrinkToFit="1"/>
    </xf>
    <xf numFmtId="39" fontId="49" fillId="0" borderId="0" xfId="6" applyNumberFormat="1" applyFont="1" applyAlignment="1">
      <alignment shrinkToFit="1"/>
    </xf>
    <xf numFmtId="37" fontId="47" fillId="0" borderId="0" xfId="6" applyFont="1" applyAlignment="1">
      <alignment shrinkToFit="1"/>
    </xf>
    <xf numFmtId="39" fontId="50" fillId="0" borderId="0" xfId="6" applyNumberFormat="1" applyFont="1"/>
    <xf numFmtId="37" fontId="36" fillId="0" borderId="17" xfId="6" applyFont="1" applyBorder="1"/>
    <xf numFmtId="37" fontId="36" fillId="0" borderId="6" xfId="6" applyFont="1" applyBorder="1"/>
    <xf numFmtId="37" fontId="51" fillId="0" borderId="6" xfId="6" applyFont="1" applyBorder="1"/>
    <xf numFmtId="39" fontId="36" fillId="0" borderId="6" xfId="6" applyNumberFormat="1" applyFont="1" applyBorder="1" applyAlignment="1">
      <alignment shrinkToFit="1"/>
    </xf>
    <xf numFmtId="0" fontId="8" fillId="0" borderId="3" xfId="18" applyFont="1" applyBorder="1" applyAlignment="1">
      <alignment horizontal="left" vertical="top"/>
    </xf>
    <xf numFmtId="0" fontId="23" fillId="0" borderId="0" xfId="18" applyAlignment="1">
      <alignment horizontal="left" vertical="top"/>
    </xf>
    <xf numFmtId="0" fontId="53" fillId="0" borderId="0" xfId="18" applyFont="1" applyAlignment="1">
      <alignment horizontal="center" vertical="center" wrapText="1"/>
    </xf>
    <xf numFmtId="0" fontId="54" fillId="0" borderId="0" xfId="18" applyFont="1" applyAlignment="1">
      <alignment horizontal="center" vertical="center" wrapText="1"/>
    </xf>
    <xf numFmtId="0" fontId="30" fillId="15" borderId="17" xfId="18" applyFont="1" applyFill="1" applyBorder="1" applyAlignment="1">
      <alignment horizontal="center" vertical="center" wrapText="1"/>
    </xf>
    <xf numFmtId="0" fontId="30" fillId="15" borderId="6" xfId="18" applyFont="1" applyFill="1" applyBorder="1" applyAlignment="1">
      <alignment horizontal="center" vertical="center" wrapText="1"/>
    </xf>
    <xf numFmtId="165" fontId="30" fillId="15" borderId="6" xfId="19" applyNumberFormat="1" applyFont="1" applyFill="1" applyBorder="1" applyAlignment="1">
      <alignment horizontal="center" vertical="top"/>
    </xf>
    <xf numFmtId="165" fontId="30" fillId="15" borderId="38" xfId="19" applyNumberFormat="1" applyFont="1" applyFill="1" applyBorder="1" applyAlignment="1">
      <alignment horizontal="center" vertical="top"/>
    </xf>
    <xf numFmtId="0" fontId="55" fillId="15" borderId="17" xfId="18" applyFont="1" applyFill="1" applyBorder="1" applyAlignment="1">
      <alignment horizontal="center" vertical="center" wrapText="1"/>
    </xf>
    <xf numFmtId="0" fontId="55" fillId="15" borderId="6" xfId="18" applyFont="1" applyFill="1" applyBorder="1" applyAlignment="1">
      <alignment horizontal="center" vertical="center" wrapText="1"/>
    </xf>
    <xf numFmtId="1" fontId="56" fillId="0" borderId="7" xfId="18" applyNumberFormat="1" applyFont="1" applyBorder="1" applyAlignment="1">
      <alignment horizontal="left" vertical="top" shrinkToFit="1"/>
    </xf>
    <xf numFmtId="0" fontId="57" fillId="0" borderId="0" xfId="18" applyFont="1" applyAlignment="1">
      <alignment horizontal="left" vertical="top" wrapText="1"/>
    </xf>
    <xf numFmtId="0" fontId="23" fillId="0" borderId="0" xfId="18" applyAlignment="1">
      <alignment horizontal="center" vertical="center" wrapText="1"/>
    </xf>
    <xf numFmtId="44" fontId="8" fillId="0" borderId="0" xfId="19" applyFont="1" applyFill="1" applyBorder="1" applyAlignment="1">
      <alignment horizontal="center" wrapText="1"/>
    </xf>
    <xf numFmtId="165" fontId="8" fillId="0" borderId="0" xfId="19" applyNumberFormat="1" applyFont="1" applyFill="1" applyBorder="1" applyAlignment="1">
      <alignment horizontal="center" vertical="top"/>
    </xf>
    <xf numFmtId="2" fontId="8" fillId="0" borderId="8" xfId="19" applyNumberFormat="1" applyFont="1" applyFill="1" applyBorder="1" applyAlignment="1">
      <alignment horizontal="center" vertical="top"/>
    </xf>
    <xf numFmtId="1" fontId="56" fillId="0" borderId="9" xfId="18" applyNumberFormat="1" applyFont="1" applyBorder="1" applyAlignment="1">
      <alignment horizontal="left" vertical="top" shrinkToFit="1"/>
    </xf>
    <xf numFmtId="0" fontId="57" fillId="0" borderId="3" xfId="18" applyFont="1" applyBorder="1" applyAlignment="1">
      <alignment horizontal="left" vertical="top" wrapText="1"/>
    </xf>
    <xf numFmtId="0" fontId="23" fillId="0" borderId="3" xfId="18" applyBorder="1" applyAlignment="1">
      <alignment horizontal="center" vertical="center" wrapText="1"/>
    </xf>
    <xf numFmtId="44" fontId="8" fillId="0" borderId="3" xfId="19" applyFont="1" applyFill="1" applyBorder="1" applyAlignment="1">
      <alignment horizontal="center" wrapText="1"/>
    </xf>
    <xf numFmtId="165" fontId="8" fillId="0" borderId="3" xfId="19" applyNumberFormat="1" applyFont="1" applyFill="1" applyBorder="1" applyAlignment="1">
      <alignment horizontal="center" vertical="top"/>
    </xf>
    <xf numFmtId="2" fontId="8" fillId="0" borderId="10" xfId="19" applyNumberFormat="1" applyFont="1" applyFill="1" applyBorder="1" applyAlignment="1">
      <alignment horizontal="center" vertical="top"/>
    </xf>
    <xf numFmtId="1" fontId="56" fillId="0" borderId="0" xfId="18" applyNumberFormat="1" applyFont="1" applyAlignment="1">
      <alignment horizontal="left" vertical="top" shrinkToFit="1"/>
    </xf>
    <xf numFmtId="0" fontId="23" fillId="0" borderId="0" xfId="18" applyAlignment="1">
      <alignment horizontal="center" wrapText="1"/>
    </xf>
    <xf numFmtId="2" fontId="8" fillId="0" borderId="0" xfId="19" applyNumberFormat="1" applyFont="1" applyFill="1" applyBorder="1" applyAlignment="1">
      <alignment horizontal="center" vertical="top"/>
    </xf>
    <xf numFmtId="1" fontId="56" fillId="0" borderId="3" xfId="18" applyNumberFormat="1" applyFont="1" applyBorder="1" applyAlignment="1">
      <alignment horizontal="left" vertical="top" shrinkToFit="1"/>
    </xf>
    <xf numFmtId="0" fontId="42" fillId="3" borderId="0" xfId="18" applyFont="1" applyFill="1" applyAlignment="1">
      <alignment horizontal="left" wrapText="1"/>
    </xf>
    <xf numFmtId="0" fontId="55" fillId="3" borderId="0" xfId="18" applyFont="1" applyFill="1" applyAlignment="1">
      <alignment horizontal="center" vertical="center" wrapText="1"/>
    </xf>
    <xf numFmtId="0" fontId="42" fillId="3" borderId="0" xfId="18" applyFont="1" applyFill="1" applyAlignment="1">
      <alignment horizontal="center" vertical="center" wrapText="1"/>
    </xf>
    <xf numFmtId="0" fontId="42" fillId="3" borderId="0" xfId="18" applyFont="1" applyFill="1" applyAlignment="1">
      <alignment horizontal="center" wrapText="1"/>
    </xf>
    <xf numFmtId="0" fontId="56" fillId="0" borderId="0" xfId="18" applyFont="1" applyAlignment="1">
      <alignment horizontal="left" vertical="top"/>
    </xf>
    <xf numFmtId="0" fontId="57" fillId="0" borderId="0" xfId="18" applyFont="1" applyAlignment="1">
      <alignment horizontal="left" vertical="top"/>
    </xf>
    <xf numFmtId="0" fontId="57" fillId="0" borderId="0" xfId="18" applyFont="1"/>
    <xf numFmtId="44" fontId="8" fillId="0" borderId="0" xfId="19" applyFont="1" applyBorder="1" applyAlignment="1">
      <alignment horizontal="center" vertical="top"/>
    </xf>
    <xf numFmtId="0" fontId="57" fillId="0" borderId="3" xfId="18" applyFont="1" applyBorder="1" applyAlignment="1">
      <alignment horizontal="left" vertical="top"/>
    </xf>
    <xf numFmtId="0" fontId="57" fillId="0" borderId="3" xfId="18" applyFont="1" applyBorder="1"/>
    <xf numFmtId="44" fontId="8" fillId="0" borderId="3" xfId="19" applyFont="1" applyBorder="1" applyAlignment="1">
      <alignment horizontal="center" vertical="top"/>
    </xf>
    <xf numFmtId="8" fontId="23" fillId="0" borderId="0" xfId="18" applyNumberFormat="1" applyAlignment="1">
      <alignment horizontal="center" wrapText="1"/>
    </xf>
    <xf numFmtId="0" fontId="58" fillId="0" borderId="17" xfId="18" applyFont="1" applyBorder="1" applyAlignment="1">
      <alignment horizontal="center" vertical="center"/>
    </xf>
    <xf numFmtId="44" fontId="36" fillId="0" borderId="6" xfId="19" applyFont="1" applyFill="1" applyBorder="1" applyAlignment="1">
      <alignment horizontal="center" vertical="top"/>
    </xf>
    <xf numFmtId="165" fontId="36" fillId="0" borderId="38" xfId="19" applyNumberFormat="1" applyFont="1" applyFill="1" applyBorder="1" applyAlignment="1">
      <alignment horizontal="center" vertical="top"/>
    </xf>
    <xf numFmtId="8" fontId="23" fillId="0" borderId="0" xfId="18" applyNumberFormat="1" applyAlignment="1">
      <alignment horizontal="left" vertical="top"/>
    </xf>
    <xf numFmtId="0" fontId="45" fillId="0" borderId="3" xfId="15" applyFont="1" applyBorder="1"/>
    <xf numFmtId="0" fontId="28" fillId="0" borderId="3" xfId="15" applyFont="1" applyBorder="1"/>
    <xf numFmtId="49" fontId="30" fillId="15" borderId="17" xfId="0" applyNumberFormat="1" applyFont="1" applyFill="1" applyBorder="1" applyAlignment="1">
      <alignment horizontal="left"/>
    </xf>
    <xf numFmtId="17" fontId="30" fillId="15" borderId="6" xfId="17" applyNumberFormat="1" applyFont="1" applyFill="1" applyBorder="1" applyAlignment="1">
      <alignment horizontal="center"/>
    </xf>
    <xf numFmtId="42" fontId="55" fillId="15" borderId="6" xfId="15" applyNumberFormat="1" applyFont="1" applyFill="1" applyBorder="1" applyAlignment="1">
      <alignment horizontal="center"/>
    </xf>
    <xf numFmtId="42" fontId="55" fillId="15" borderId="38" xfId="15" applyNumberFormat="1" applyFont="1" applyFill="1" applyBorder="1" applyAlignment="1">
      <alignment horizontal="center"/>
    </xf>
    <xf numFmtId="42" fontId="53" fillId="0" borderId="0" xfId="15" applyNumberFormat="1" applyFont="1" applyAlignment="1">
      <alignment horizontal="center"/>
    </xf>
    <xf numFmtId="17" fontId="30" fillId="0" borderId="0" xfId="17" applyNumberFormat="1" applyFont="1" applyAlignment="1">
      <alignment horizontal="center"/>
    </xf>
    <xf numFmtId="41" fontId="60" fillId="0" borderId="0" xfId="15" applyNumberFormat="1" applyFont="1" applyAlignment="1" applyProtection="1">
      <alignment horizontal="center"/>
      <protection locked="0"/>
    </xf>
    <xf numFmtId="42" fontId="53" fillId="15" borderId="6" xfId="15" applyNumberFormat="1" applyFont="1" applyFill="1" applyBorder="1" applyAlignment="1">
      <alignment horizontal="center"/>
    </xf>
    <xf numFmtId="41" fontId="60" fillId="0" borderId="43" xfId="15" applyNumberFormat="1" applyFont="1" applyBorder="1" applyAlignment="1" applyProtection="1">
      <alignment horizontal="center"/>
      <protection locked="0"/>
    </xf>
    <xf numFmtId="0" fontId="60" fillId="0" borderId="0" xfId="15" applyFont="1" applyAlignment="1">
      <alignment horizontal="left" indent="2"/>
    </xf>
    <xf numFmtId="41" fontId="61" fillId="13" borderId="0" xfId="15" applyNumberFormat="1" applyFont="1" applyFill="1" applyAlignment="1" applyProtection="1">
      <alignment horizontal="center"/>
      <protection locked="0"/>
    </xf>
    <xf numFmtId="42" fontId="53" fillId="0" borderId="7" xfId="15" applyNumberFormat="1" applyFont="1" applyBorder="1"/>
    <xf numFmtId="41" fontId="60" fillId="0" borderId="15" xfId="15" applyNumberFormat="1" applyFont="1" applyBorder="1" applyAlignment="1" applyProtection="1">
      <alignment horizontal="center"/>
      <protection locked="0"/>
    </xf>
    <xf numFmtId="0" fontId="53" fillId="12" borderId="3" xfId="15" applyFont="1" applyFill="1" applyBorder="1"/>
    <xf numFmtId="42" fontId="53" fillId="12" borderId="3" xfId="15" applyNumberFormat="1" applyFont="1" applyFill="1" applyBorder="1" applyAlignment="1">
      <alignment horizontal="center"/>
    </xf>
    <xf numFmtId="42" fontId="53" fillId="12" borderId="10" xfId="15" applyNumberFormat="1" applyFont="1" applyFill="1" applyBorder="1" applyAlignment="1">
      <alignment horizontal="center"/>
    </xf>
    <xf numFmtId="42" fontId="53" fillId="12" borderId="16" xfId="15" applyNumberFormat="1" applyFont="1" applyFill="1" applyBorder="1" applyAlignment="1">
      <alignment horizontal="center"/>
    </xf>
    <xf numFmtId="41" fontId="60" fillId="0" borderId="39" xfId="15" applyNumberFormat="1" applyFont="1" applyBorder="1" applyAlignment="1" applyProtection="1">
      <alignment horizontal="center"/>
      <protection locked="0"/>
    </xf>
    <xf numFmtId="0" fontId="53" fillId="0" borderId="0" xfId="15" applyFont="1"/>
    <xf numFmtId="0" fontId="8" fillId="0" borderId="0" xfId="0" applyFont="1" applyProtection="1">
      <protection locked="0"/>
    </xf>
    <xf numFmtId="41" fontId="60" fillId="0" borderId="12" xfId="15" applyNumberFormat="1" applyFont="1" applyBorder="1" applyAlignment="1" applyProtection="1">
      <alignment horizontal="center"/>
      <protection locked="0"/>
    </xf>
    <xf numFmtId="0" fontId="8" fillId="0" borderId="0" xfId="15" applyFont="1"/>
    <xf numFmtId="42" fontId="53" fillId="0" borderId="15" xfId="15" applyNumberFormat="1" applyFont="1" applyBorder="1"/>
    <xf numFmtId="41" fontId="60" fillId="0" borderId="8" xfId="15" applyNumberFormat="1" applyFont="1" applyBorder="1" applyAlignment="1" applyProtection="1">
      <alignment horizontal="center"/>
      <protection locked="0"/>
    </xf>
    <xf numFmtId="41" fontId="60" fillId="0" borderId="10" xfId="15" applyNumberFormat="1" applyFont="1" applyBorder="1" applyAlignment="1" applyProtection="1">
      <alignment horizontal="center"/>
      <protection locked="0"/>
    </xf>
    <xf numFmtId="0" fontId="36" fillId="0" borderId="0" xfId="7" applyFont="1"/>
    <xf numFmtId="0" fontId="8" fillId="0" borderId="0" xfId="15" applyFont="1" applyAlignment="1">
      <alignment wrapText="1"/>
    </xf>
    <xf numFmtId="0" fontId="30" fillId="0" borderId="0" xfId="7" applyFont="1" applyAlignment="1">
      <alignment horizontal="left"/>
    </xf>
    <xf numFmtId="0" fontId="8" fillId="0" borderId="0" xfId="7" applyFont="1"/>
    <xf numFmtId="41" fontId="60" fillId="0" borderId="14" xfId="15" applyNumberFormat="1" applyFont="1" applyBorder="1" applyAlignment="1" applyProtection="1">
      <alignment horizontal="center"/>
      <protection locked="0"/>
    </xf>
    <xf numFmtId="41" fontId="60" fillId="0" borderId="16" xfId="15" applyNumberFormat="1" applyFont="1" applyBorder="1" applyAlignment="1" applyProtection="1">
      <alignment horizontal="center"/>
      <protection locked="0"/>
    </xf>
    <xf numFmtId="167" fontId="53" fillId="5" borderId="3" xfId="15" applyNumberFormat="1" applyFont="1" applyFill="1" applyBorder="1"/>
    <xf numFmtId="42" fontId="53" fillId="5" borderId="32" xfId="15" applyNumberFormat="1" applyFont="1" applyFill="1" applyBorder="1" applyAlignment="1">
      <alignment horizontal="center"/>
    </xf>
    <xf numFmtId="41" fontId="60" fillId="5" borderId="32" xfId="15" applyNumberFormat="1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30" fillId="15" borderId="1" xfId="0" applyFont="1" applyFill="1" applyBorder="1" applyAlignment="1">
      <alignment horizontal="center" vertical="center"/>
    </xf>
    <xf numFmtId="49" fontId="5" fillId="15" borderId="1" xfId="0" applyNumberFormat="1" applyFont="1" applyFill="1" applyBorder="1" applyAlignment="1">
      <alignment horizontal="left" vertical="center" wrapText="1"/>
    </xf>
    <xf numFmtId="17" fontId="30" fillId="15" borderId="35" xfId="1" applyNumberFormat="1" applyFont="1" applyFill="1" applyBorder="1" applyAlignment="1" applyProtection="1">
      <alignment horizontal="center" vertical="center" wrapText="1"/>
    </xf>
    <xf numFmtId="49" fontId="5" fillId="15" borderId="42" xfId="0" applyNumberFormat="1" applyFont="1" applyFill="1" applyBorder="1" applyAlignment="1">
      <alignment horizontal="left" vertical="center" wrapText="1"/>
    </xf>
    <xf numFmtId="17" fontId="30" fillId="15" borderId="1" xfId="1" applyNumberFormat="1" applyFont="1" applyFill="1" applyBorder="1" applyAlignment="1" applyProtection="1">
      <alignment horizontal="center" vertical="center" wrapText="1"/>
    </xf>
    <xf numFmtId="0" fontId="5" fillId="0" borderId="0" xfId="0" applyFont="1" applyAlignment="1">
      <alignment horizontal="center"/>
    </xf>
    <xf numFmtId="49" fontId="7" fillId="0" borderId="0" xfId="0" applyNumberFormat="1" applyFont="1" applyAlignment="1">
      <alignment horizontal="left"/>
    </xf>
    <xf numFmtId="0" fontId="5" fillId="0" borderId="7" xfId="0" applyFont="1" applyBorder="1"/>
    <xf numFmtId="49" fontId="7" fillId="0" borderId="7" xfId="0" applyNumberFormat="1" applyFont="1" applyBorder="1" applyAlignment="1">
      <alignment horizontal="left"/>
    </xf>
    <xf numFmtId="49" fontId="5" fillId="0" borderId="0" xfId="0" applyNumberFormat="1" applyFont="1" applyAlignment="1">
      <alignment horizontal="left"/>
    </xf>
    <xf numFmtId="164" fontId="7" fillId="0" borderId="15" xfId="1" applyNumberFormat="1" applyFont="1" applyFill="1" applyBorder="1" applyAlignment="1" applyProtection="1">
      <alignment horizontal="right"/>
    </xf>
    <xf numFmtId="164" fontId="5" fillId="0" borderId="0" xfId="1" applyNumberFormat="1" applyFont="1" applyFill="1" applyAlignment="1" applyProtection="1">
      <alignment horizontal="right"/>
    </xf>
    <xf numFmtId="0" fontId="5" fillId="0" borderId="0" xfId="0" applyFont="1" applyAlignment="1">
      <alignment horizontal="left"/>
    </xf>
    <xf numFmtId="0" fontId="33" fillId="0" borderId="0" xfId="0" applyFont="1"/>
    <xf numFmtId="164" fontId="7" fillId="0" borderId="16" xfId="1" applyNumberFormat="1" applyFont="1" applyFill="1" applyBorder="1" applyAlignment="1" applyProtection="1">
      <alignment horizontal="right"/>
    </xf>
    <xf numFmtId="164" fontId="5" fillId="0" borderId="3" xfId="1" applyNumberFormat="1" applyFont="1" applyFill="1" applyBorder="1" applyAlignment="1" applyProtection="1">
      <alignment horizontal="right"/>
    </xf>
    <xf numFmtId="164" fontId="5" fillId="0" borderId="16" xfId="1" applyNumberFormat="1" applyFont="1" applyFill="1" applyBorder="1" applyAlignment="1" applyProtection="1">
      <alignment horizontal="right"/>
    </xf>
    <xf numFmtId="167" fontId="8" fillId="0" borderId="0" xfId="0" applyNumberFormat="1" applyFont="1"/>
    <xf numFmtId="49" fontId="8" fillId="0" borderId="0" xfId="0" applyNumberFormat="1" applyFont="1" applyAlignment="1">
      <alignment horizontal="left"/>
    </xf>
    <xf numFmtId="164" fontId="8" fillId="0" borderId="15" xfId="1" applyNumberFormat="1" applyFont="1" applyFill="1" applyBorder="1" applyAlignment="1" applyProtection="1">
      <alignment horizontal="right"/>
    </xf>
    <xf numFmtId="164" fontId="8" fillId="0" borderId="0" xfId="1" applyNumberFormat="1" applyFont="1" applyFill="1" applyBorder="1" applyAlignment="1" applyProtection="1">
      <alignment horizontal="right"/>
    </xf>
    <xf numFmtId="164" fontId="7" fillId="0" borderId="0" xfId="1" applyNumberFormat="1" applyFont="1" applyFill="1" applyAlignment="1" applyProtection="1">
      <alignment horizontal="right"/>
    </xf>
    <xf numFmtId="164" fontId="5" fillId="0" borderId="15" xfId="1" applyNumberFormat="1" applyFont="1" applyBorder="1" applyProtection="1"/>
    <xf numFmtId="164" fontId="5" fillId="0" borderId="0" xfId="1" applyNumberFormat="1" applyFont="1" applyProtection="1"/>
    <xf numFmtId="164" fontId="5" fillId="0" borderId="15" xfId="1" applyNumberFormat="1" applyFont="1" applyFill="1" applyBorder="1" applyProtection="1"/>
    <xf numFmtId="164" fontId="5" fillId="0" borderId="0" xfId="1" applyNumberFormat="1" applyFont="1" applyFill="1" applyProtection="1"/>
    <xf numFmtId="0" fontId="8" fillId="0" borderId="0" xfId="0" applyFont="1" applyAlignment="1">
      <alignment wrapText="1"/>
    </xf>
    <xf numFmtId="0" fontId="8" fillId="4" borderId="0" xfId="0" applyFont="1" applyFill="1" applyAlignment="1">
      <alignment wrapText="1"/>
    </xf>
    <xf numFmtId="44" fontId="8" fillId="4" borderId="0" xfId="0" applyNumberFormat="1" applyFont="1" applyFill="1" applyAlignment="1">
      <alignment wrapText="1"/>
    </xf>
    <xf numFmtId="6" fontId="8" fillId="0" borderId="0" xfId="0" applyNumberFormat="1" applyFont="1"/>
    <xf numFmtId="6" fontId="8" fillId="0" borderId="0" xfId="0" applyNumberFormat="1" applyFont="1" applyAlignment="1">
      <alignment horizontal="center"/>
    </xf>
    <xf numFmtId="0" fontId="8" fillId="0" borderId="0" xfId="0" applyFont="1" applyAlignment="1" applyProtection="1">
      <alignment wrapText="1"/>
      <protection locked="0"/>
    </xf>
    <xf numFmtId="9" fontId="8" fillId="4" borderId="0" xfId="4" applyFont="1" applyFill="1" applyAlignment="1" applyProtection="1">
      <alignment wrapText="1"/>
    </xf>
    <xf numFmtId="9" fontId="8" fillId="0" borderId="0" xfId="4" applyFont="1" applyFill="1" applyAlignment="1" applyProtection="1">
      <alignment wrapText="1"/>
    </xf>
    <xf numFmtId="44" fontId="8" fillId="0" borderId="0" xfId="0" applyNumberFormat="1" applyFont="1" applyAlignment="1">
      <alignment horizontal="center"/>
    </xf>
    <xf numFmtId="164" fontId="7" fillId="0" borderId="0" xfId="1" applyNumberFormat="1" applyFont="1" applyFill="1" applyBorder="1" applyAlignment="1" applyProtection="1">
      <alignment horizontal="right"/>
    </xf>
    <xf numFmtId="164" fontId="5" fillId="0" borderId="16" xfId="1" applyNumberFormat="1" applyFont="1" applyFill="1" applyBorder="1" applyProtection="1"/>
    <xf numFmtId="164" fontId="5" fillId="0" borderId="3" xfId="1" applyNumberFormat="1" applyFont="1" applyFill="1" applyBorder="1" applyProtection="1"/>
    <xf numFmtId="164" fontId="8" fillId="0" borderId="15" xfId="1" applyNumberFormat="1" applyFont="1" applyBorder="1" applyAlignment="1" applyProtection="1">
      <alignment horizontal="right"/>
    </xf>
    <xf numFmtId="164" fontId="8" fillId="0" borderId="0" xfId="1" applyNumberFormat="1" applyFont="1" applyBorder="1" applyAlignment="1" applyProtection="1">
      <alignment horizontal="right"/>
    </xf>
    <xf numFmtId="44" fontId="5" fillId="0" borderId="0" xfId="0" applyNumberFormat="1" applyFont="1"/>
    <xf numFmtId="44" fontId="8" fillId="0" borderId="0" xfId="0" applyNumberFormat="1" applyFont="1"/>
    <xf numFmtId="49" fontId="36" fillId="0" borderId="0" xfId="0" applyNumberFormat="1" applyFont="1" applyAlignment="1">
      <alignment horizontal="left"/>
    </xf>
    <xf numFmtId="164" fontId="8" fillId="0" borderId="0" xfId="1" applyNumberFormat="1" applyFont="1" applyFill="1" applyAlignment="1" applyProtection="1">
      <alignment horizontal="right"/>
    </xf>
    <xf numFmtId="164" fontId="8" fillId="0" borderId="16" xfId="1" applyNumberFormat="1" applyFont="1" applyFill="1" applyBorder="1" applyAlignment="1" applyProtection="1">
      <alignment horizontal="right"/>
    </xf>
    <xf numFmtId="164" fontId="8" fillId="0" borderId="3" xfId="1" applyNumberFormat="1" applyFont="1" applyFill="1" applyBorder="1" applyAlignment="1" applyProtection="1">
      <alignment horizontal="right"/>
    </xf>
    <xf numFmtId="0" fontId="8" fillId="0" borderId="0" xfId="6" quotePrefix="1" applyNumberFormat="1" applyFont="1" applyAlignment="1">
      <alignment horizontal="left"/>
    </xf>
    <xf numFmtId="164" fontId="5" fillId="0" borderId="15" xfId="1" applyNumberFormat="1" applyFont="1" applyFill="1" applyBorder="1" applyAlignment="1" applyProtection="1">
      <alignment horizontal="right"/>
    </xf>
    <xf numFmtId="49" fontId="7" fillId="0" borderId="15" xfId="0" applyNumberFormat="1" applyFont="1" applyBorder="1" applyAlignment="1">
      <alignment horizontal="left"/>
    </xf>
    <xf numFmtId="0" fontId="40" fillId="0" borderId="0" xfId="0" applyFont="1"/>
    <xf numFmtId="0" fontId="7" fillId="0" borderId="0" xfId="0" applyFont="1" applyAlignment="1">
      <alignment horizontal="left"/>
    </xf>
    <xf numFmtId="164" fontId="5" fillId="0" borderId="0" xfId="1" applyNumberFormat="1" applyFont="1" applyFill="1" applyBorder="1" applyAlignment="1" applyProtection="1">
      <alignment horizontal="right"/>
    </xf>
    <xf numFmtId="10" fontId="5" fillId="0" borderId="0" xfId="0" applyNumberFormat="1" applyFont="1"/>
    <xf numFmtId="49" fontId="5" fillId="0" borderId="16" xfId="0" applyNumberFormat="1" applyFont="1" applyBorder="1" applyAlignment="1">
      <alignment horizontal="left"/>
    </xf>
    <xf numFmtId="49" fontId="5" fillId="0" borderId="3" xfId="0" applyNumberFormat="1" applyFont="1" applyBorder="1" applyAlignment="1">
      <alignment horizontal="left"/>
    </xf>
    <xf numFmtId="49" fontId="7" fillId="0" borderId="16" xfId="0" applyNumberFormat="1" applyFont="1" applyBorder="1" applyAlignment="1">
      <alignment horizontal="left"/>
    </xf>
    <xf numFmtId="49" fontId="7" fillId="0" borderId="3" xfId="0" applyNumberFormat="1" applyFont="1" applyBorder="1" applyAlignment="1">
      <alignment horizontal="left"/>
    </xf>
    <xf numFmtId="164" fontId="7" fillId="5" borderId="33" xfId="1" applyNumberFormat="1" applyFont="1" applyFill="1" applyBorder="1" applyAlignment="1" applyProtection="1">
      <alignment horizontal="right"/>
    </xf>
    <xf numFmtId="164" fontId="7" fillId="5" borderId="13" xfId="1" applyNumberFormat="1" applyFont="1" applyFill="1" applyBorder="1" applyAlignment="1" applyProtection="1">
      <alignment horizontal="right"/>
    </xf>
    <xf numFmtId="164" fontId="7" fillId="0" borderId="33" xfId="1" applyNumberFormat="1" applyFont="1" applyFill="1" applyBorder="1" applyAlignment="1" applyProtection="1">
      <alignment horizontal="right"/>
    </xf>
    <xf numFmtId="164" fontId="5" fillId="0" borderId="0" xfId="1" applyNumberFormat="1" applyFont="1" applyFill="1" applyBorder="1" applyProtection="1"/>
    <xf numFmtId="0" fontId="43" fillId="0" borderId="0" xfId="0" applyFont="1"/>
    <xf numFmtId="0" fontId="36" fillId="0" borderId="0" xfId="0" applyFont="1"/>
    <xf numFmtId="164" fontId="62" fillId="0" borderId="0" xfId="1" applyNumberFormat="1" applyFont="1" applyFill="1" applyAlignment="1" applyProtection="1">
      <alignment horizontal="right"/>
    </xf>
    <xf numFmtId="164" fontId="7" fillId="0" borderId="0" xfId="1" applyNumberFormat="1" applyFont="1" applyBorder="1" applyAlignment="1" applyProtection="1">
      <alignment horizontal="center"/>
    </xf>
    <xf numFmtId="170" fontId="7" fillId="0" borderId="0" xfId="0" applyNumberFormat="1" applyFont="1" applyAlignment="1">
      <alignment horizontal="center"/>
    </xf>
    <xf numFmtId="37" fontId="5" fillId="0" borderId="0" xfId="0" applyNumberFormat="1" applyFont="1" applyAlignment="1">
      <alignment horizontal="center"/>
    </xf>
    <xf numFmtId="37" fontId="5" fillId="0" borderId="0" xfId="1" applyNumberFormat="1" applyFont="1" applyFill="1" applyBorder="1" applyAlignment="1" applyProtection="1">
      <alignment horizontal="center"/>
    </xf>
    <xf numFmtId="0" fontId="5" fillId="0" borderId="0" xfId="0" applyFont="1" applyAlignment="1">
      <alignment horizontal="left" indent="1"/>
    </xf>
    <xf numFmtId="49" fontId="5" fillId="0" borderId="0" xfId="0" applyNumberFormat="1" applyFont="1"/>
    <xf numFmtId="37" fontId="7" fillId="0" borderId="0" xfId="0" applyNumberFormat="1" applyFont="1" applyAlignment="1">
      <alignment horizontal="center"/>
    </xf>
    <xf numFmtId="37" fontId="8" fillId="0" borderId="0" xfId="0" applyNumberFormat="1" applyFont="1" applyAlignment="1">
      <alignment horizontal="center"/>
    </xf>
    <xf numFmtId="37" fontId="8" fillId="0" borderId="0" xfId="1" applyNumberFormat="1" applyFont="1" applyFill="1" applyBorder="1" applyAlignment="1" applyProtection="1">
      <alignment horizontal="center"/>
    </xf>
    <xf numFmtId="164" fontId="8" fillId="0" borderId="0" xfId="1" applyNumberFormat="1" applyFont="1" applyBorder="1" applyProtection="1"/>
    <xf numFmtId="0" fontId="37" fillId="0" borderId="0" xfId="0" applyFont="1"/>
    <xf numFmtId="41" fontId="32" fillId="0" borderId="0" xfId="0" applyNumberFormat="1" applyFont="1" applyAlignment="1" applyProtection="1">
      <alignment horizontal="left"/>
      <protection locked="0"/>
    </xf>
    <xf numFmtId="165" fontId="32" fillId="0" borderId="0" xfId="2" applyNumberFormat="1" applyFont="1" applyFill="1" applyBorder="1" applyAlignment="1" applyProtection="1">
      <alignment horizontal="center"/>
      <protection locked="0"/>
    </xf>
    <xf numFmtId="165" fontId="8" fillId="4" borderId="0" xfId="2" applyNumberFormat="1" applyFont="1" applyFill="1" applyBorder="1" applyAlignment="1" applyProtection="1">
      <alignment horizontal="center"/>
      <protection hidden="1"/>
    </xf>
    <xf numFmtId="44" fontId="8" fillId="4" borderId="0" xfId="0" applyNumberFormat="1" applyFont="1" applyFill="1" applyProtection="1">
      <protection hidden="1"/>
    </xf>
    <xf numFmtId="164" fontId="8" fillId="4" borderId="0" xfId="1" applyNumberFormat="1" applyFont="1" applyFill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locked="0"/>
    </xf>
    <xf numFmtId="44" fontId="8" fillId="0" borderId="0" xfId="2" applyFont="1" applyBorder="1" applyAlignment="1" applyProtection="1">
      <alignment horizontal="center"/>
      <protection hidden="1"/>
    </xf>
    <xf numFmtId="44" fontId="8" fillId="0" borderId="0" xfId="0" applyNumberFormat="1" applyFont="1" applyProtection="1">
      <protection hidden="1"/>
    </xf>
    <xf numFmtId="164" fontId="8" fillId="0" borderId="0" xfId="1" applyNumberFormat="1" applyFont="1" applyBorder="1" applyAlignment="1" applyProtection="1">
      <alignment horizontal="center"/>
      <protection hidden="1"/>
    </xf>
    <xf numFmtId="0" fontId="8" fillId="0" borderId="19" xfId="0" applyFont="1" applyBorder="1" applyAlignment="1">
      <alignment horizontal="center"/>
    </xf>
    <xf numFmtId="3" fontId="36" fillId="0" borderId="19" xfId="0" applyNumberFormat="1" applyFont="1" applyBorder="1" applyAlignment="1">
      <alignment horizontal="center"/>
    </xf>
    <xf numFmtId="165" fontId="36" fillId="0" borderId="19" xfId="2" applyNumberFormat="1" applyFont="1" applyBorder="1" applyAlignment="1" applyProtection="1">
      <alignment horizontal="center"/>
    </xf>
    <xf numFmtId="44" fontId="36" fillId="0" borderId="19" xfId="2" applyFont="1" applyBorder="1" applyProtection="1"/>
    <xf numFmtId="37" fontId="36" fillId="0" borderId="19" xfId="1" applyNumberFormat="1" applyFont="1" applyBorder="1" applyAlignment="1" applyProtection="1">
      <alignment horizontal="right" vertical="top"/>
    </xf>
    <xf numFmtId="0" fontId="34" fillId="0" borderId="0" xfId="0" applyFont="1"/>
    <xf numFmtId="0" fontId="8" fillId="0" borderId="3" xfId="0" applyFont="1" applyBorder="1" applyAlignment="1">
      <alignment horizontal="center"/>
    </xf>
    <xf numFmtId="1" fontId="36" fillId="4" borderId="11" xfId="0" applyNumberFormat="1" applyFont="1" applyFill="1" applyBorder="1" applyAlignment="1">
      <alignment horizontal="left"/>
    </xf>
    <xf numFmtId="0" fontId="8" fillId="4" borderId="12" xfId="0" applyFont="1" applyFill="1" applyBorder="1" applyAlignment="1">
      <alignment horizontal="centerContinuous"/>
    </xf>
    <xf numFmtId="0" fontId="8" fillId="0" borderId="0" xfId="0" applyFont="1" applyAlignment="1">
      <alignment horizontal="centerContinuous" shrinkToFit="1"/>
    </xf>
    <xf numFmtId="0" fontId="8" fillId="0" borderId="0" xfId="0" applyFont="1" applyAlignment="1">
      <alignment shrinkToFit="1"/>
    </xf>
    <xf numFmtId="0" fontId="8" fillId="4" borderId="7" xfId="0" applyFont="1" applyFill="1" applyBorder="1"/>
    <xf numFmtId="41" fontId="8" fillId="4" borderId="8" xfId="0" applyNumberFormat="1" applyFont="1" applyFill="1" applyBorder="1"/>
    <xf numFmtId="164" fontId="63" fillId="0" borderId="0" xfId="1" applyNumberFormat="1" applyFont="1" applyFill="1" applyBorder="1" applyAlignment="1" applyProtection="1">
      <alignment shrinkToFit="1"/>
    </xf>
    <xf numFmtId="0" fontId="43" fillId="0" borderId="0" xfId="0" applyFont="1" applyAlignment="1">
      <alignment horizontal="center" shrinkToFit="1"/>
    </xf>
    <xf numFmtId="0" fontId="8" fillId="4" borderId="9" xfId="0" applyFont="1" applyFill="1" applyBorder="1"/>
    <xf numFmtId="41" fontId="8" fillId="4" borderId="10" xfId="0" applyNumberFormat="1" applyFont="1" applyFill="1" applyBorder="1"/>
    <xf numFmtId="1" fontId="36" fillId="0" borderId="0" xfId="0" applyNumberFormat="1" applyFont="1" applyAlignment="1">
      <alignment horizontal="center" shrinkToFit="1"/>
    </xf>
    <xf numFmtId="0" fontId="36" fillId="0" borderId="0" xfId="0" applyFont="1" applyAlignment="1">
      <alignment horizontal="centerContinuous" shrinkToFit="1"/>
    </xf>
    <xf numFmtId="17" fontId="30" fillId="7" borderId="0" xfId="0" applyNumberFormat="1" applyFont="1" applyFill="1" applyAlignment="1">
      <alignment horizontal="center" vertical="top"/>
    </xf>
    <xf numFmtId="0" fontId="36" fillId="0" borderId="0" xfId="0" applyFont="1" applyAlignment="1">
      <alignment horizontal="center"/>
    </xf>
    <xf numFmtId="41" fontId="8" fillId="0" borderId="2" xfId="0" applyNumberFormat="1" applyFont="1" applyBorder="1"/>
    <xf numFmtId="41" fontId="8" fillId="0" borderId="9" xfId="0" applyNumberFormat="1" applyFont="1" applyBorder="1" applyAlignment="1">
      <alignment horizontal="left"/>
    </xf>
    <xf numFmtId="41" fontId="8" fillId="0" borderId="0" xfId="0" applyNumberFormat="1" applyFont="1" applyAlignment="1">
      <alignment horizontal="left"/>
    </xf>
    <xf numFmtId="0" fontId="30" fillId="15" borderId="17" xfId="0" applyFont="1" applyFill="1" applyBorder="1" applyAlignment="1">
      <alignment horizontal="left"/>
    </xf>
    <xf numFmtId="0" fontId="42" fillId="15" borderId="6" xfId="0" applyFont="1" applyFill="1" applyBorder="1" applyAlignment="1">
      <alignment horizontal="left"/>
    </xf>
    <xf numFmtId="17" fontId="30" fillId="15" borderId="6" xfId="1" applyNumberFormat="1" applyFont="1" applyFill="1" applyBorder="1" applyProtection="1"/>
    <xf numFmtId="17" fontId="30" fillId="15" borderId="38" xfId="0" applyNumberFormat="1" applyFont="1" applyFill="1" applyBorder="1" applyAlignment="1">
      <alignment horizontal="center" vertical="top"/>
    </xf>
    <xf numFmtId="17" fontId="30" fillId="0" borderId="0" xfId="0" applyNumberFormat="1" applyFont="1" applyAlignment="1">
      <alignment horizontal="center" vertical="top"/>
    </xf>
    <xf numFmtId="0" fontId="42" fillId="0" borderId="0" xfId="0" applyFont="1" applyAlignment="1">
      <alignment horizontal="left"/>
    </xf>
    <xf numFmtId="41" fontId="32" fillId="0" borderId="0" xfId="0" applyNumberFormat="1" applyFont="1" applyAlignment="1" applyProtection="1">
      <alignment shrinkToFit="1"/>
      <protection locked="0"/>
    </xf>
    <xf numFmtId="37" fontId="36" fillId="4" borderId="14" xfId="0" applyNumberFormat="1" applyFont="1" applyFill="1" applyBorder="1" applyAlignment="1">
      <alignment horizontal="center" shrinkToFit="1"/>
    </xf>
    <xf numFmtId="37" fontId="36" fillId="0" borderId="0" xfId="0" applyNumberFormat="1" applyFont="1" applyAlignment="1">
      <alignment horizontal="center" shrinkToFit="1"/>
    </xf>
    <xf numFmtId="37" fontId="36" fillId="4" borderId="15" xfId="0" applyNumberFormat="1" applyFont="1" applyFill="1" applyBorder="1" applyAlignment="1">
      <alignment horizontal="center" shrinkToFit="1"/>
    </xf>
    <xf numFmtId="0" fontId="36" fillId="0" borderId="0" xfId="0" quotePrefix="1" applyFont="1" applyAlignment="1">
      <alignment horizontal="center"/>
    </xf>
    <xf numFmtId="41" fontId="32" fillId="0" borderId="3" xfId="0" applyNumberFormat="1" applyFont="1" applyBorder="1" applyAlignment="1" applyProtection="1">
      <alignment shrinkToFit="1"/>
      <protection locked="0"/>
    </xf>
    <xf numFmtId="37" fontId="36" fillId="4" borderId="16" xfId="0" applyNumberFormat="1" applyFont="1" applyFill="1" applyBorder="1" applyAlignment="1">
      <alignment horizontal="center" shrinkToFit="1"/>
    </xf>
    <xf numFmtId="177" fontId="8" fillId="0" borderId="0" xfId="1" applyNumberFormat="1" applyFont="1" applyFill="1" applyBorder="1" applyAlignment="1" applyProtection="1">
      <alignment vertical="center" shrinkToFit="1"/>
    </xf>
    <xf numFmtId="177" fontId="36" fillId="0" borderId="0" xfId="1" applyNumberFormat="1" applyFont="1" applyFill="1" applyBorder="1" applyAlignment="1" applyProtection="1">
      <alignment horizontal="center" vertical="center" shrinkToFit="1"/>
    </xf>
    <xf numFmtId="41" fontId="8" fillId="0" borderId="11" xfId="0" applyNumberFormat="1" applyFont="1" applyBorder="1"/>
    <xf numFmtId="41" fontId="32" fillId="0" borderId="2" xfId="0" applyNumberFormat="1" applyFont="1" applyBorder="1" applyAlignment="1" applyProtection="1">
      <alignment shrinkToFit="1"/>
      <protection locked="0"/>
    </xf>
    <xf numFmtId="41" fontId="8" fillId="4" borderId="2" xfId="0" applyNumberFormat="1" applyFont="1" applyFill="1" applyBorder="1" applyAlignment="1">
      <alignment shrinkToFit="1"/>
    </xf>
    <xf numFmtId="37" fontId="36" fillId="4" borderId="14" xfId="0" quotePrefix="1" applyNumberFormat="1" applyFont="1" applyFill="1" applyBorder="1" applyAlignment="1">
      <alignment horizontal="center" shrinkToFit="1"/>
    </xf>
    <xf numFmtId="37" fontId="36" fillId="0" borderId="0" xfId="0" quotePrefix="1" applyNumberFormat="1" applyFont="1" applyAlignment="1">
      <alignment horizontal="center" shrinkToFit="1"/>
    </xf>
    <xf numFmtId="41" fontId="8" fillId="4" borderId="0" xfId="0" applyNumberFormat="1" applyFont="1" applyFill="1" applyAlignment="1">
      <alignment vertical="center" shrinkToFit="1"/>
    </xf>
    <xf numFmtId="41" fontId="8" fillId="4" borderId="0" xfId="0" applyNumberFormat="1" applyFont="1" applyFill="1" applyAlignment="1">
      <alignment shrinkToFit="1"/>
    </xf>
    <xf numFmtId="166" fontId="8" fillId="4" borderId="3" xfId="4" applyNumberFormat="1" applyFont="1" applyFill="1" applyBorder="1" applyAlignment="1" applyProtection="1">
      <alignment shrinkToFit="1"/>
    </xf>
    <xf numFmtId="37" fontId="36" fillId="4" borderId="16" xfId="0" quotePrefix="1" applyNumberFormat="1" applyFont="1" applyFill="1" applyBorder="1" applyAlignment="1">
      <alignment horizontal="center" shrinkToFit="1"/>
    </xf>
    <xf numFmtId="173" fontId="63" fillId="0" borderId="0" xfId="0" applyNumberFormat="1" applyFont="1" applyAlignment="1">
      <alignment shrinkToFit="1"/>
    </xf>
    <xf numFmtId="41" fontId="63" fillId="0" borderId="0" xfId="0" applyNumberFormat="1" applyFont="1" applyAlignment="1">
      <alignment horizontal="left" indent="1"/>
    </xf>
    <xf numFmtId="5" fontId="8" fillId="0" borderId="0" xfId="0" applyNumberFormat="1" applyFont="1" applyAlignment="1">
      <alignment horizontal="center" shrinkToFit="1"/>
    </xf>
    <xf numFmtId="1" fontId="36" fillId="0" borderId="3" xfId="0" applyNumberFormat="1" applyFont="1" applyBorder="1" applyAlignment="1">
      <alignment horizontal="center" shrinkToFit="1"/>
    </xf>
    <xf numFmtId="17" fontId="30" fillId="15" borderId="32" xfId="0" applyNumberFormat="1" applyFont="1" applyFill="1" applyBorder="1" applyAlignment="1">
      <alignment horizontal="center" vertical="top"/>
    </xf>
    <xf numFmtId="49" fontId="42" fillId="15" borderId="32" xfId="0" applyNumberFormat="1" applyFont="1" applyFill="1" applyBorder="1" applyAlignment="1">
      <alignment horizontal="center"/>
    </xf>
    <xf numFmtId="166" fontId="32" fillId="0" borderId="0" xfId="0" applyNumberFormat="1" applyFont="1" applyProtection="1">
      <protection locked="0"/>
    </xf>
    <xf numFmtId="8" fontId="36" fillId="0" borderId="7" xfId="0" applyNumberFormat="1" applyFont="1" applyBorder="1" applyAlignment="1">
      <alignment horizontal="center" shrinkToFit="1"/>
    </xf>
    <xf numFmtId="0" fontId="43" fillId="0" borderId="0" xfId="0" applyFont="1" applyAlignment="1">
      <alignment horizontal="right"/>
    </xf>
    <xf numFmtId="165" fontId="8" fillId="4" borderId="0" xfId="0" applyNumberFormat="1" applyFont="1" applyFill="1"/>
    <xf numFmtId="37" fontId="36" fillId="4" borderId="7" xfId="0" applyNumberFormat="1" applyFont="1" applyFill="1" applyBorder="1" applyAlignment="1">
      <alignment horizontal="center" shrinkToFit="1"/>
    </xf>
    <xf numFmtId="37" fontId="36" fillId="0" borderId="7" xfId="0" applyNumberFormat="1" applyFont="1" applyBorder="1" applyAlignment="1">
      <alignment horizontal="center" shrinkToFi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8" fontId="8" fillId="0" borderId="0" xfId="0" applyNumberFormat="1" applyFont="1"/>
    <xf numFmtId="0" fontId="36" fillId="0" borderId="0" xfId="0" applyFont="1" applyAlignment="1">
      <alignment wrapText="1"/>
    </xf>
    <xf numFmtId="0" fontId="36" fillId="0" borderId="7" xfId="0" applyFont="1" applyBorder="1" applyAlignment="1">
      <alignment horizontal="center" wrapText="1"/>
    </xf>
    <xf numFmtId="0" fontId="40" fillId="0" borderId="0" xfId="0" applyFont="1" applyAlignment="1">
      <alignment horizontal="right" wrapText="1"/>
    </xf>
    <xf numFmtId="0" fontId="8" fillId="0" borderId="7" xfId="0" applyFont="1" applyBorder="1" applyAlignment="1">
      <alignment horizontal="center"/>
    </xf>
    <xf numFmtId="44" fontId="40" fillId="0" borderId="0" xfId="0" applyNumberFormat="1" applyFont="1" applyAlignment="1">
      <alignment horizontal="right" wrapText="1"/>
    </xf>
    <xf numFmtId="165" fontId="32" fillId="0" borderId="3" xfId="1" applyNumberFormat="1" applyFont="1" applyFill="1" applyBorder="1" applyAlignment="1" applyProtection="1">
      <alignment horizontal="center"/>
      <protection locked="0"/>
    </xf>
    <xf numFmtId="165" fontId="40" fillId="4" borderId="0" xfId="1" applyNumberFormat="1" applyFont="1" applyFill="1" applyBorder="1" applyAlignment="1" applyProtection="1">
      <alignment horizontal="center"/>
    </xf>
    <xf numFmtId="44" fontId="8" fillId="0" borderId="7" xfId="0" applyNumberFormat="1" applyFont="1" applyBorder="1" applyAlignment="1">
      <alignment horizontal="center"/>
    </xf>
    <xf numFmtId="164" fontId="8" fillId="4" borderId="17" xfId="1" applyNumberFormat="1" applyFont="1" applyFill="1" applyBorder="1" applyAlignment="1" applyProtection="1">
      <alignment shrinkToFit="1"/>
    </xf>
    <xf numFmtId="164" fontId="8" fillId="4" borderId="6" xfId="1" applyNumberFormat="1" applyFont="1" applyFill="1" applyBorder="1" applyAlignment="1" applyProtection="1">
      <alignment shrinkToFit="1"/>
    </xf>
    <xf numFmtId="44" fontId="8" fillId="4" borderId="32" xfId="0" applyNumberFormat="1" applyFont="1" applyFill="1" applyBorder="1" applyAlignment="1">
      <alignment horizontal="center"/>
    </xf>
    <xf numFmtId="44" fontId="8" fillId="0" borderId="15" xfId="0" applyNumberFormat="1" applyFont="1" applyBorder="1" applyAlignment="1">
      <alignment horizontal="center"/>
    </xf>
    <xf numFmtId="44" fontId="36" fillId="0" borderId="0" xfId="0" applyNumberFormat="1" applyFont="1" applyAlignment="1">
      <alignment horizontal="center"/>
    </xf>
    <xf numFmtId="165" fontId="32" fillId="0" borderId="32" xfId="0" applyNumberFormat="1" applyFont="1" applyBorder="1" applyAlignment="1" applyProtection="1">
      <alignment shrinkToFit="1"/>
      <protection locked="0"/>
    </xf>
    <xf numFmtId="169" fontId="8" fillId="4" borderId="13" xfId="0" applyNumberFormat="1" applyFont="1" applyFill="1" applyBorder="1" applyAlignment="1">
      <alignment shrinkToFit="1"/>
    </xf>
    <xf numFmtId="169" fontId="36" fillId="4" borderId="37" xfId="0" applyNumberFormat="1" applyFont="1" applyFill="1" applyBorder="1" applyAlignment="1">
      <alignment shrinkToFit="1"/>
    </xf>
    <xf numFmtId="169" fontId="36" fillId="0" borderId="7" xfId="0" applyNumberFormat="1" applyFont="1" applyBorder="1" applyAlignment="1">
      <alignment shrinkToFit="1"/>
    </xf>
    <xf numFmtId="169" fontId="8" fillId="0" borderId="0" xfId="0" applyNumberFormat="1" applyFont="1" applyAlignment="1">
      <alignment shrinkToFit="1"/>
    </xf>
    <xf numFmtId="169" fontId="36" fillId="0" borderId="40" xfId="0" applyNumberFormat="1" applyFont="1" applyBorder="1" applyAlignment="1">
      <alignment horizontal="center" shrinkToFit="1"/>
    </xf>
    <xf numFmtId="169" fontId="36" fillId="0" borderId="7" xfId="0" applyNumberFormat="1" applyFont="1" applyBorder="1" applyAlignment="1">
      <alignment horizontal="center" shrinkToFit="1"/>
    </xf>
    <xf numFmtId="0" fontId="36" fillId="0" borderId="0" xfId="0" applyFont="1" applyAlignment="1">
      <alignment horizontal="left"/>
    </xf>
    <xf numFmtId="49" fontId="5" fillId="0" borderId="0" xfId="0" applyNumberFormat="1" applyFont="1" applyAlignment="1">
      <alignment horizontal="right"/>
    </xf>
    <xf numFmtId="43" fontId="32" fillId="0" borderId="0" xfId="1" applyFont="1" applyFill="1" applyProtection="1">
      <protection locked="0"/>
    </xf>
    <xf numFmtId="164" fontId="36" fillId="0" borderId="7" xfId="1" applyNumberFormat="1" applyFont="1" applyBorder="1" applyAlignment="1" applyProtection="1">
      <alignment horizontal="center"/>
    </xf>
    <xf numFmtId="164" fontId="36" fillId="0" borderId="7" xfId="1" applyNumberFormat="1" applyFont="1" applyFill="1" applyBorder="1" applyAlignment="1" applyProtection="1">
      <alignment horizontal="center"/>
    </xf>
    <xf numFmtId="9" fontId="32" fillId="0" borderId="0" xfId="4" applyFont="1" applyFill="1" applyProtection="1">
      <protection locked="0"/>
    </xf>
    <xf numFmtId="164" fontId="36" fillId="0" borderId="16" xfId="1" applyNumberFormat="1" applyFont="1" applyBorder="1" applyAlignment="1" applyProtection="1">
      <alignment horizontal="center"/>
    </xf>
    <xf numFmtId="164" fontId="36" fillId="0" borderId="0" xfId="1" applyNumberFormat="1" applyFont="1" applyFill="1" applyAlignment="1" applyProtection="1">
      <alignment horizontal="center"/>
    </xf>
    <xf numFmtId="49" fontId="7" fillId="0" borderId="0" xfId="0" applyNumberFormat="1" applyFont="1" applyAlignment="1">
      <alignment horizontal="right"/>
    </xf>
    <xf numFmtId="164" fontId="36" fillId="4" borderId="6" xfId="4" applyNumberFormat="1" applyFont="1" applyFill="1" applyBorder="1" applyAlignment="1" applyProtection="1">
      <alignment horizontal="center"/>
    </xf>
    <xf numFmtId="164" fontId="36" fillId="4" borderId="6" xfId="4" applyNumberFormat="1" applyFont="1" applyFill="1" applyBorder="1" applyProtection="1"/>
    <xf numFmtId="164" fontId="36" fillId="0" borderId="0" xfId="4" applyNumberFormat="1" applyFont="1" applyFill="1" applyBorder="1" applyProtection="1"/>
    <xf numFmtId="0" fontId="8" fillId="0" borderId="11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164" fontId="36" fillId="4" borderId="17" xfId="4" applyNumberFormat="1" applyFont="1" applyFill="1" applyBorder="1" applyProtection="1"/>
    <xf numFmtId="164" fontId="36" fillId="0" borderId="7" xfId="4" applyNumberFormat="1" applyFont="1" applyFill="1" applyBorder="1" applyProtection="1"/>
    <xf numFmtId="164" fontId="32" fillId="0" borderId="0" xfId="1" applyNumberFormat="1" applyFont="1" applyFill="1" applyProtection="1">
      <protection locked="0"/>
    </xf>
    <xf numFmtId="164" fontId="8" fillId="4" borderId="15" xfId="0" applyNumberFormat="1" applyFont="1" applyFill="1" applyBorder="1"/>
    <xf numFmtId="164" fontId="8" fillId="0" borderId="15" xfId="0" applyNumberFormat="1" applyFont="1" applyBorder="1"/>
    <xf numFmtId="0" fontId="8" fillId="0" borderId="15" xfId="0" applyFont="1" applyBorder="1" applyAlignment="1">
      <alignment horizontal="center"/>
    </xf>
    <xf numFmtId="164" fontId="36" fillId="0" borderId="0" xfId="1" applyNumberFormat="1" applyFont="1" applyFill="1" applyBorder="1" applyProtection="1"/>
    <xf numFmtId="164" fontId="36" fillId="0" borderId="15" xfId="4" applyNumberFormat="1" applyFont="1" applyFill="1" applyBorder="1" applyAlignment="1" applyProtection="1">
      <alignment horizontal="center"/>
    </xf>
    <xf numFmtId="9" fontId="8" fillId="0" borderId="0" xfId="4" applyFont="1" applyFill="1" applyAlignment="1" applyProtection="1">
      <alignment horizontal="left"/>
    </xf>
    <xf numFmtId="164" fontId="36" fillId="4" borderId="15" xfId="0" applyNumberFormat="1" applyFont="1" applyFill="1" applyBorder="1"/>
    <xf numFmtId="164" fontId="36" fillId="0" borderId="15" xfId="0" applyNumberFormat="1" applyFont="1" applyBorder="1"/>
    <xf numFmtId="9" fontId="8" fillId="0" borderId="0" xfId="4" quotePrefix="1" applyFont="1" applyFill="1" applyBorder="1" applyAlignment="1" applyProtection="1">
      <alignment horizontal="left"/>
    </xf>
    <xf numFmtId="10" fontId="8" fillId="4" borderId="0" xfId="4" applyNumberFormat="1" applyFont="1" applyFill="1" applyAlignment="1" applyProtection="1">
      <alignment vertical="center" shrinkToFit="1"/>
    </xf>
    <xf numFmtId="37" fontId="36" fillId="4" borderId="15" xfId="0" quotePrefix="1" applyNumberFormat="1" applyFont="1" applyFill="1" applyBorder="1" applyAlignment="1">
      <alignment horizontal="center" shrinkToFit="1"/>
    </xf>
    <xf numFmtId="37" fontId="36" fillId="0" borderId="15" xfId="0" quotePrefix="1" applyNumberFormat="1" applyFont="1" applyBorder="1" applyAlignment="1">
      <alignment horizontal="center" shrinkToFit="1"/>
    </xf>
    <xf numFmtId="37" fontId="36" fillId="0" borderId="15" xfId="0" applyNumberFormat="1" applyFont="1" applyBorder="1" applyAlignment="1">
      <alignment horizontal="center" shrinkToFit="1"/>
    </xf>
    <xf numFmtId="9" fontId="8" fillId="0" borderId="0" xfId="4" applyFont="1" applyFill="1" applyBorder="1" applyAlignment="1" applyProtection="1">
      <alignment horizontal="left"/>
    </xf>
    <xf numFmtId="9" fontId="32" fillId="0" borderId="0" xfId="0" applyNumberFormat="1" applyFont="1" applyAlignment="1" applyProtection="1">
      <alignment horizontal="right"/>
      <protection locked="0"/>
    </xf>
    <xf numFmtId="164" fontId="8" fillId="4" borderId="0" xfId="1" applyNumberFormat="1" applyFont="1" applyFill="1" applyAlignment="1" applyProtection="1">
      <alignment shrinkToFit="1"/>
    </xf>
    <xf numFmtId="0" fontId="8" fillId="0" borderId="15" xfId="0" applyFont="1" applyBorder="1" applyAlignment="1">
      <alignment wrapText="1"/>
    </xf>
    <xf numFmtId="0" fontId="32" fillId="0" borderId="0" xfId="0" applyFont="1"/>
    <xf numFmtId="9" fontId="32" fillId="0" borderId="8" xfId="4" applyFont="1" applyBorder="1" applyProtection="1"/>
    <xf numFmtId="181" fontId="32" fillId="0" borderId="0" xfId="0" applyNumberFormat="1" applyFont="1" applyAlignment="1" applyProtection="1">
      <alignment horizontal="right"/>
      <protection locked="0"/>
    </xf>
    <xf numFmtId="164" fontId="38" fillId="0" borderId="0" xfId="1" applyNumberFormat="1" applyFont="1" applyFill="1" applyAlignment="1" applyProtection="1">
      <alignment shrinkToFit="1"/>
      <protection locked="0"/>
    </xf>
    <xf numFmtId="41" fontId="8" fillId="0" borderId="0" xfId="0" applyNumberFormat="1" applyFont="1" applyAlignment="1">
      <alignment horizontal="left" wrapText="1"/>
    </xf>
    <xf numFmtId="164" fontId="8" fillId="0" borderId="0" xfId="1" applyNumberFormat="1" applyFont="1" applyAlignment="1" applyProtection="1">
      <alignment shrinkToFit="1"/>
    </xf>
    <xf numFmtId="164" fontId="36" fillId="0" borderId="15" xfId="1" applyNumberFormat="1" applyFont="1" applyBorder="1" applyAlignment="1" applyProtection="1">
      <alignment horizontal="center" shrinkToFit="1"/>
    </xf>
    <xf numFmtId="164" fontId="36" fillId="0" borderId="15" xfId="1" applyNumberFormat="1" applyFont="1" applyFill="1" applyBorder="1" applyAlignment="1" applyProtection="1">
      <alignment horizontal="center" shrinkToFit="1"/>
    </xf>
    <xf numFmtId="10" fontId="32" fillId="0" borderId="0" xfId="0" applyNumberFormat="1" applyFont="1" applyAlignment="1" applyProtection="1">
      <alignment horizontal="right"/>
      <protection locked="0"/>
    </xf>
    <xf numFmtId="10" fontId="32" fillId="0" borderId="0" xfId="4" applyNumberFormat="1" applyFont="1" applyBorder="1" applyProtection="1"/>
    <xf numFmtId="9" fontId="32" fillId="0" borderId="0" xfId="4" applyFont="1" applyFill="1" applyAlignment="1" applyProtection="1">
      <alignment horizontal="right" vertical="center"/>
      <protection locked="0"/>
    </xf>
    <xf numFmtId="9" fontId="32" fillId="0" borderId="0" xfId="4" applyFont="1" applyBorder="1" applyProtection="1"/>
    <xf numFmtId="3" fontId="8" fillId="0" borderId="0" xfId="0" applyNumberFormat="1" applyFont="1" applyAlignment="1">
      <alignment shrinkToFit="1"/>
    </xf>
    <xf numFmtId="164" fontId="8" fillId="0" borderId="15" xfId="1" applyNumberFormat="1" applyFont="1" applyBorder="1" applyAlignment="1" applyProtection="1">
      <alignment horizontal="center" shrinkToFit="1"/>
    </xf>
    <xf numFmtId="164" fontId="8" fillId="0" borderId="15" xfId="1" applyNumberFormat="1" applyFont="1" applyFill="1" applyBorder="1" applyAlignment="1" applyProtection="1">
      <alignment horizontal="center" shrinkToFit="1"/>
    </xf>
    <xf numFmtId="169" fontId="36" fillId="4" borderId="4" xfId="4" applyNumberFormat="1" applyFont="1" applyFill="1" applyBorder="1" applyAlignment="1" applyProtection="1">
      <alignment vertical="center" shrinkToFit="1"/>
    </xf>
    <xf numFmtId="37" fontId="36" fillId="0" borderId="34" xfId="0" applyNumberFormat="1" applyFont="1" applyBorder="1" applyAlignment="1">
      <alignment horizontal="center" shrinkToFit="1"/>
    </xf>
    <xf numFmtId="0" fontId="8" fillId="0" borderId="9" xfId="0" applyFont="1" applyBorder="1"/>
    <xf numFmtId="0" fontId="8" fillId="0" borderId="10" xfId="0" applyFont="1" applyBorder="1"/>
    <xf numFmtId="169" fontId="8" fillId="0" borderId="0" xfId="4" applyNumberFormat="1" applyFont="1" applyFill="1" applyBorder="1" applyAlignment="1" applyProtection="1">
      <alignment vertical="center" shrinkToFit="1"/>
    </xf>
    <xf numFmtId="169" fontId="8" fillId="0" borderId="0" xfId="0" applyNumberFormat="1" applyFont="1" applyAlignment="1">
      <alignment horizontal="center" shrinkToFit="1"/>
    </xf>
    <xf numFmtId="0" fontId="8" fillId="0" borderId="7" xfId="0" applyFont="1" applyBorder="1" applyAlignment="1">
      <alignment horizontal="left"/>
    </xf>
    <xf numFmtId="7" fontId="8" fillId="4" borderId="0" xfId="0" applyNumberFormat="1" applyFont="1" applyFill="1" applyAlignment="1">
      <alignment shrinkToFit="1"/>
    </xf>
    <xf numFmtId="0" fontId="36" fillId="4" borderId="14" xfId="0" quotePrefix="1" applyFont="1" applyFill="1" applyBorder="1" applyAlignment="1">
      <alignment horizontal="center" shrinkToFit="1"/>
    </xf>
    <xf numFmtId="0" fontId="36" fillId="0" borderId="0" xfId="0" quotePrefix="1" applyFont="1" applyAlignment="1">
      <alignment horizontal="center" shrinkToFit="1"/>
    </xf>
    <xf numFmtId="0" fontId="36" fillId="4" borderId="15" xfId="0" quotePrefix="1" applyFont="1" applyFill="1" applyBorder="1" applyAlignment="1">
      <alignment horizontal="center" shrinkToFit="1"/>
    </xf>
    <xf numFmtId="5" fontId="8" fillId="4" borderId="0" xfId="0" applyNumberFormat="1" applyFont="1" applyFill="1" applyAlignment="1">
      <alignment shrinkToFit="1"/>
    </xf>
    <xf numFmtId="0" fontId="8" fillId="4" borderId="0" xfId="0" applyFont="1" applyFill="1" applyAlignment="1">
      <alignment shrinkToFit="1"/>
    </xf>
    <xf numFmtId="0" fontId="36" fillId="4" borderId="15" xfId="0" applyFont="1" applyFill="1" applyBorder="1" applyAlignment="1">
      <alignment horizontal="center" shrinkToFit="1"/>
    </xf>
    <xf numFmtId="0" fontId="36" fillId="0" borderId="0" xfId="0" applyFont="1" applyAlignment="1">
      <alignment horizontal="center" shrinkToFit="1"/>
    </xf>
    <xf numFmtId="173" fontId="8" fillId="4" borderId="0" xfId="0" applyNumberFormat="1" applyFont="1" applyFill="1" applyAlignment="1">
      <alignment shrinkToFit="1"/>
    </xf>
    <xf numFmtId="7" fontId="8" fillId="4" borderId="15" xfId="0" quotePrefix="1" applyNumberFormat="1" applyFont="1" applyFill="1" applyBorder="1" applyAlignment="1">
      <alignment horizontal="center" shrinkToFit="1"/>
    </xf>
    <xf numFmtId="7" fontId="8" fillId="0" borderId="0" xfId="0" quotePrefix="1" applyNumberFormat="1" applyFont="1" applyAlignment="1">
      <alignment horizontal="center" shrinkToFit="1"/>
    </xf>
    <xf numFmtId="0" fontId="8" fillId="0" borderId="3" xfId="0" applyFont="1" applyBorder="1" applyAlignment="1">
      <alignment shrinkToFit="1"/>
    </xf>
    <xf numFmtId="0" fontId="8" fillId="0" borderId="16" xfId="0" applyFont="1" applyBorder="1" applyAlignment="1">
      <alignment horizontal="center" shrinkToFit="1"/>
    </xf>
    <xf numFmtId="1" fontId="64" fillId="4" borderId="31" xfId="0" applyNumberFormat="1" applyFont="1" applyFill="1" applyBorder="1"/>
    <xf numFmtId="49" fontId="30" fillId="15" borderId="6" xfId="0" applyNumberFormat="1" applyFont="1" applyFill="1" applyBorder="1" applyAlignment="1">
      <alignment horizontal="left"/>
    </xf>
    <xf numFmtId="17" fontId="30" fillId="15" borderId="6" xfId="0" applyNumberFormat="1" applyFont="1" applyFill="1" applyBorder="1" applyAlignment="1">
      <alignment horizontal="center" vertical="top"/>
    </xf>
    <xf numFmtId="49" fontId="42" fillId="0" borderId="0" xfId="0" applyNumberFormat="1" applyFont="1" applyAlignment="1">
      <alignment horizontal="center"/>
    </xf>
    <xf numFmtId="49" fontId="42" fillId="0" borderId="7" xfId="0" applyNumberFormat="1" applyFont="1" applyBorder="1" applyAlignment="1">
      <alignment horizontal="center"/>
    </xf>
    <xf numFmtId="6" fontId="8" fillId="0" borderId="7" xfId="0" applyNumberFormat="1" applyFont="1" applyBorder="1"/>
    <xf numFmtId="0" fontId="8" fillId="0" borderId="8" xfId="0" applyFont="1" applyBorder="1" applyAlignment="1">
      <alignment horizontal="center"/>
    </xf>
    <xf numFmtId="164" fontId="36" fillId="4" borderId="15" xfId="1" applyNumberFormat="1" applyFont="1" applyFill="1" applyBorder="1" applyProtection="1"/>
    <xf numFmtId="0" fontId="8" fillId="0" borderId="0" xfId="11" applyFont="1"/>
    <xf numFmtId="0" fontId="8" fillId="0" borderId="15" xfId="0" applyFont="1" applyBorder="1" applyAlignment="1" applyProtection="1">
      <alignment wrapText="1"/>
      <protection locked="0"/>
    </xf>
    <xf numFmtId="164" fontId="8" fillId="4" borderId="0" xfId="1" applyNumberFormat="1" applyFont="1" applyFill="1" applyProtection="1"/>
    <xf numFmtId="0" fontId="8" fillId="0" borderId="15" xfId="0" applyFont="1" applyBorder="1" applyProtection="1">
      <protection locked="0"/>
    </xf>
    <xf numFmtId="165" fontId="32" fillId="0" borderId="0" xfId="0" applyNumberFormat="1" applyFont="1" applyAlignment="1" applyProtection="1">
      <alignment horizontal="center"/>
      <protection locked="0"/>
    </xf>
    <xf numFmtId="6" fontId="8" fillId="0" borderId="8" xfId="0" applyNumberFormat="1" applyFont="1" applyBorder="1" applyAlignment="1">
      <alignment horizontal="center"/>
    </xf>
    <xf numFmtId="44" fontId="38" fillId="0" borderId="0" xfId="0" applyNumberFormat="1" applyFont="1" applyAlignment="1" applyProtection="1">
      <alignment horizontal="center"/>
      <protection locked="0"/>
    </xf>
    <xf numFmtId="0" fontId="43" fillId="0" borderId="15" xfId="0" applyFont="1" applyBorder="1" applyProtection="1">
      <protection locked="0"/>
    </xf>
    <xf numFmtId="0" fontId="43" fillId="0" borderId="7" xfId="0" applyFont="1" applyBorder="1" applyProtection="1">
      <protection locked="0"/>
    </xf>
    <xf numFmtId="9" fontId="32" fillId="0" borderId="0" xfId="4" applyFont="1" applyFill="1" applyBorder="1" applyAlignment="1" applyProtection="1">
      <alignment horizontal="center"/>
      <protection locked="0"/>
    </xf>
    <xf numFmtId="9" fontId="32" fillId="0" borderId="8" xfId="4" applyFont="1" applyFill="1" applyBorder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165" fontId="32" fillId="0" borderId="8" xfId="0" applyNumberFormat="1" applyFont="1" applyBorder="1" applyAlignment="1" applyProtection="1">
      <alignment horizontal="center"/>
      <protection locked="0"/>
    </xf>
    <xf numFmtId="0" fontId="63" fillId="0" borderId="0" xfId="0" applyFont="1"/>
    <xf numFmtId="9" fontId="65" fillId="0" borderId="0" xfId="4" applyFont="1" applyFill="1" applyProtection="1">
      <protection locked="0"/>
    </xf>
    <xf numFmtId="9" fontId="66" fillId="4" borderId="15" xfId="4" applyFont="1" applyFill="1" applyBorder="1" applyProtection="1"/>
    <xf numFmtId="44" fontId="8" fillId="0" borderId="8" xfId="0" applyNumberFormat="1" applyFont="1" applyBorder="1" applyAlignment="1">
      <alignment horizontal="center"/>
    </xf>
    <xf numFmtId="44" fontId="32" fillId="0" borderId="0" xfId="0" applyNumberFormat="1" applyFont="1" applyAlignment="1" applyProtection="1">
      <alignment horizontal="center"/>
      <protection locked="0"/>
    </xf>
    <xf numFmtId="9" fontId="32" fillId="0" borderId="0" xfId="0" applyNumberFormat="1" applyFont="1" applyAlignment="1" applyProtection="1">
      <alignment horizontal="center"/>
      <protection locked="0"/>
    </xf>
    <xf numFmtId="164" fontId="8" fillId="0" borderId="3" xfId="1" applyNumberFormat="1" applyFont="1" applyBorder="1" applyProtection="1"/>
    <xf numFmtId="164" fontId="36" fillId="0" borderId="16" xfId="1" applyNumberFormat="1" applyFont="1" applyBorder="1" applyProtection="1"/>
    <xf numFmtId="0" fontId="8" fillId="0" borderId="16" xfId="0" applyFont="1" applyBorder="1" applyProtection="1">
      <protection locked="0"/>
    </xf>
    <xf numFmtId="0" fontId="8" fillId="0" borderId="10" xfId="0" applyFont="1" applyBorder="1" applyAlignment="1">
      <alignment horizontal="center"/>
    </xf>
    <xf numFmtId="164" fontId="36" fillId="4" borderId="13" xfId="1" applyNumberFormat="1" applyFont="1" applyFill="1" applyBorder="1" applyAlignment="1" applyProtection="1">
      <alignment horizontal="right"/>
    </xf>
    <xf numFmtId="164" fontId="36" fillId="4" borderId="33" xfId="1" applyNumberFormat="1" applyFont="1" applyFill="1" applyBorder="1" applyAlignment="1" applyProtection="1">
      <alignment horizontal="right"/>
    </xf>
    <xf numFmtId="167" fontId="42" fillId="15" borderId="17" xfId="0" applyNumberFormat="1" applyFont="1" applyFill="1" applyBorder="1" applyAlignment="1">
      <alignment horizontal="center" vertical="center"/>
    </xf>
    <xf numFmtId="49" fontId="30" fillId="15" borderId="6" xfId="0" applyNumberFormat="1" applyFont="1" applyFill="1" applyBorder="1" applyAlignment="1">
      <alignment horizontal="left" vertical="center"/>
    </xf>
    <xf numFmtId="17" fontId="30" fillId="15" borderId="6" xfId="1" applyNumberFormat="1" applyFont="1" applyFill="1" applyBorder="1" applyAlignment="1" applyProtection="1">
      <alignment vertical="center"/>
    </xf>
    <xf numFmtId="17" fontId="30" fillId="15" borderId="32" xfId="1" applyNumberFormat="1" applyFont="1" applyFill="1" applyBorder="1" applyAlignment="1" applyProtection="1">
      <alignment vertical="center"/>
    </xf>
    <xf numFmtId="17" fontId="30" fillId="0" borderId="0" xfId="0" applyNumberFormat="1" applyFont="1" applyAlignment="1">
      <alignment horizontal="center" vertical="center"/>
    </xf>
    <xf numFmtId="167" fontId="42" fillId="15" borderId="32" xfId="0" applyNumberFormat="1" applyFont="1" applyFill="1" applyBorder="1" applyAlignment="1">
      <alignment horizontal="center" vertical="center"/>
    </xf>
    <xf numFmtId="167" fontId="42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167" fontId="5" fillId="0" borderId="0" xfId="0" applyNumberFormat="1" applyFont="1" applyAlignment="1">
      <alignment horizontal="center"/>
    </xf>
    <xf numFmtId="178" fontId="7" fillId="0" borderId="0" xfId="1" applyNumberFormat="1" applyFont="1" applyFill="1" applyProtection="1"/>
    <xf numFmtId="178" fontId="7" fillId="0" borderId="15" xfId="1" applyNumberFormat="1" applyFont="1" applyFill="1" applyBorder="1" applyProtection="1"/>
    <xf numFmtId="0" fontId="5" fillId="0" borderId="14" xfId="0" applyFont="1" applyBorder="1" applyAlignment="1">
      <alignment horizontal="center"/>
    </xf>
    <xf numFmtId="164" fontId="67" fillId="0" borderId="0" xfId="1" applyNumberFormat="1" applyFont="1" applyFill="1" applyAlignment="1" applyProtection="1">
      <alignment horizontal="right"/>
      <protection locked="0"/>
    </xf>
    <xf numFmtId="164" fontId="36" fillId="4" borderId="15" xfId="1" applyNumberFormat="1" applyFont="1" applyFill="1" applyBorder="1" applyAlignment="1" applyProtection="1">
      <alignment horizontal="right"/>
    </xf>
    <xf numFmtId="164" fontId="8" fillId="4" borderId="0" xfId="1" applyNumberFormat="1" applyFont="1" applyFill="1" applyAlignment="1" applyProtection="1">
      <alignment horizontal="right"/>
    </xf>
    <xf numFmtId="165" fontId="32" fillId="0" borderId="0" xfId="0" applyNumberFormat="1" applyFont="1" applyProtection="1">
      <protection locked="0"/>
    </xf>
    <xf numFmtId="164" fontId="8" fillId="4" borderId="0" xfId="1" applyNumberFormat="1" applyFont="1" applyFill="1" applyAlignment="1" applyProtection="1">
      <alignment horizontal="right"/>
      <protection locked="0"/>
    </xf>
    <xf numFmtId="44" fontId="32" fillId="0" borderId="0" xfId="0" applyNumberFormat="1" applyFont="1" applyProtection="1">
      <protection locked="0"/>
    </xf>
    <xf numFmtId="164" fontId="32" fillId="0" borderId="0" xfId="1" applyNumberFormat="1" applyFont="1" applyFill="1" applyAlignment="1" applyProtection="1">
      <alignment horizontal="right"/>
      <protection locked="0"/>
    </xf>
    <xf numFmtId="42" fontId="32" fillId="0" borderId="0" xfId="0" applyNumberFormat="1" applyFont="1" applyProtection="1">
      <protection locked="0"/>
    </xf>
    <xf numFmtId="164" fontId="38" fillId="0" borderId="0" xfId="1" applyNumberFormat="1" applyFont="1" applyFill="1" applyBorder="1" applyAlignment="1" applyProtection="1">
      <alignment horizontal="right"/>
      <protection locked="0"/>
    </xf>
    <xf numFmtId="164" fontId="38" fillId="0" borderId="15" xfId="1" applyNumberFormat="1" applyFont="1" applyFill="1" applyBorder="1" applyAlignment="1" applyProtection="1">
      <alignment horizontal="right"/>
    </xf>
    <xf numFmtId="164" fontId="38" fillId="0" borderId="15" xfId="1" applyNumberFormat="1" applyFont="1" applyFill="1" applyBorder="1" applyAlignment="1" applyProtection="1">
      <alignment horizontal="right"/>
      <protection locked="0"/>
    </xf>
    <xf numFmtId="164" fontId="66" fillId="0" borderId="0" xfId="1" applyNumberFormat="1" applyFont="1" applyFill="1" applyBorder="1" applyAlignment="1" applyProtection="1">
      <alignment horizontal="right"/>
    </xf>
    <xf numFmtId="0" fontId="5" fillId="0" borderId="9" xfId="0" applyFont="1" applyBorder="1"/>
    <xf numFmtId="44" fontId="5" fillId="0" borderId="3" xfId="0" applyNumberFormat="1" applyFont="1" applyBorder="1"/>
    <xf numFmtId="0" fontId="5" fillId="0" borderId="15" xfId="0" applyFont="1" applyBorder="1" applyAlignment="1">
      <alignment horizontal="center"/>
    </xf>
    <xf numFmtId="164" fontId="36" fillId="0" borderId="0" xfId="1" applyNumberFormat="1" applyFont="1" applyFill="1" applyAlignment="1" applyProtection="1">
      <alignment horizontal="right"/>
    </xf>
    <xf numFmtId="164" fontId="8" fillId="4" borderId="0" xfId="1" applyNumberFormat="1" applyFont="1" applyFill="1" applyAlignment="1" applyProtection="1">
      <alignment horizontal="left"/>
    </xf>
    <xf numFmtId="164" fontId="67" fillId="4" borderId="15" xfId="1" applyNumberFormat="1" applyFont="1" applyFill="1" applyBorder="1" applyAlignment="1" applyProtection="1">
      <alignment horizontal="right"/>
    </xf>
    <xf numFmtId="164" fontId="48" fillId="4" borderId="15" xfId="1" applyNumberFormat="1" applyFont="1" applyFill="1" applyBorder="1" applyAlignment="1" applyProtection="1">
      <alignment horizontal="right"/>
    </xf>
    <xf numFmtId="164" fontId="36" fillId="0" borderId="0" xfId="1" applyNumberFormat="1" applyFont="1" applyFill="1" applyBorder="1" applyAlignment="1" applyProtection="1">
      <alignment horizontal="right"/>
    </xf>
    <xf numFmtId="164" fontId="7" fillId="0" borderId="0" xfId="1" applyNumberFormat="1" applyFont="1" applyFill="1" applyProtection="1"/>
    <xf numFmtId="0" fontId="5" fillId="0" borderId="7" xfId="0" applyFont="1" applyBorder="1" applyAlignment="1" applyProtection="1">
      <alignment wrapText="1"/>
      <protection locked="0"/>
    </xf>
    <xf numFmtId="0" fontId="5" fillId="0" borderId="7" xfId="0" applyFont="1" applyBorder="1" applyAlignment="1">
      <alignment wrapText="1"/>
    </xf>
    <xf numFmtId="164" fontId="7" fillId="4" borderId="13" xfId="1" applyNumberFormat="1" applyFont="1" applyFill="1" applyBorder="1" applyAlignment="1" applyProtection="1">
      <alignment horizontal="right"/>
    </xf>
    <xf numFmtId="164" fontId="62" fillId="0" borderId="0" xfId="1" applyNumberFormat="1" applyFont="1" applyFill="1" applyBorder="1" applyAlignment="1" applyProtection="1">
      <alignment horizontal="right"/>
    </xf>
    <xf numFmtId="0" fontId="5" fillId="0" borderId="15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0" fontId="7" fillId="0" borderId="15" xfId="0" applyFont="1" applyBorder="1" applyAlignment="1" applyProtection="1">
      <alignment wrapText="1"/>
      <protection locked="0"/>
    </xf>
    <xf numFmtId="0" fontId="7" fillId="0" borderId="0" xfId="0" applyFont="1" applyAlignment="1" applyProtection="1">
      <alignment wrapText="1"/>
      <protection locked="0"/>
    </xf>
    <xf numFmtId="0" fontId="5" fillId="0" borderId="15" xfId="0" applyFont="1" applyBorder="1" applyAlignment="1">
      <alignment wrapText="1"/>
    </xf>
    <xf numFmtId="0" fontId="5" fillId="0" borderId="0" xfId="0" applyFont="1" applyAlignment="1">
      <alignment wrapText="1"/>
    </xf>
    <xf numFmtId="164" fontId="66" fillId="0" borderId="3" xfId="1" applyNumberFormat="1" applyFont="1" applyFill="1" applyBorder="1" applyAlignment="1" applyProtection="1">
      <alignment horizontal="right"/>
    </xf>
    <xf numFmtId="44" fontId="8" fillId="0" borderId="3" xfId="0" applyNumberFormat="1" applyFont="1" applyBorder="1"/>
    <xf numFmtId="0" fontId="8" fillId="0" borderId="11" xfId="0" applyFont="1" applyBorder="1"/>
    <xf numFmtId="44" fontId="8" fillId="0" borderId="2" xfId="0" applyNumberFormat="1" applyFont="1" applyBorder="1"/>
    <xf numFmtId="41" fontId="32" fillId="0" borderId="0" xfId="0" applyNumberFormat="1" applyFont="1"/>
    <xf numFmtId="0" fontId="5" fillId="0" borderId="16" xfId="0" applyFont="1" applyBorder="1"/>
    <xf numFmtId="164" fontId="7" fillId="0" borderId="0" xfId="1" applyNumberFormat="1" applyFont="1" applyFill="1" applyBorder="1" applyProtection="1"/>
    <xf numFmtId="0" fontId="7" fillId="0" borderId="15" xfId="0" applyFont="1" applyBorder="1"/>
    <xf numFmtId="44" fontId="7" fillId="0" borderId="0" xfId="0" applyNumberFormat="1" applyFont="1" applyAlignment="1">
      <alignment horizontal="left"/>
    </xf>
    <xf numFmtId="164" fontId="7" fillId="0" borderId="13" xfId="1" applyNumberFormat="1" applyFont="1" applyFill="1" applyBorder="1" applyAlignment="1" applyProtection="1">
      <alignment horizontal="right"/>
    </xf>
    <xf numFmtId="169" fontId="48" fillId="0" borderId="32" xfId="0" applyNumberFormat="1" applyFont="1" applyBorder="1" applyAlignment="1" applyProtection="1">
      <alignment horizontal="left" wrapText="1"/>
      <protection locked="0"/>
    </xf>
    <xf numFmtId="169" fontId="48" fillId="0" borderId="0" xfId="0" applyNumberFormat="1" applyFont="1" applyAlignment="1" applyProtection="1">
      <alignment horizontal="left" wrapText="1"/>
      <protection locked="0"/>
    </xf>
    <xf numFmtId="10" fontId="5" fillId="0" borderId="17" xfId="0" applyNumberFormat="1" applyFont="1" applyBorder="1"/>
    <xf numFmtId="10" fontId="32" fillId="0" borderId="6" xfId="4" applyNumberFormat="1" applyFont="1" applyFill="1" applyBorder="1" applyProtection="1">
      <protection locked="0"/>
    </xf>
    <xf numFmtId="165" fontId="32" fillId="0" borderId="38" xfId="2" applyNumberFormat="1" applyFont="1" applyFill="1" applyBorder="1" applyProtection="1">
      <protection locked="0"/>
    </xf>
    <xf numFmtId="44" fontId="5" fillId="0" borderId="0" xfId="0" applyNumberFormat="1" applyFont="1" applyAlignment="1">
      <alignment horizontal="left"/>
    </xf>
    <xf numFmtId="167" fontId="5" fillId="0" borderId="18" xfId="0" applyNumberFormat="1" applyFont="1" applyBorder="1"/>
    <xf numFmtId="49" fontId="7" fillId="0" borderId="18" xfId="0" applyNumberFormat="1" applyFont="1" applyBorder="1" applyAlignment="1">
      <alignment horizontal="left"/>
    </xf>
    <xf numFmtId="44" fontId="7" fillId="0" borderId="18" xfId="0" applyNumberFormat="1" applyFont="1" applyBorder="1" applyAlignment="1">
      <alignment horizontal="left"/>
    </xf>
    <xf numFmtId="17" fontId="30" fillId="0" borderId="0" xfId="1" applyNumberFormat="1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178" fontId="7" fillId="0" borderId="0" xfId="1" applyNumberFormat="1" applyFont="1" applyProtection="1"/>
    <xf numFmtId="178" fontId="36" fillId="0" borderId="15" xfId="1" applyNumberFormat="1" applyFont="1" applyBorder="1" applyProtection="1"/>
    <xf numFmtId="178" fontId="7" fillId="0" borderId="0" xfId="1" applyNumberFormat="1" applyFont="1" applyFill="1" applyBorder="1" applyProtection="1"/>
    <xf numFmtId="0" fontId="5" fillId="0" borderId="7" xfId="0" applyFont="1" applyBorder="1" applyAlignment="1">
      <alignment horizontal="center"/>
    </xf>
    <xf numFmtId="164" fontId="32" fillId="0" borderId="0" xfId="1" applyNumberFormat="1" applyFont="1" applyFill="1" applyBorder="1" applyProtection="1">
      <protection locked="0"/>
    </xf>
    <xf numFmtId="164" fontId="38" fillId="0" borderId="0" xfId="1" applyNumberFormat="1" applyFont="1" applyFill="1" applyBorder="1" applyProtection="1">
      <protection locked="0"/>
    </xf>
    <xf numFmtId="164" fontId="7" fillId="4" borderId="18" xfId="1" applyNumberFormat="1" applyFont="1" applyFill="1" applyBorder="1" applyProtection="1"/>
    <xf numFmtId="164" fontId="7" fillId="4" borderId="34" xfId="1" applyNumberFormat="1" applyFont="1" applyFill="1" applyBorder="1" applyProtection="1"/>
    <xf numFmtId="17" fontId="30" fillId="0" borderId="0" xfId="1" applyNumberFormat="1" applyFont="1" applyFill="1" applyBorder="1" applyProtection="1"/>
    <xf numFmtId="178" fontId="7" fillId="0" borderId="15" xfId="1" applyNumberFormat="1" applyFont="1" applyBorder="1" applyProtection="1"/>
    <xf numFmtId="178" fontId="7" fillId="0" borderId="0" xfId="1" applyNumberFormat="1" applyFont="1" applyBorder="1" applyProtection="1"/>
    <xf numFmtId="164" fontId="36" fillId="4" borderId="13" xfId="1" applyNumberFormat="1" applyFont="1" applyFill="1" applyBorder="1" applyProtection="1"/>
    <xf numFmtId="164" fontId="36" fillId="4" borderId="33" xfId="1" applyNumberFormat="1" applyFont="1" applyFill="1" applyBorder="1" applyProtection="1"/>
    <xf numFmtId="37" fontId="30" fillId="15" borderId="17" xfId="6" applyFont="1" applyFill="1" applyBorder="1" applyAlignment="1">
      <alignment horizontal="center" vertical="center" wrapText="1" shrinkToFit="1"/>
    </xf>
    <xf numFmtId="37" fontId="32" fillId="0" borderId="11" xfId="6" applyFont="1" applyBorder="1" applyProtection="1">
      <protection locked="0"/>
    </xf>
    <xf numFmtId="37" fontId="32" fillId="0" borderId="12" xfId="6" applyFont="1" applyBorder="1"/>
    <xf numFmtId="5" fontId="8" fillId="4" borderId="11" xfId="6" applyNumberFormat="1" applyFont="1" applyFill="1" applyBorder="1" applyAlignment="1">
      <alignment horizontal="center" shrinkToFit="1"/>
    </xf>
    <xf numFmtId="10" fontId="32" fillId="0" borderId="2" xfId="6" applyNumberFormat="1" applyFont="1" applyBorder="1" applyAlignment="1" applyProtection="1">
      <alignment horizontal="center" shrinkToFit="1"/>
      <protection locked="0"/>
    </xf>
    <xf numFmtId="179" fontId="32" fillId="0" borderId="11" xfId="6" applyNumberFormat="1" applyFont="1" applyBorder="1" applyAlignment="1" applyProtection="1">
      <alignment horizontal="center" shrinkToFit="1"/>
      <protection locked="0"/>
    </xf>
    <xf numFmtId="165" fontId="32" fillId="0" borderId="12" xfId="2" applyNumberFormat="1" applyFont="1" applyFill="1" applyBorder="1" applyProtection="1">
      <protection locked="0"/>
    </xf>
    <xf numFmtId="37" fontId="36" fillId="0" borderId="0" xfId="6" applyFont="1"/>
    <xf numFmtId="37" fontId="38" fillId="0" borderId="7" xfId="6" applyFont="1" applyBorder="1" applyProtection="1">
      <protection locked="0"/>
    </xf>
    <xf numFmtId="9" fontId="32" fillId="0" borderId="8" xfId="0" applyNumberFormat="1" applyFont="1" applyBorder="1"/>
    <xf numFmtId="37" fontId="36" fillId="0" borderId="0" xfId="6" applyFont="1" applyAlignment="1">
      <alignment shrinkToFit="1"/>
    </xf>
    <xf numFmtId="37" fontId="34" fillId="0" borderId="7" xfId="6" applyFont="1" applyBorder="1"/>
    <xf numFmtId="37" fontId="8" fillId="0" borderId="8" xfId="6" quotePrefix="1" applyFont="1" applyBorder="1" applyAlignment="1">
      <alignment horizontal="left"/>
    </xf>
    <xf numFmtId="5" fontId="8" fillId="0" borderId="7" xfId="6" applyNumberFormat="1" applyFont="1" applyBorder="1" applyAlignment="1">
      <alignment horizontal="center" shrinkToFit="1"/>
    </xf>
    <xf numFmtId="37" fontId="38" fillId="0" borderId="7" xfId="6" applyFont="1" applyBorder="1" applyAlignment="1" applyProtection="1">
      <alignment horizontal="center" shrinkToFit="1"/>
      <protection locked="0"/>
    </xf>
    <xf numFmtId="179" fontId="38" fillId="0" borderId="8" xfId="6" applyNumberFormat="1" applyFont="1" applyBorder="1" applyAlignment="1" applyProtection="1">
      <alignment horizontal="center" shrinkToFit="1"/>
      <protection locked="0"/>
    </xf>
    <xf numFmtId="37" fontId="32" fillId="0" borderId="7" xfId="6" applyFont="1" applyBorder="1" applyProtection="1">
      <protection locked="0"/>
    </xf>
    <xf numFmtId="5" fontId="8" fillId="4" borderId="7" xfId="6" quotePrefix="1" applyNumberFormat="1" applyFont="1" applyFill="1" applyBorder="1" applyAlignment="1">
      <alignment horizontal="center" shrinkToFit="1"/>
    </xf>
    <xf numFmtId="7" fontId="32" fillId="0" borderId="0" xfId="6" applyNumberFormat="1" applyFont="1" applyAlignment="1" applyProtection="1">
      <alignment horizontal="center" shrinkToFit="1"/>
      <protection locked="0"/>
    </xf>
    <xf numFmtId="44" fontId="32" fillId="0" borderId="0" xfId="6" applyNumberFormat="1" applyFont="1" applyAlignment="1" applyProtection="1">
      <alignment horizontal="center" shrinkToFit="1"/>
      <protection locked="0"/>
    </xf>
    <xf numFmtId="43" fontId="32" fillId="0" borderId="0" xfId="6" applyNumberFormat="1" applyFont="1" applyAlignment="1" applyProtection="1">
      <alignment horizontal="center" shrinkToFit="1"/>
      <protection locked="0"/>
    </xf>
    <xf numFmtId="10" fontId="32" fillId="0" borderId="0" xfId="6" applyNumberFormat="1" applyFont="1" applyAlignment="1" applyProtection="1">
      <alignment horizontal="center" shrinkToFit="1"/>
      <protection locked="0"/>
    </xf>
    <xf numFmtId="175" fontId="8" fillId="0" borderId="0" xfId="6" applyNumberFormat="1" applyFont="1" applyAlignment="1">
      <alignment shrinkToFit="1"/>
    </xf>
    <xf numFmtId="37" fontId="32" fillId="0" borderId="8" xfId="6" applyFont="1" applyBorder="1" applyProtection="1">
      <protection locked="0"/>
    </xf>
    <xf numFmtId="39" fontId="8" fillId="0" borderId="0" xfId="6" applyNumberFormat="1" applyFont="1" applyAlignment="1">
      <alignment horizontal="center" shrinkToFit="1"/>
    </xf>
    <xf numFmtId="1" fontId="8" fillId="4" borderId="8" xfId="0" applyNumberFormat="1" applyFont="1" applyFill="1" applyBorder="1"/>
    <xf numFmtId="0" fontId="8" fillId="4" borderId="10" xfId="0" applyFont="1" applyFill="1" applyBorder="1"/>
    <xf numFmtId="10" fontId="8" fillId="0" borderId="0" xfId="6" applyNumberFormat="1" applyFont="1" applyAlignment="1">
      <alignment shrinkToFit="1"/>
    </xf>
    <xf numFmtId="37" fontId="8" fillId="0" borderId="8" xfId="6" applyFont="1" applyBorder="1" applyAlignment="1">
      <alignment horizontal="left"/>
    </xf>
    <xf numFmtId="5" fontId="8" fillId="0" borderId="7" xfId="6" quotePrefix="1" applyNumberFormat="1" applyFont="1" applyBorder="1" applyAlignment="1">
      <alignment horizontal="center" shrinkToFit="1"/>
    </xf>
    <xf numFmtId="175" fontId="32" fillId="0" borderId="7" xfId="6" applyNumberFormat="1" applyFont="1" applyBorder="1" applyAlignment="1">
      <alignment horizontal="center" shrinkToFit="1"/>
    </xf>
    <xf numFmtId="37" fontId="8" fillId="0" borderId="8" xfId="6" applyFont="1" applyBorder="1"/>
    <xf numFmtId="37" fontId="8" fillId="0" borderId="7" xfId="6" applyFont="1" applyBorder="1" applyAlignment="1">
      <alignment horizontal="center" shrinkToFit="1"/>
    </xf>
    <xf numFmtId="169" fontId="8" fillId="4" borderId="0" xfId="6" applyNumberFormat="1" applyFont="1" applyFill="1" applyAlignment="1">
      <alignment horizontal="center" shrinkToFit="1"/>
    </xf>
    <xf numFmtId="14" fontId="8" fillId="0" borderId="0" xfId="6" applyNumberFormat="1" applyFont="1" applyAlignment="1">
      <alignment shrinkToFit="1"/>
    </xf>
    <xf numFmtId="37" fontId="32" fillId="0" borderId="9" xfId="6" applyFont="1" applyBorder="1" applyProtection="1">
      <protection locked="0"/>
    </xf>
    <xf numFmtId="37" fontId="32" fillId="0" borderId="10" xfId="6" applyFont="1" applyBorder="1" applyProtection="1">
      <protection locked="0"/>
    </xf>
    <xf numFmtId="5" fontId="8" fillId="4" borderId="9" xfId="6" quotePrefix="1" applyNumberFormat="1" applyFont="1" applyFill="1" applyBorder="1" applyAlignment="1">
      <alignment horizontal="center" shrinkToFit="1"/>
    </xf>
    <xf numFmtId="7" fontId="32" fillId="0" borderId="3" xfId="6" applyNumberFormat="1" applyFont="1" applyBorder="1" applyAlignment="1" applyProtection="1">
      <alignment horizontal="center" shrinkToFit="1"/>
      <protection locked="0"/>
    </xf>
    <xf numFmtId="44" fontId="32" fillId="0" borderId="3" xfId="6" applyNumberFormat="1" applyFont="1" applyBorder="1" applyAlignment="1" applyProtection="1">
      <alignment horizontal="center" shrinkToFit="1"/>
      <protection locked="0"/>
    </xf>
    <xf numFmtId="43" fontId="32" fillId="0" borderId="3" xfId="6" applyNumberFormat="1" applyFont="1" applyBorder="1" applyAlignment="1" applyProtection="1">
      <alignment horizontal="center" shrinkToFit="1"/>
      <protection locked="0"/>
    </xf>
    <xf numFmtId="10" fontId="32" fillId="0" borderId="3" xfId="6" applyNumberFormat="1" applyFont="1" applyBorder="1" applyAlignment="1" applyProtection="1">
      <alignment horizontal="center" shrinkToFit="1"/>
      <protection locked="0"/>
    </xf>
    <xf numFmtId="39" fontId="8" fillId="4" borderId="10" xfId="6" applyNumberFormat="1" applyFont="1" applyFill="1" applyBorder="1" applyAlignment="1">
      <alignment horizontal="center" shrinkToFit="1"/>
    </xf>
    <xf numFmtId="37" fontId="8" fillId="0" borderId="0" xfId="6" quotePrefix="1" applyFont="1" applyAlignment="1">
      <alignment shrinkToFit="1"/>
    </xf>
    <xf numFmtId="164" fontId="36" fillId="4" borderId="32" xfId="1" applyNumberFormat="1" applyFont="1" applyFill="1" applyBorder="1" applyAlignment="1" applyProtection="1">
      <alignment shrinkToFit="1"/>
    </xf>
    <xf numFmtId="165" fontId="8" fillId="4" borderId="6" xfId="6" applyNumberFormat="1" applyFont="1" applyFill="1" applyBorder="1" applyAlignment="1">
      <alignment vertical="center" shrinkToFit="1"/>
    </xf>
    <xf numFmtId="165" fontId="32" fillId="0" borderId="0" xfId="2" applyNumberFormat="1" applyFont="1" applyFill="1" applyProtection="1">
      <protection locked="0"/>
    </xf>
    <xf numFmtId="164" fontId="32" fillId="0" borderId="0" xfId="1" applyNumberFormat="1" applyFont="1" applyFill="1" applyBorder="1" applyAlignment="1" applyProtection="1">
      <alignment shrinkToFit="1"/>
      <protection locked="0"/>
    </xf>
    <xf numFmtId="164" fontId="67" fillId="4" borderId="15" xfId="1" applyNumberFormat="1" applyFont="1" applyFill="1" applyBorder="1" applyAlignment="1" applyProtection="1">
      <alignment shrinkToFit="1"/>
    </xf>
    <xf numFmtId="1" fontId="32" fillId="0" borderId="0" xfId="0" applyNumberFormat="1" applyFont="1" applyProtection="1">
      <protection locked="0"/>
    </xf>
    <xf numFmtId="165" fontId="36" fillId="0" borderId="13" xfId="6" applyNumberFormat="1" applyFont="1" applyBorder="1" applyAlignment="1">
      <alignment vertical="center" shrinkToFit="1"/>
    </xf>
    <xf numFmtId="165" fontId="36" fillId="0" borderId="33" xfId="6" applyNumberFormat="1" applyFont="1" applyBorder="1" applyAlignment="1">
      <alignment vertical="center" shrinkToFit="1"/>
    </xf>
    <xf numFmtId="0" fontId="45" fillId="0" borderId="3" xfId="7" applyFont="1" applyBorder="1"/>
    <xf numFmtId="0" fontId="8" fillId="0" borderId="7" xfId="7" applyFont="1" applyBorder="1" applyAlignment="1">
      <alignment vertical="top"/>
    </xf>
    <xf numFmtId="0" fontId="8" fillId="0" borderId="0" xfId="7" applyFont="1" applyAlignment="1">
      <alignment vertical="top"/>
    </xf>
    <xf numFmtId="0" fontId="8" fillId="0" borderId="0" xfId="7" quotePrefix="1" applyFont="1" applyAlignment="1">
      <alignment horizontal="right" vertical="top"/>
    </xf>
    <xf numFmtId="40" fontId="8" fillId="0" borderId="0" xfId="7" applyNumberFormat="1" applyFont="1" applyAlignment="1">
      <alignment vertical="top"/>
    </xf>
    <xf numFmtId="0" fontId="8" fillId="0" borderId="0" xfId="7" applyFont="1" applyAlignment="1">
      <alignment horizontal="centerContinuous" shrinkToFit="1"/>
    </xf>
    <xf numFmtId="14" fontId="8" fillId="0" borderId="0" xfId="7" applyNumberFormat="1" applyFont="1" applyAlignment="1">
      <alignment vertical="top" wrapText="1"/>
    </xf>
    <xf numFmtId="17" fontId="30" fillId="15" borderId="32" xfId="1" applyNumberFormat="1" applyFont="1" applyFill="1" applyBorder="1" applyAlignment="1" applyProtection="1">
      <alignment horizontal="center" vertical="center"/>
    </xf>
    <xf numFmtId="0" fontId="8" fillId="0" borderId="0" xfId="7" quotePrefix="1" applyFont="1" applyAlignment="1">
      <alignment vertical="top"/>
    </xf>
    <xf numFmtId="0" fontId="8" fillId="0" borderId="8" xfId="7" applyFont="1" applyBorder="1"/>
    <xf numFmtId="14" fontId="8" fillId="0" borderId="15" xfId="7" applyNumberFormat="1" applyFont="1" applyBorder="1" applyAlignment="1" applyProtection="1">
      <alignment vertical="top" wrapText="1"/>
      <protection locked="0"/>
    </xf>
    <xf numFmtId="38" fontId="8" fillId="0" borderId="8" xfId="7" applyNumberFormat="1" applyFont="1" applyBorder="1"/>
    <xf numFmtId="0" fontId="68" fillId="0" borderId="7" xfId="7" applyFont="1" applyBorder="1" applyAlignment="1">
      <alignment horizontal="center"/>
    </xf>
    <xf numFmtId="0" fontId="30" fillId="0" borderId="8" xfId="7" applyFont="1" applyBorder="1" applyAlignment="1">
      <alignment horizontal="left"/>
    </xf>
    <xf numFmtId="17" fontId="30" fillId="0" borderId="0" xfId="7" applyNumberFormat="1" applyFont="1" applyAlignment="1">
      <alignment horizontal="center" vertical="top"/>
    </xf>
    <xf numFmtId="17" fontId="30" fillId="0" borderId="15" xfId="7" applyNumberFormat="1" applyFont="1" applyBorder="1" applyAlignment="1">
      <alignment horizontal="center" vertical="top"/>
    </xf>
    <xf numFmtId="14" fontId="36" fillId="0" borderId="15" xfId="7" applyNumberFormat="1" applyFont="1" applyBorder="1" applyAlignment="1">
      <alignment horizontal="center" vertical="top" wrapText="1"/>
    </xf>
    <xf numFmtId="167" fontId="5" fillId="0" borderId="0" xfId="7" applyNumberFormat="1" applyFont="1"/>
    <xf numFmtId="0" fontId="36" fillId="0" borderId="41" xfId="7" applyFont="1" applyBorder="1"/>
    <xf numFmtId="164" fontId="36" fillId="4" borderId="13" xfId="1" applyNumberFormat="1" applyFont="1" applyFill="1" applyBorder="1" applyAlignment="1" applyProtection="1">
      <alignment vertical="top"/>
    </xf>
    <xf numFmtId="164" fontId="36" fillId="4" borderId="33" xfId="1" applyNumberFormat="1" applyFont="1" applyFill="1" applyBorder="1" applyAlignment="1" applyProtection="1">
      <alignment vertical="top"/>
    </xf>
    <xf numFmtId="14" fontId="8" fillId="0" borderId="16" xfId="7" applyNumberFormat="1" applyFont="1" applyBorder="1" applyAlignment="1">
      <alignment vertical="top" wrapText="1"/>
    </xf>
    <xf numFmtId="38" fontId="36" fillId="0" borderId="0" xfId="7" applyNumberFormat="1" applyFont="1" applyAlignment="1">
      <alignment vertical="top"/>
    </xf>
    <xf numFmtId="38" fontId="8" fillId="0" borderId="0" xfId="7" applyNumberFormat="1" applyFont="1" applyAlignment="1">
      <alignment horizontal="right" vertical="top"/>
    </xf>
    <xf numFmtId="38" fontId="8" fillId="0" borderId="15" xfId="7" applyNumberFormat="1" applyFont="1" applyBorder="1" applyAlignment="1">
      <alignment horizontal="right" vertical="top"/>
    </xf>
    <xf numFmtId="0" fontId="8" fillId="0" borderId="15" xfId="7" applyFont="1" applyBorder="1"/>
    <xf numFmtId="164" fontId="36" fillId="0" borderId="0" xfId="1" applyNumberFormat="1" applyFont="1" applyFill="1" applyBorder="1" applyAlignment="1" applyProtection="1">
      <alignment vertical="top"/>
    </xf>
    <xf numFmtId="164" fontId="36" fillId="4" borderId="0" xfId="1" applyNumberFormat="1" applyFont="1" applyFill="1" applyBorder="1" applyAlignment="1" applyProtection="1">
      <alignment vertical="top"/>
    </xf>
    <xf numFmtId="0" fontId="8" fillId="0" borderId="7" xfId="7" quotePrefix="1" applyFont="1" applyBorder="1" applyAlignment="1">
      <alignment vertical="top"/>
    </xf>
    <xf numFmtId="0" fontId="8" fillId="0" borderId="16" xfId="7" applyFont="1" applyBorder="1"/>
    <xf numFmtId="14" fontId="8" fillId="0" borderId="15" xfId="7" applyNumberFormat="1" applyFont="1" applyBorder="1" applyAlignment="1">
      <alignment vertical="top" wrapText="1"/>
    </xf>
    <xf numFmtId="167" fontId="5" fillId="0" borderId="7" xfId="7" applyNumberFormat="1" applyFont="1" applyBorder="1"/>
    <xf numFmtId="0" fontId="8" fillId="0" borderId="3" xfId="7" applyFont="1" applyBorder="1" applyAlignment="1">
      <alignment vertical="top"/>
    </xf>
    <xf numFmtId="0" fontId="8" fillId="0" borderId="3" xfId="7" applyFont="1" applyBorder="1"/>
    <xf numFmtId="0" fontId="8" fillId="0" borderId="3" xfId="7" quotePrefix="1" applyFont="1" applyBorder="1" applyAlignment="1">
      <alignment horizontal="right" vertical="top"/>
    </xf>
    <xf numFmtId="40" fontId="8" fillId="0" borderId="3" xfId="7" applyNumberFormat="1" applyFont="1" applyBorder="1" applyAlignment="1">
      <alignment vertical="top"/>
    </xf>
    <xf numFmtId="0" fontId="8" fillId="0" borderId="2" xfId="7" applyFont="1" applyBorder="1" applyAlignment="1">
      <alignment vertical="top"/>
    </xf>
    <xf numFmtId="0" fontId="8" fillId="2" borderId="2" xfId="7" applyFont="1" applyFill="1" applyBorder="1"/>
    <xf numFmtId="0" fontId="8" fillId="2" borderId="0" xfId="7" applyFont="1" applyFill="1" applyAlignment="1">
      <alignment vertical="top"/>
    </xf>
    <xf numFmtId="0" fontId="8" fillId="2" borderId="0" xfId="7" quotePrefix="1" applyFont="1" applyFill="1" applyAlignment="1">
      <alignment horizontal="right" vertical="top"/>
    </xf>
    <xf numFmtId="40" fontId="8" fillId="2" borderId="0" xfId="7" applyNumberFormat="1" applyFont="1" applyFill="1" applyAlignment="1">
      <alignment vertical="top"/>
    </xf>
    <xf numFmtId="38" fontId="38" fillId="0" borderId="8" xfId="7" applyNumberFormat="1" applyFont="1" applyBorder="1" applyProtection="1">
      <protection locked="0"/>
    </xf>
    <xf numFmtId="164" fontId="38" fillId="0" borderId="0" xfId="1" applyNumberFormat="1" applyFont="1" applyFill="1" applyAlignment="1" applyProtection="1">
      <alignment horizontal="right"/>
      <protection locked="0"/>
    </xf>
    <xf numFmtId="164" fontId="8" fillId="0" borderId="0" xfId="1" applyNumberFormat="1" applyFont="1" applyAlignment="1" applyProtection="1">
      <alignment horizontal="centerContinuous" shrinkToFit="1"/>
    </xf>
    <xf numFmtId="0" fontId="36" fillId="0" borderId="0" xfId="7" applyFont="1" applyAlignment="1">
      <alignment vertical="top"/>
    </xf>
    <xf numFmtId="41" fontId="8" fillId="0" borderId="8" xfId="7" applyNumberFormat="1" applyFont="1" applyBorder="1" applyAlignment="1">
      <alignment vertical="top"/>
    </xf>
    <xf numFmtId="41" fontId="8" fillId="0" borderId="0" xfId="7" applyNumberFormat="1" applyFont="1" applyAlignment="1">
      <alignment vertical="top"/>
    </xf>
    <xf numFmtId="41" fontId="8" fillId="0" borderId="15" xfId="7" applyNumberFormat="1" applyFont="1" applyBorder="1" applyAlignment="1">
      <alignment vertical="top"/>
    </xf>
    <xf numFmtId="0" fontId="36" fillId="0" borderId="8" xfId="7" applyFont="1" applyBorder="1"/>
    <xf numFmtId="38" fontId="36" fillId="4" borderId="13" xfId="7" applyNumberFormat="1" applyFont="1" applyFill="1" applyBorder="1"/>
    <xf numFmtId="167" fontId="8" fillId="0" borderId="0" xfId="11" applyNumberFormat="1" applyFont="1" applyAlignment="1">
      <alignment horizontal="center"/>
    </xf>
    <xf numFmtId="1" fontId="59" fillId="0" borderId="0" xfId="0" applyNumberFormat="1" applyFont="1"/>
    <xf numFmtId="0" fontId="24" fillId="0" borderId="0" xfId="0" applyFont="1"/>
    <xf numFmtId="0" fontId="43" fillId="0" borderId="0" xfId="0" applyFont="1" applyAlignment="1">
      <alignment horizontal="centerContinuous" shrinkToFit="1"/>
    </xf>
    <xf numFmtId="165" fontId="32" fillId="0" borderId="14" xfId="2" applyNumberFormat="1" applyFont="1" applyFill="1" applyBorder="1" applyAlignment="1" applyProtection="1">
      <alignment horizontal="center"/>
      <protection locked="0"/>
    </xf>
    <xf numFmtId="165" fontId="38" fillId="0" borderId="0" xfId="2" applyNumberFormat="1" applyFont="1" applyFill="1" applyBorder="1" applyAlignment="1" applyProtection="1">
      <alignment horizontal="center"/>
      <protection locked="0"/>
    </xf>
    <xf numFmtId="14" fontId="8" fillId="0" borderId="0" xfId="0" applyNumberFormat="1" applyFont="1" applyAlignment="1">
      <alignment wrapText="1"/>
    </xf>
    <xf numFmtId="165" fontId="32" fillId="0" borderId="15" xfId="2" applyNumberFormat="1" applyFont="1" applyFill="1" applyBorder="1" applyAlignment="1" applyProtection="1">
      <alignment horizontal="center"/>
      <protection locked="0"/>
    </xf>
    <xf numFmtId="165" fontId="32" fillId="0" borderId="16" xfId="2" applyNumberFormat="1" applyFont="1" applyFill="1" applyBorder="1" applyAlignment="1" applyProtection="1">
      <alignment horizontal="center"/>
      <protection locked="0"/>
    </xf>
    <xf numFmtId="0" fontId="47" fillId="0" borderId="0" xfId="0" applyFont="1"/>
    <xf numFmtId="1" fontId="8" fillId="4" borderId="0" xfId="0" applyNumberFormat="1" applyFont="1" applyFill="1" applyAlignment="1">
      <alignment horizontal="center"/>
    </xf>
    <xf numFmtId="1" fontId="8" fillId="4" borderId="15" xfId="0" applyNumberFormat="1" applyFont="1" applyFill="1" applyBorder="1" applyAlignment="1">
      <alignment horizontal="center"/>
    </xf>
    <xf numFmtId="17" fontId="36" fillId="0" borderId="0" xfId="0" applyNumberFormat="1" applyFont="1" applyAlignment="1">
      <alignment horizontal="center"/>
    </xf>
    <xf numFmtId="17" fontId="36" fillId="0" borderId="15" xfId="0" applyNumberFormat="1" applyFont="1" applyBorder="1" applyAlignment="1">
      <alignment horizontal="center"/>
    </xf>
    <xf numFmtId="0" fontId="8" fillId="0" borderId="0" xfId="0" applyFont="1" applyAlignment="1">
      <alignment horizontal="center" vertical="top"/>
    </xf>
    <xf numFmtId="0" fontId="36" fillId="0" borderId="0" xfId="0" applyFont="1" applyAlignment="1">
      <alignment horizontal="left" vertical="top"/>
    </xf>
    <xf numFmtId="9" fontId="67" fillId="0" borderId="0" xfId="0" applyNumberFormat="1" applyFont="1" applyAlignment="1" applyProtection="1">
      <alignment horizontal="center" vertical="top"/>
      <protection locked="0"/>
    </xf>
    <xf numFmtId="9" fontId="48" fillId="0" borderId="15" xfId="0" applyNumberFormat="1" applyFont="1" applyBorder="1" applyAlignment="1" applyProtection="1">
      <alignment horizontal="center" vertical="top"/>
      <protection locked="0"/>
    </xf>
    <xf numFmtId="0" fontId="8" fillId="0" borderId="0" xfId="0" applyFont="1" applyAlignment="1">
      <alignment vertical="top"/>
    </xf>
    <xf numFmtId="14" fontId="8" fillId="0" borderId="15" xfId="0" applyNumberFormat="1" applyFont="1" applyBorder="1" applyAlignment="1" applyProtection="1">
      <alignment vertical="top" wrapText="1"/>
      <protection locked="0"/>
    </xf>
    <xf numFmtId="0" fontId="8" fillId="0" borderId="0" xfId="0" applyFont="1" applyAlignment="1">
      <alignment horizontal="right" vertical="top"/>
    </xf>
    <xf numFmtId="38" fontId="8" fillId="4" borderId="0" xfId="0" applyNumberFormat="1" applyFont="1" applyFill="1" applyAlignment="1">
      <alignment horizontal="center" vertical="top"/>
    </xf>
    <xf numFmtId="14" fontId="8" fillId="0" borderId="16" xfId="0" applyNumberFormat="1" applyFont="1" applyBorder="1" applyAlignment="1" applyProtection="1">
      <alignment vertical="top" wrapText="1"/>
      <protection locked="0"/>
    </xf>
    <xf numFmtId="0" fontId="36" fillId="0" borderId="0" xfId="0" applyFont="1" applyAlignment="1">
      <alignment horizontal="center" vertical="top"/>
    </xf>
    <xf numFmtId="0" fontId="36" fillId="0" borderId="15" xfId="0" applyFont="1" applyBorder="1" applyAlignment="1">
      <alignment horizontal="center" vertical="top"/>
    </xf>
    <xf numFmtId="0" fontId="47" fillId="0" borderId="0" xfId="0" applyFont="1" applyAlignment="1">
      <alignment vertical="top"/>
    </xf>
    <xf numFmtId="0" fontId="47" fillId="0" borderId="15" xfId="0" applyFont="1" applyBorder="1" applyAlignment="1">
      <alignment vertical="top"/>
    </xf>
    <xf numFmtId="164" fontId="32" fillId="0" borderId="0" xfId="1" applyNumberFormat="1" applyFont="1" applyFill="1" applyBorder="1" applyAlignment="1" applyProtection="1">
      <alignment horizontal="center" vertical="top"/>
      <protection locked="0"/>
    </xf>
    <xf numFmtId="164" fontId="36" fillId="4" borderId="15" xfId="0" applyNumberFormat="1" applyFont="1" applyFill="1" applyBorder="1" applyAlignment="1">
      <alignment horizontal="center"/>
    </xf>
    <xf numFmtId="164" fontId="36" fillId="4" borderId="0" xfId="1" applyNumberFormat="1" applyFont="1" applyFill="1" applyBorder="1" applyAlignment="1" applyProtection="1">
      <alignment horizontal="center" vertical="top"/>
    </xf>
    <xf numFmtId="6" fontId="8" fillId="0" borderId="0" xfId="0" quotePrefix="1" applyNumberFormat="1" applyFont="1" applyAlignment="1">
      <alignment horizontal="left"/>
    </xf>
    <xf numFmtId="0" fontId="36" fillId="0" borderId="15" xfId="0" applyFont="1" applyBorder="1" applyAlignment="1">
      <alignment horizontal="center"/>
    </xf>
    <xf numFmtId="14" fontId="8" fillId="0" borderId="15" xfId="0" applyNumberFormat="1" applyFont="1" applyBorder="1" applyAlignment="1">
      <alignment wrapText="1"/>
    </xf>
    <xf numFmtId="6" fontId="36" fillId="0" borderId="0" xfId="0" quotePrefix="1" applyNumberFormat="1" applyFont="1" applyAlignment="1">
      <alignment horizontal="right"/>
    </xf>
    <xf numFmtId="165" fontId="36" fillId="4" borderId="20" xfId="0" applyNumberFormat="1" applyFont="1" applyFill="1" applyBorder="1" applyAlignment="1">
      <alignment horizontal="center"/>
    </xf>
    <xf numFmtId="165" fontId="36" fillId="4" borderId="36" xfId="0" applyNumberFormat="1" applyFont="1" applyFill="1" applyBorder="1" applyAlignment="1">
      <alignment horizontal="center"/>
    </xf>
    <xf numFmtId="165" fontId="36" fillId="0" borderId="0" xfId="0" applyNumberFormat="1" applyFont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" fontId="59" fillId="4" borderId="32" xfId="0" applyNumberFormat="1" applyFont="1" applyFill="1" applyBorder="1"/>
    <xf numFmtId="0" fontId="36" fillId="0" borderId="3" xfId="0" applyFont="1" applyBorder="1"/>
    <xf numFmtId="165" fontId="30" fillId="15" borderId="38" xfId="19" applyNumberFormat="1" applyFont="1" applyFill="1" applyBorder="1" applyAlignment="1">
      <alignment horizontal="center" vertical="top" wrapText="1"/>
    </xf>
    <xf numFmtId="165" fontId="30" fillId="15" borderId="6" xfId="19" applyNumberFormat="1" applyFont="1" applyFill="1" applyBorder="1" applyAlignment="1">
      <alignment horizontal="center" vertical="center"/>
    </xf>
    <xf numFmtId="44" fontId="24" fillId="0" borderId="0" xfId="15" applyNumberFormat="1" applyFont="1" applyAlignment="1">
      <alignment horizontal="right"/>
    </xf>
    <xf numFmtId="44" fontId="24" fillId="0" borderId="8" xfId="15" applyNumberFormat="1" applyFont="1" applyBorder="1"/>
    <xf numFmtId="41" fontId="8" fillId="0" borderId="3" xfId="11" applyNumberFormat="1" applyFont="1" applyBorder="1" applyAlignment="1">
      <alignment horizontal="left" indent="2"/>
    </xf>
    <xf numFmtId="167" fontId="42" fillId="15" borderId="17" xfId="0" applyNumberFormat="1" applyFont="1" applyFill="1" applyBorder="1" applyAlignment="1">
      <alignment horizontal="center"/>
    </xf>
    <xf numFmtId="17" fontId="30" fillId="15" borderId="6" xfId="0" applyNumberFormat="1" applyFont="1" applyFill="1" applyBorder="1" applyAlignment="1">
      <alignment horizontal="center"/>
    </xf>
    <xf numFmtId="17" fontId="30" fillId="15" borderId="38" xfId="0" applyNumberFormat="1" applyFont="1" applyFill="1" applyBorder="1" applyAlignment="1">
      <alignment horizontal="center"/>
    </xf>
    <xf numFmtId="17" fontId="30" fillId="15" borderId="32" xfId="0" applyNumberFormat="1" applyFont="1" applyFill="1" applyBorder="1" applyAlignment="1">
      <alignment horizontal="center"/>
    </xf>
    <xf numFmtId="17" fontId="42" fillId="15" borderId="32" xfId="0" applyNumberFormat="1" applyFont="1" applyFill="1" applyBorder="1" applyAlignment="1">
      <alignment horizontal="center"/>
    </xf>
    <xf numFmtId="17" fontId="30" fillId="15" borderId="17" xfId="0" applyNumberFormat="1" applyFont="1" applyFill="1" applyBorder="1" applyAlignment="1">
      <alignment horizontal="center"/>
    </xf>
    <xf numFmtId="0" fontId="53" fillId="5" borderId="6" xfId="15" applyFont="1" applyFill="1" applyBorder="1"/>
    <xf numFmtId="42" fontId="53" fillId="5" borderId="6" xfId="15" applyNumberFormat="1" applyFont="1" applyFill="1" applyBorder="1" applyAlignment="1">
      <alignment horizontal="center"/>
    </xf>
    <xf numFmtId="37" fontId="8" fillId="0" borderId="0" xfId="6" applyFont="1" applyProtection="1">
      <protection locked="0"/>
    </xf>
    <xf numFmtId="0" fontId="8" fillId="0" borderId="3" xfId="0" applyFont="1" applyBorder="1" applyProtection="1">
      <protection locked="0"/>
    </xf>
    <xf numFmtId="0" fontId="45" fillId="0" borderId="3" xfId="18" applyFont="1" applyBorder="1" applyAlignment="1">
      <alignment horizontal="left" vertical="top"/>
    </xf>
    <xf numFmtId="0" fontId="24" fillId="0" borderId="0" xfId="15" applyFont="1" applyAlignment="1">
      <alignment horizontal="right"/>
    </xf>
    <xf numFmtId="180" fontId="69" fillId="0" borderId="0" xfId="20" applyNumberFormat="1" applyFont="1" applyAlignment="1">
      <alignment horizontal="centerContinuous"/>
    </xf>
    <xf numFmtId="42" fontId="32" fillId="0" borderId="8" xfId="0" applyNumberFormat="1" applyFont="1" applyBorder="1" applyProtection="1">
      <protection locked="0"/>
    </xf>
    <xf numFmtId="0" fontId="14" fillId="0" borderId="0" xfId="12" applyFont="1" applyAlignment="1">
      <alignment horizontal="left" vertical="top"/>
    </xf>
    <xf numFmtId="0" fontId="14" fillId="0" borderId="0" xfId="12" applyFont="1" applyAlignment="1">
      <alignment horizontal="center" vertical="top"/>
    </xf>
    <xf numFmtId="43" fontId="14" fillId="0" borderId="0" xfId="13" applyFont="1" applyAlignment="1">
      <alignment horizontal="left" vertical="top"/>
    </xf>
    <xf numFmtId="0" fontId="12" fillId="0" borderId="0" xfId="14" applyFont="1" applyAlignment="1">
      <alignment horizontal="left" vertical="top" wrapText="1"/>
    </xf>
    <xf numFmtId="0" fontId="12" fillId="0" borderId="0" xfId="14" applyFont="1" applyAlignment="1">
      <alignment horizontal="center" vertical="top" wrapText="1"/>
    </xf>
    <xf numFmtId="43" fontId="10" fillId="0" borderId="0" xfId="13" applyFont="1" applyAlignment="1">
      <alignment horizontal="left" vertical="top"/>
    </xf>
    <xf numFmtId="0" fontId="10" fillId="0" borderId="0" xfId="12" applyFont="1" applyAlignment="1">
      <alignment horizontal="center" vertical="top"/>
    </xf>
    <xf numFmtId="0" fontId="10" fillId="0" borderId="0" xfId="11" applyFont="1" applyAlignment="1">
      <alignment horizontal="center"/>
    </xf>
    <xf numFmtId="167" fontId="20" fillId="0" borderId="0" xfId="11" applyNumberFormat="1" applyFont="1" applyAlignment="1">
      <alignment horizontal="center"/>
    </xf>
    <xf numFmtId="0" fontId="10" fillId="0" borderId="0" xfId="11" applyFont="1" applyAlignment="1">
      <alignment horizontal="left" vertical="top"/>
    </xf>
    <xf numFmtId="167" fontId="14" fillId="0" borderId="0" xfId="11" applyNumberFormat="1" applyFont="1" applyAlignment="1">
      <alignment horizontal="left"/>
    </xf>
    <xf numFmtId="0" fontId="14" fillId="5" borderId="0" xfId="12" applyFont="1" applyFill="1" applyAlignment="1">
      <alignment horizontal="center" vertical="top"/>
    </xf>
    <xf numFmtId="43" fontId="10" fillId="0" borderId="0" xfId="13" applyFont="1" applyFill="1" applyAlignment="1">
      <alignment horizontal="left" vertical="top"/>
    </xf>
    <xf numFmtId="0" fontId="14" fillId="8" borderId="0" xfId="12" applyFont="1" applyFill="1" applyAlignment="1">
      <alignment horizontal="center" vertical="top"/>
    </xf>
    <xf numFmtId="0" fontId="10" fillId="8" borderId="0" xfId="11" applyFont="1" applyFill="1" applyAlignment="1">
      <alignment horizontal="center"/>
    </xf>
    <xf numFmtId="167" fontId="20" fillId="8" borderId="0" xfId="11" applyNumberFormat="1" applyFont="1" applyFill="1" applyAlignment="1">
      <alignment horizontal="center"/>
    </xf>
    <xf numFmtId="0" fontId="10" fillId="8" borderId="0" xfId="12" applyFont="1" applyFill="1" applyAlignment="1">
      <alignment horizontal="left" vertical="top"/>
    </xf>
    <xf numFmtId="167" fontId="14" fillId="0" borderId="0" xfId="11" quotePrefix="1" applyNumberFormat="1" applyFont="1" applyAlignment="1">
      <alignment horizontal="left"/>
    </xf>
    <xf numFmtId="167" fontId="10" fillId="8" borderId="0" xfId="11" quotePrefix="1" applyNumberFormat="1" applyFont="1" applyFill="1" applyAlignment="1">
      <alignment horizontal="center"/>
    </xf>
    <xf numFmtId="0" fontId="14" fillId="10" borderId="0" xfId="12" applyFont="1" applyFill="1" applyAlignment="1">
      <alignment horizontal="center" vertical="top"/>
    </xf>
    <xf numFmtId="0" fontId="10" fillId="10" borderId="0" xfId="11" applyFont="1" applyFill="1" applyAlignment="1">
      <alignment horizontal="center"/>
    </xf>
    <xf numFmtId="0" fontId="10" fillId="10" borderId="0" xfId="12" applyFont="1" applyFill="1" applyAlignment="1">
      <alignment horizontal="left" vertical="top"/>
    </xf>
    <xf numFmtId="167" fontId="14" fillId="10" borderId="0" xfId="11" applyNumberFormat="1" applyFont="1" applyFill="1" applyAlignment="1">
      <alignment horizontal="left"/>
    </xf>
    <xf numFmtId="167" fontId="14" fillId="17" borderId="0" xfId="11" applyNumberFormat="1" applyFont="1" applyFill="1" applyAlignment="1">
      <alignment horizontal="center"/>
    </xf>
    <xf numFmtId="167" fontId="10" fillId="0" borderId="0" xfId="11" applyNumberFormat="1" applyFont="1" applyAlignment="1">
      <alignment horizontal="left"/>
    </xf>
    <xf numFmtId="0" fontId="10" fillId="5" borderId="0" xfId="12" applyFont="1" applyFill="1" applyAlignment="1">
      <alignment horizontal="center" vertical="top"/>
    </xf>
    <xf numFmtId="0" fontId="10" fillId="5" borderId="0" xfId="11" applyFont="1" applyFill="1" applyAlignment="1">
      <alignment horizontal="center"/>
    </xf>
    <xf numFmtId="0" fontId="14" fillId="8" borderId="23" xfId="12" applyFont="1" applyFill="1" applyBorder="1" applyAlignment="1">
      <alignment horizontal="center" vertical="top"/>
    </xf>
    <xf numFmtId="0" fontId="10" fillId="8" borderId="0" xfId="12" applyFont="1" applyFill="1" applyAlignment="1">
      <alignment horizontal="center" vertical="top"/>
    </xf>
    <xf numFmtId="0" fontId="10" fillId="8" borderId="0" xfId="11" applyFont="1" applyFill="1" applyAlignment="1">
      <alignment horizontal="left" vertical="top"/>
    </xf>
    <xf numFmtId="0" fontId="14" fillId="8" borderId="21" xfId="12" applyFont="1" applyFill="1" applyBorder="1" applyAlignment="1">
      <alignment horizontal="center" vertical="top"/>
    </xf>
    <xf numFmtId="167" fontId="10" fillId="8" borderId="19" xfId="11" applyNumberFormat="1" applyFont="1" applyFill="1" applyBorder="1" applyAlignment="1">
      <alignment horizontal="center"/>
    </xf>
    <xf numFmtId="0" fontId="10" fillId="8" borderId="19" xfId="11" applyFont="1" applyFill="1" applyBorder="1"/>
    <xf numFmtId="0" fontId="10" fillId="8" borderId="19" xfId="11" applyFont="1" applyFill="1" applyBorder="1" applyAlignment="1">
      <alignment horizontal="center"/>
    </xf>
    <xf numFmtId="0" fontId="10" fillId="8" borderId="19" xfId="12" applyFont="1" applyFill="1" applyBorder="1" applyAlignment="1">
      <alignment horizontal="left" vertical="top"/>
    </xf>
    <xf numFmtId="0" fontId="10" fillId="8" borderId="22" xfId="12" applyFont="1" applyFill="1" applyBorder="1" applyAlignment="1">
      <alignment horizontal="left" vertical="top"/>
    </xf>
    <xf numFmtId="0" fontId="10" fillId="8" borderId="24" xfId="12" applyFont="1" applyFill="1" applyBorder="1" applyAlignment="1">
      <alignment horizontal="left" vertical="top"/>
    </xf>
    <xf numFmtId="0" fontId="14" fillId="8" borderId="27" xfId="12" applyFont="1" applyFill="1" applyBorder="1" applyAlignment="1">
      <alignment horizontal="center" vertical="top"/>
    </xf>
    <xf numFmtId="167" fontId="10" fillId="8" borderId="5" xfId="11" applyNumberFormat="1" applyFont="1" applyFill="1" applyBorder="1" applyAlignment="1">
      <alignment horizontal="center"/>
    </xf>
    <xf numFmtId="0" fontId="10" fillId="8" borderId="5" xfId="11" applyFont="1" applyFill="1" applyBorder="1"/>
    <xf numFmtId="0" fontId="10" fillId="8" borderId="5" xfId="11" applyFont="1" applyFill="1" applyBorder="1" applyAlignment="1">
      <alignment horizontal="center"/>
    </xf>
    <xf numFmtId="0" fontId="10" fillId="8" borderId="5" xfId="12" applyFont="1" applyFill="1" applyBorder="1" applyAlignment="1">
      <alignment horizontal="left" vertical="top"/>
    </xf>
    <xf numFmtId="0" fontId="10" fillId="8" borderId="28" xfId="12" applyFont="1" applyFill="1" applyBorder="1" applyAlignment="1">
      <alignment horizontal="left" vertical="top"/>
    </xf>
    <xf numFmtId="0" fontId="10" fillId="5" borderId="0" xfId="11" applyFont="1" applyFill="1" applyAlignment="1">
      <alignment horizontal="left" vertical="top"/>
    </xf>
    <xf numFmtId="0" fontId="10" fillId="6" borderId="0" xfId="12" applyFont="1" applyFill="1" applyAlignment="1">
      <alignment horizontal="center" vertical="top"/>
    </xf>
    <xf numFmtId="0" fontId="10" fillId="6" borderId="0" xfId="11" applyFont="1" applyFill="1" applyAlignment="1">
      <alignment horizontal="left" vertical="top"/>
    </xf>
    <xf numFmtId="0" fontId="10" fillId="6" borderId="0" xfId="12" applyFont="1" applyFill="1" applyAlignment="1">
      <alignment horizontal="left" vertical="top"/>
    </xf>
    <xf numFmtId="0" fontId="10" fillId="6" borderId="0" xfId="11" applyFont="1" applyFill="1" applyAlignment="1">
      <alignment horizontal="center"/>
    </xf>
    <xf numFmtId="167" fontId="10" fillId="6" borderId="0" xfId="11" applyNumberFormat="1" applyFont="1" applyFill="1" applyAlignment="1">
      <alignment horizontal="center"/>
    </xf>
    <xf numFmtId="0" fontId="15" fillId="0" borderId="0" xfId="12" applyFont="1" applyAlignment="1">
      <alignment horizontal="left" vertical="top"/>
    </xf>
    <xf numFmtId="0" fontId="10" fillId="10" borderId="0" xfId="12" applyFont="1" applyFill="1" applyAlignment="1">
      <alignment horizontal="center" vertical="top"/>
    </xf>
    <xf numFmtId="0" fontId="10" fillId="10" borderId="0" xfId="11" applyFont="1" applyFill="1" applyAlignment="1">
      <alignment horizontal="left" vertical="top"/>
    </xf>
    <xf numFmtId="167" fontId="14" fillId="10" borderId="0" xfId="11" applyNumberFormat="1" applyFont="1" applyFill="1" applyAlignment="1">
      <alignment horizontal="center"/>
    </xf>
    <xf numFmtId="0" fontId="10" fillId="18" borderId="0" xfId="11" applyFont="1" applyFill="1" applyAlignment="1">
      <alignment horizontal="center"/>
    </xf>
    <xf numFmtId="167" fontId="10" fillId="18" borderId="0" xfId="11" applyNumberFormat="1" applyFont="1" applyFill="1" applyAlignment="1">
      <alignment horizontal="center"/>
    </xf>
    <xf numFmtId="0" fontId="10" fillId="18" borderId="0" xfId="12" applyFont="1" applyFill="1" applyAlignment="1">
      <alignment horizontal="left" vertical="top"/>
    </xf>
    <xf numFmtId="0" fontId="10" fillId="18" borderId="0" xfId="12" applyFont="1" applyFill="1" applyAlignment="1">
      <alignment horizontal="center" vertical="top"/>
    </xf>
    <xf numFmtId="0" fontId="10" fillId="18" borderId="0" xfId="11" applyFont="1" applyFill="1" applyAlignment="1">
      <alignment horizontal="left" vertical="top"/>
    </xf>
    <xf numFmtId="0" fontId="70" fillId="0" borderId="0" xfId="12" applyFont="1" applyAlignment="1">
      <alignment horizontal="left" vertical="top"/>
    </xf>
    <xf numFmtId="0" fontId="70" fillId="0" borderId="0" xfId="11" applyFont="1" applyAlignment="1">
      <alignment horizontal="left" vertical="top"/>
    </xf>
    <xf numFmtId="43" fontId="70" fillId="0" borderId="0" xfId="13" applyFont="1" applyFill="1" applyAlignment="1">
      <alignment horizontal="left" vertical="top"/>
    </xf>
    <xf numFmtId="167" fontId="14" fillId="8" borderId="0" xfId="11" applyNumberFormat="1" applyFont="1" applyFill="1" applyAlignment="1">
      <alignment horizontal="left"/>
    </xf>
    <xf numFmtId="164" fontId="38" fillId="0" borderId="0" xfId="0" applyNumberFormat="1" applyFont="1" applyAlignment="1" applyProtection="1">
      <alignment horizontal="right"/>
      <protection locked="0"/>
    </xf>
    <xf numFmtId="164" fontId="32" fillId="0" borderId="10" xfId="0" applyNumberFormat="1" applyFont="1" applyBorder="1" applyAlignment="1" applyProtection="1">
      <alignment horizontal="right"/>
      <protection locked="0"/>
    </xf>
    <xf numFmtId="1" fontId="8" fillId="4" borderId="8" xfId="0" applyNumberFormat="1" applyFont="1" applyFill="1" applyBorder="1" applyAlignment="1">
      <alignment horizontal="right" shrinkToFit="1"/>
    </xf>
    <xf numFmtId="9" fontId="32" fillId="0" borderId="0" xfId="4" applyFont="1" applyFill="1" applyBorder="1" applyAlignment="1" applyProtection="1">
      <alignment shrinkToFit="1"/>
      <protection locked="0"/>
    </xf>
    <xf numFmtId="9" fontId="32" fillId="0" borderId="8" xfId="4" applyFont="1" applyFill="1" applyBorder="1" applyAlignment="1" applyProtection="1">
      <alignment shrinkToFit="1"/>
      <protection locked="0"/>
    </xf>
    <xf numFmtId="41" fontId="8" fillId="4" borderId="0" xfId="0" applyNumberFormat="1" applyFont="1" applyFill="1" applyAlignment="1" applyProtection="1">
      <alignment horizontal="center" shrinkToFit="1"/>
      <protection locked="0"/>
    </xf>
    <xf numFmtId="41" fontId="8" fillId="4" borderId="8" xfId="0" applyNumberFormat="1" applyFont="1" applyFill="1" applyBorder="1" applyAlignment="1" applyProtection="1">
      <alignment horizontal="center" shrinkToFit="1"/>
      <protection locked="0"/>
    </xf>
    <xf numFmtId="8" fontId="60" fillId="0" borderId="8" xfId="15" applyNumberFormat="1" applyFont="1" applyBorder="1" applyAlignment="1" applyProtection="1">
      <alignment horizontal="center"/>
      <protection locked="0"/>
    </xf>
    <xf numFmtId="182" fontId="32" fillId="0" borderId="0" xfId="15" applyNumberFormat="1" applyFont="1"/>
    <xf numFmtId="164" fontId="8" fillId="4" borderId="8" xfId="1" applyNumberFormat="1" applyFont="1" applyFill="1" applyBorder="1" applyAlignment="1" applyProtection="1">
      <alignment shrinkToFit="1"/>
    </xf>
    <xf numFmtId="182" fontId="32" fillId="0" borderId="0" xfId="0" applyNumberFormat="1" applyFont="1" applyAlignment="1" applyProtection="1">
      <alignment horizontal="right"/>
      <protection locked="0"/>
    </xf>
    <xf numFmtId="41" fontId="53" fillId="13" borderId="0" xfId="15" applyNumberFormat="1" applyFont="1" applyFill="1" applyAlignment="1" applyProtection="1">
      <alignment horizontal="center"/>
      <protection locked="0"/>
    </xf>
    <xf numFmtId="183" fontId="32" fillId="0" borderId="0" xfId="15" applyNumberFormat="1" applyFont="1"/>
    <xf numFmtId="14" fontId="8" fillId="0" borderId="0" xfId="7" applyNumberFormat="1" applyFont="1" applyAlignment="1" applyProtection="1">
      <alignment vertical="top" wrapText="1"/>
      <protection locked="0"/>
    </xf>
    <xf numFmtId="0" fontId="8" fillId="0" borderId="7" xfId="7" applyFont="1" applyBorder="1"/>
    <xf numFmtId="9" fontId="32" fillId="0" borderId="0" xfId="4" applyFont="1" applyFill="1" applyAlignment="1" applyProtection="1">
      <alignment horizontal="right"/>
      <protection locked="0"/>
    </xf>
    <xf numFmtId="165" fontId="36" fillId="0" borderId="19" xfId="2" applyNumberFormat="1" applyFont="1" applyFill="1" applyBorder="1" applyAlignment="1" applyProtection="1">
      <alignment horizontal="center"/>
    </xf>
    <xf numFmtId="6" fontId="32" fillId="0" borderId="0" xfId="7" applyNumberFormat="1" applyFont="1"/>
    <xf numFmtId="0" fontId="30" fillId="15" borderId="17" xfId="0" applyFont="1" applyFill="1" applyBorder="1" applyAlignment="1" applyProtection="1">
      <alignment horizontal="center" vertical="center"/>
      <protection locked="0"/>
    </xf>
    <xf numFmtId="0" fontId="30" fillId="15" borderId="6" xfId="0" applyFont="1" applyFill="1" applyBorder="1" applyAlignment="1" applyProtection="1">
      <alignment horizontal="center" vertical="center"/>
      <protection locked="0"/>
    </xf>
    <xf numFmtId="0" fontId="30" fillId="15" borderId="38" xfId="0" applyFont="1" applyFill="1" applyBorder="1" applyAlignment="1" applyProtection="1">
      <alignment horizontal="center" vertical="center"/>
      <protection locked="0"/>
    </xf>
    <xf numFmtId="9" fontId="8" fillId="0" borderId="0" xfId="4" applyFont="1" applyBorder="1"/>
    <xf numFmtId="165" fontId="8" fillId="0" borderId="0" xfId="2" applyNumberFormat="1" applyFont="1" applyBorder="1"/>
    <xf numFmtId="44" fontId="8" fillId="0" borderId="0" xfId="2" applyFont="1" applyBorder="1"/>
    <xf numFmtId="164" fontId="8" fillId="0" borderId="8" xfId="1" applyNumberFormat="1" applyFont="1" applyBorder="1"/>
    <xf numFmtId="0" fontId="36" fillId="0" borderId="17" xfId="0" applyFont="1" applyBorder="1"/>
    <xf numFmtId="41" fontId="36" fillId="0" borderId="17" xfId="0" applyNumberFormat="1" applyFont="1" applyBorder="1" applyAlignment="1">
      <alignment horizontal="center"/>
    </xf>
    <xf numFmtId="164" fontId="36" fillId="0" borderId="6" xfId="1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6" xfId="2" applyNumberFormat="1" applyFont="1" applyBorder="1" applyAlignment="1">
      <alignment horizontal="center"/>
    </xf>
    <xf numFmtId="44" fontId="36" fillId="0" borderId="6" xfId="0" applyNumberFormat="1" applyFont="1" applyBorder="1" applyAlignment="1">
      <alignment horizontal="center"/>
    </xf>
    <xf numFmtId="164" fontId="36" fillId="0" borderId="38" xfId="1" applyNumberFormat="1" applyFont="1" applyBorder="1" applyAlignment="1">
      <alignment horizontal="center"/>
    </xf>
    <xf numFmtId="0" fontId="30" fillId="15" borderId="6" xfId="0" applyFont="1" applyFill="1" applyBorder="1" applyAlignment="1" applyProtection="1">
      <alignment horizontal="center" vertical="center" wrapText="1"/>
      <protection locked="0"/>
    </xf>
    <xf numFmtId="164" fontId="30" fillId="15" borderId="6" xfId="1" applyNumberFormat="1" applyFont="1" applyFill="1" applyBorder="1" applyAlignment="1" applyProtection="1">
      <alignment horizontal="center" vertical="center"/>
      <protection hidden="1"/>
    </xf>
    <xf numFmtId="0" fontId="30" fillId="15" borderId="6" xfId="0" applyFont="1" applyFill="1" applyBorder="1" applyAlignment="1" applyProtection="1">
      <alignment horizontal="center" vertical="center"/>
      <protection hidden="1"/>
    </xf>
    <xf numFmtId="0" fontId="30" fillId="15" borderId="38" xfId="0" applyFont="1" applyFill="1" applyBorder="1" applyAlignment="1" applyProtection="1">
      <alignment horizontal="center" vertical="center"/>
      <protection hidden="1"/>
    </xf>
    <xf numFmtId="41" fontId="60" fillId="13" borderId="0" xfId="15" applyNumberFormat="1" applyFont="1" applyFill="1" applyAlignment="1" applyProtection="1">
      <alignment horizontal="center"/>
      <protection locked="0"/>
    </xf>
    <xf numFmtId="49" fontId="5" fillId="3" borderId="0" xfId="0" applyNumberFormat="1" applyFont="1" applyFill="1" applyAlignment="1">
      <alignment horizontal="left"/>
    </xf>
    <xf numFmtId="1" fontId="8" fillId="4" borderId="0" xfId="0" applyNumberFormat="1" applyFont="1" applyFill="1" applyAlignment="1">
      <alignment horizontal="left" wrapText="1"/>
    </xf>
    <xf numFmtId="9" fontId="71" fillId="0" borderId="0" xfId="0" applyNumberFormat="1" applyFont="1"/>
    <xf numFmtId="0" fontId="59" fillId="5" borderId="0" xfId="15" applyFont="1" applyFill="1" applyAlignment="1">
      <alignment horizontal="center"/>
    </xf>
    <xf numFmtId="14" fontId="8" fillId="0" borderId="0" xfId="0" applyNumberFormat="1" applyFont="1"/>
    <xf numFmtId="0" fontId="64" fillId="5" borderId="0" xfId="15" applyFont="1" applyFill="1"/>
    <xf numFmtId="17" fontId="53" fillId="15" borderId="6" xfId="15" applyNumberFormat="1" applyFont="1" applyFill="1" applyBorder="1" applyAlignment="1">
      <alignment horizontal="center"/>
    </xf>
    <xf numFmtId="0" fontId="0" fillId="0" borderId="15" xfId="0" applyBorder="1"/>
    <xf numFmtId="38" fontId="36" fillId="0" borderId="13" xfId="7" applyNumberFormat="1" applyFont="1" applyBorder="1" applyAlignment="1">
      <alignment vertical="top"/>
    </xf>
    <xf numFmtId="0" fontId="8" fillId="0" borderId="13" xfId="7" applyFont="1" applyBorder="1" applyAlignment="1">
      <alignment horizontal="centerContinuous" shrinkToFit="1"/>
    </xf>
    <xf numFmtId="0" fontId="8" fillId="0" borderId="11" xfId="7" applyFont="1" applyBorder="1"/>
    <xf numFmtId="0" fontId="8" fillId="0" borderId="12" xfId="7" applyFont="1" applyBorder="1"/>
    <xf numFmtId="0" fontId="8" fillId="0" borderId="9" xfId="7" applyFont="1" applyBorder="1"/>
    <xf numFmtId="0" fontId="8" fillId="0" borderId="10" xfId="7" applyFont="1" applyBorder="1"/>
    <xf numFmtId="14" fontId="8" fillId="0" borderId="14" xfId="7" applyNumberFormat="1" applyFont="1" applyBorder="1" applyAlignment="1" applyProtection="1">
      <alignment vertical="top" wrapText="1"/>
      <protection locked="0"/>
    </xf>
    <xf numFmtId="14" fontId="8" fillId="0" borderId="16" xfId="7" applyNumberFormat="1" applyFont="1" applyBorder="1" applyAlignment="1" applyProtection="1">
      <alignment vertical="top" wrapText="1"/>
      <protection locked="0"/>
    </xf>
    <xf numFmtId="8" fontId="71" fillId="0" borderId="2" xfId="7" applyNumberFormat="1" applyFont="1" applyBorder="1" applyAlignment="1">
      <alignment horizontal="left"/>
    </xf>
    <xf numFmtId="167" fontId="8" fillId="0" borderId="0" xfId="7" applyNumberFormat="1" applyFont="1" applyAlignment="1">
      <alignment vertical="top"/>
    </xf>
    <xf numFmtId="38" fontId="5" fillId="0" borderId="0" xfId="0" applyNumberFormat="1" applyFont="1"/>
    <xf numFmtId="182" fontId="32" fillId="0" borderId="2" xfId="15" applyNumberFormat="1" applyFont="1" applyBorder="1"/>
    <xf numFmtId="42" fontId="55" fillId="15" borderId="0" xfId="15" applyNumberFormat="1" applyFont="1" applyFill="1" applyAlignment="1">
      <alignment horizontal="center"/>
    </xf>
    <xf numFmtId="0" fontId="8" fillId="0" borderId="2" xfId="15" applyFont="1" applyBorder="1" applyAlignment="1">
      <alignment wrapText="1"/>
    </xf>
    <xf numFmtId="0" fontId="8" fillId="0" borderId="11" xfId="15" applyFont="1" applyBorder="1"/>
    <xf numFmtId="0" fontId="60" fillId="0" borderId="0" xfId="22" applyFont="1" applyAlignment="1">
      <alignment horizontal="left" indent="2"/>
    </xf>
    <xf numFmtId="41" fontId="60" fillId="5" borderId="0" xfId="15" applyNumberFormat="1" applyFont="1" applyFill="1" applyAlignment="1" applyProtection="1">
      <alignment horizontal="center"/>
      <protection locked="0"/>
    </xf>
    <xf numFmtId="8" fontId="60" fillId="0" borderId="0" xfId="15" applyNumberFormat="1" applyFont="1" applyAlignment="1" applyProtection="1">
      <alignment horizontal="center"/>
      <protection locked="0"/>
    </xf>
    <xf numFmtId="0" fontId="8" fillId="0" borderId="12" xfId="15" applyFont="1" applyBorder="1"/>
    <xf numFmtId="0" fontId="8" fillId="0" borderId="7" xfId="15" applyFont="1" applyBorder="1"/>
    <xf numFmtId="183" fontId="32" fillId="0" borderId="8" xfId="15" applyNumberFormat="1" applyFont="1" applyBorder="1"/>
    <xf numFmtId="0" fontId="8" fillId="0" borderId="8" xfId="15" applyFont="1" applyBorder="1"/>
    <xf numFmtId="0" fontId="8" fillId="0" borderId="9" xfId="15" applyFont="1" applyBorder="1"/>
    <xf numFmtId="0" fontId="8" fillId="0" borderId="10" xfId="15" applyFont="1" applyBorder="1"/>
    <xf numFmtId="0" fontId="57" fillId="0" borderId="15" xfId="0" applyFont="1" applyBorder="1" applyAlignment="1" applyProtection="1">
      <alignment wrapText="1"/>
      <protection locked="0"/>
    </xf>
    <xf numFmtId="0" fontId="8" fillId="0" borderId="2" xfId="15" applyFont="1" applyBorder="1"/>
    <xf numFmtId="0" fontId="17" fillId="0" borderId="0" xfId="0" applyFont="1" applyAlignment="1">
      <alignment horizontal="center"/>
    </xf>
    <xf numFmtId="0" fontId="30" fillId="15" borderId="17" xfId="0" applyFont="1" applyFill="1" applyBorder="1" applyAlignment="1">
      <alignment horizontal="center" vertical="center"/>
    </xf>
    <xf numFmtId="0" fontId="30" fillId="15" borderId="38" xfId="0" applyFont="1" applyFill="1" applyBorder="1" applyAlignment="1">
      <alignment horizontal="center" vertical="center"/>
    </xf>
    <xf numFmtId="0" fontId="30" fillId="16" borderId="17" xfId="0" applyFont="1" applyFill="1" applyBorder="1" applyAlignment="1">
      <alignment horizontal="center" vertical="center" wrapText="1" shrinkToFit="1"/>
    </xf>
    <xf numFmtId="0" fontId="30" fillId="16" borderId="38" xfId="0" applyFont="1" applyFill="1" applyBorder="1" applyAlignment="1">
      <alignment horizontal="center" vertical="center" wrapText="1" shrinkToFit="1"/>
    </xf>
    <xf numFmtId="0" fontId="41" fillId="15" borderId="17" xfId="15" applyFont="1" applyFill="1" applyBorder="1" applyAlignment="1">
      <alignment horizontal="center"/>
    </xf>
    <xf numFmtId="0" fontId="41" fillId="15" borderId="6" xfId="15" applyFont="1" applyFill="1" applyBorder="1" applyAlignment="1">
      <alignment horizontal="center"/>
    </xf>
    <xf numFmtId="0" fontId="41" fillId="15" borderId="38" xfId="15" applyFont="1" applyFill="1" applyBorder="1" applyAlignment="1">
      <alignment horizontal="center"/>
    </xf>
    <xf numFmtId="42" fontId="55" fillId="15" borderId="2" xfId="15" applyNumberFormat="1" applyFont="1" applyFill="1" applyBorder="1" applyAlignment="1">
      <alignment horizontal="center"/>
    </xf>
    <xf numFmtId="42" fontId="55" fillId="15" borderId="12" xfId="15" applyNumberFormat="1" applyFont="1" applyFill="1" applyBorder="1" applyAlignment="1">
      <alignment horizontal="center"/>
    </xf>
    <xf numFmtId="0" fontId="52" fillId="0" borderId="0" xfId="18" applyFont="1" applyAlignment="1">
      <alignment horizontal="center" vertical="center"/>
    </xf>
    <xf numFmtId="37" fontId="30" fillId="15" borderId="17" xfId="6" applyFont="1" applyFill="1" applyBorder="1" applyAlignment="1">
      <alignment horizontal="center" shrinkToFit="1"/>
    </xf>
    <xf numFmtId="37" fontId="30" fillId="15" borderId="38" xfId="6" applyFont="1" applyFill="1" applyBorder="1" applyAlignment="1">
      <alignment horizontal="center" shrinkToFit="1"/>
    </xf>
    <xf numFmtId="0" fontId="1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49" fontId="42" fillId="15" borderId="11" xfId="0" applyNumberFormat="1" applyFont="1" applyFill="1" applyBorder="1" applyAlignment="1">
      <alignment horizontal="center"/>
    </xf>
    <xf numFmtId="49" fontId="42" fillId="15" borderId="2" xfId="0" applyNumberFormat="1" applyFont="1" applyFill="1" applyBorder="1" applyAlignment="1">
      <alignment horizontal="center"/>
    </xf>
    <xf numFmtId="49" fontId="42" fillId="15" borderId="12" xfId="0" applyNumberFormat="1" applyFont="1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8" xfId="0" applyFont="1" applyBorder="1" applyAlignment="1">
      <alignment horizontal="center"/>
    </xf>
    <xf numFmtId="49" fontId="42" fillId="15" borderId="17" xfId="0" applyNumberFormat="1" applyFont="1" applyFill="1" applyBorder="1" applyAlignment="1">
      <alignment horizontal="center"/>
    </xf>
    <xf numFmtId="49" fontId="42" fillId="15" borderId="6" xfId="0" applyNumberFormat="1" applyFont="1" applyFill="1" applyBorder="1" applyAlignment="1">
      <alignment horizontal="center"/>
    </xf>
    <xf numFmtId="49" fontId="42" fillId="15" borderId="38" xfId="0" applyNumberFormat="1" applyFont="1" applyFill="1" applyBorder="1" applyAlignment="1">
      <alignment horizontal="center"/>
    </xf>
    <xf numFmtId="167" fontId="42" fillId="15" borderId="17" xfId="0" applyNumberFormat="1" applyFont="1" applyFill="1" applyBorder="1" applyAlignment="1">
      <alignment horizontal="center" vertical="center"/>
    </xf>
    <xf numFmtId="167" fontId="42" fillId="15" borderId="6" xfId="0" applyNumberFormat="1" applyFont="1" applyFill="1" applyBorder="1" applyAlignment="1">
      <alignment horizontal="center" vertical="center"/>
    </xf>
    <xf numFmtId="167" fontId="42" fillId="15" borderId="38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8" xfId="0" applyFont="1" applyBorder="1" applyAlignment="1">
      <alignment horizontal="right"/>
    </xf>
    <xf numFmtId="0" fontId="8" fillId="0" borderId="9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0" fontId="8" fillId="0" borderId="10" xfId="0" applyFont="1" applyBorder="1" applyAlignment="1">
      <alignment horizontal="right"/>
    </xf>
    <xf numFmtId="37" fontId="30" fillId="15" borderId="6" xfId="6" applyFont="1" applyFill="1" applyBorder="1" applyAlignment="1">
      <alignment horizontal="center" shrinkToFit="1"/>
    </xf>
    <xf numFmtId="0" fontId="8" fillId="0" borderId="11" xfId="0" applyFont="1" applyBorder="1" applyAlignment="1">
      <alignment horizontal="right"/>
    </xf>
    <xf numFmtId="0" fontId="8" fillId="0" borderId="2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17" fontId="30" fillId="15" borderId="17" xfId="1" applyNumberFormat="1" applyFont="1" applyFill="1" applyBorder="1" applyAlignment="1" applyProtection="1">
      <alignment horizontal="center" vertical="center"/>
    </xf>
    <xf numFmtId="17" fontId="30" fillId="15" borderId="6" xfId="1" applyNumberFormat="1" applyFont="1" applyFill="1" applyBorder="1" applyAlignment="1" applyProtection="1">
      <alignment horizontal="center" vertical="center"/>
    </xf>
    <xf numFmtId="17" fontId="30" fillId="15" borderId="38" xfId="1" applyNumberFormat="1" applyFont="1" applyFill="1" applyBorder="1" applyAlignment="1" applyProtection="1">
      <alignment horizontal="center" vertical="center"/>
    </xf>
  </cellXfs>
  <cellStyles count="26">
    <cellStyle name="Comma" xfId="1" builtinId="3"/>
    <cellStyle name="Comma 2" xfId="8" xr:uid="{00000000-0005-0000-0000-000001000000}"/>
    <cellStyle name="Comma 3" xfId="13" xr:uid="{47B02B6B-BFC0-4A58-94D2-C44BE8EB90E1}"/>
    <cellStyle name="Currency" xfId="2" builtinId="4"/>
    <cellStyle name="Currency 2" xfId="16" xr:uid="{7177FC93-4266-49BF-A2A8-2807B5D03B8F}"/>
    <cellStyle name="Currency 2 2" xfId="23" xr:uid="{94BDF0A1-7C1F-490D-9065-2CB9E574C20D}"/>
    <cellStyle name="Currency 3" xfId="19" xr:uid="{F9735F8A-81E4-445D-963E-CA6AD0BA7731}"/>
    <cellStyle name="Hyperlink" xfId="10" builtinId="8"/>
    <cellStyle name="Normal" xfId="0" builtinId="0"/>
    <cellStyle name="Normal 10" xfId="7" xr:uid="{00000000-0005-0000-0000-000005000000}"/>
    <cellStyle name="Normal 2" xfId="12" xr:uid="{35794F6B-A1F1-44AB-961C-151A4196DE5F}"/>
    <cellStyle name="Normal 2 2" xfId="3" xr:uid="{00000000-0005-0000-0000-000006000000}"/>
    <cellStyle name="Normal 2 2 2" xfId="14" xr:uid="{C9435C63-7009-41B5-9233-E578FA447DA0}"/>
    <cellStyle name="Normal 3" xfId="15" xr:uid="{02413596-04FD-4B84-BE2A-D6C210ABEB0A}"/>
    <cellStyle name="Normal 3 2" xfId="22" xr:uid="{42A7368E-6CC3-48BD-BA7E-9B829CA7F959}"/>
    <cellStyle name="Normal 4" xfId="18" xr:uid="{3263B4A8-375D-4FAF-896C-21881A68EAEB}"/>
    <cellStyle name="Normal 5" xfId="20" xr:uid="{196BAB6D-7CBE-4B08-9193-5AB79A86C57E}"/>
    <cellStyle name="Normal 5 2" xfId="25" xr:uid="{CF95F7F5-2E9D-4F0D-A15D-4138518E8596}"/>
    <cellStyle name="Normal 69" xfId="17" xr:uid="{84E35976-A329-449B-9842-603A40E5E3E1}"/>
    <cellStyle name="Normal 69 2" xfId="24" xr:uid="{D9E376D8-21E6-49EF-9952-DA22BB8E79E1}"/>
    <cellStyle name="Normal 9" xfId="11" xr:uid="{00000000-0005-0000-0000-000007000000}"/>
    <cellStyle name="Normal_A (2)" xfId="6" xr:uid="{00000000-0005-0000-0000-000008000000}"/>
    <cellStyle name="Percent" xfId="4" builtinId="5"/>
    <cellStyle name="Percent 2" xfId="5" xr:uid="{00000000-0005-0000-0000-00000A000000}"/>
    <cellStyle name="Percent 2 2" xfId="21" xr:uid="{EDEF3346-59E0-4E8E-9463-6840E4A3368F}"/>
    <cellStyle name="Percent 6 2" xfId="9" xr:uid="{00000000-0005-0000-0000-00000B000000}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9" defaultPivotStyle="PivotStyleLight16">
    <tableStyle name="Table Style 1" pivot="0" count="2" xr9:uid="{00000000-0011-0000-FFFF-FFFF00000000}">
      <tableStyleElement type="firstRowStripe" dxfId="8"/>
      <tableStyleElement type="firstColumnStripe" size="3"/>
    </tableStyle>
  </tableStyles>
  <colors>
    <mruColors>
      <color rgb="FF3366FF"/>
      <color rgb="FF141FF8"/>
      <color rgb="FF17B9D9"/>
      <color rgb="FF006600"/>
      <color rgb="FFCCECFF"/>
      <color rgb="FF00AEC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57150</xdr:rowOff>
    </xdr:from>
    <xdr:to>
      <xdr:col>6</xdr:col>
      <xdr:colOff>0</xdr:colOff>
      <xdr:row>1</xdr:row>
      <xdr:rowOff>152400</xdr:rowOff>
    </xdr:to>
    <xdr:sp macro="[0]!clearcheck" textlink="" fLocksText="0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19400" y="57150"/>
          <a:ext cx="600075" cy="295275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Reset 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38100</xdr:rowOff>
        </xdr:from>
        <xdr:to>
          <xdr:col>1</xdr:col>
          <xdr:colOff>533400</xdr:colOff>
          <xdr:row>2</xdr:row>
          <xdr:rowOff>254000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76200</xdr:rowOff>
        </xdr:from>
        <xdr:to>
          <xdr:col>1</xdr:col>
          <xdr:colOff>533400</xdr:colOff>
          <xdr:row>3</xdr:row>
          <xdr:rowOff>266700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7</xdr:row>
          <xdr:rowOff>76200</xdr:rowOff>
        </xdr:from>
        <xdr:to>
          <xdr:col>1</xdr:col>
          <xdr:colOff>533400</xdr:colOff>
          <xdr:row>7</xdr:row>
          <xdr:rowOff>266700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76200</xdr:rowOff>
        </xdr:from>
        <xdr:to>
          <xdr:col>1</xdr:col>
          <xdr:colOff>533400</xdr:colOff>
          <xdr:row>8</xdr:row>
          <xdr:rowOff>266700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76200</xdr:rowOff>
        </xdr:from>
        <xdr:to>
          <xdr:col>1</xdr:col>
          <xdr:colOff>533400</xdr:colOff>
          <xdr:row>9</xdr:row>
          <xdr:rowOff>266700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10</xdr:row>
          <xdr:rowOff>76200</xdr:rowOff>
        </xdr:from>
        <xdr:to>
          <xdr:col>1</xdr:col>
          <xdr:colOff>533400</xdr:colOff>
          <xdr:row>10</xdr:row>
          <xdr:rowOff>266700</xdr:rowOff>
        </xdr:to>
        <xdr:sp macro="" textlink="">
          <xdr:nvSpPr>
            <xdr:cNvPr id="25607" name="Check Box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11</xdr:row>
          <xdr:rowOff>76200</xdr:rowOff>
        </xdr:from>
        <xdr:to>
          <xdr:col>1</xdr:col>
          <xdr:colOff>533400</xdr:colOff>
          <xdr:row>11</xdr:row>
          <xdr:rowOff>266700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0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</xdr:row>
          <xdr:rowOff>76200</xdr:rowOff>
        </xdr:from>
        <xdr:to>
          <xdr:col>1</xdr:col>
          <xdr:colOff>533400</xdr:colOff>
          <xdr:row>5</xdr:row>
          <xdr:rowOff>266700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0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76200</xdr:rowOff>
        </xdr:from>
        <xdr:to>
          <xdr:col>1</xdr:col>
          <xdr:colOff>533400</xdr:colOff>
          <xdr:row>4</xdr:row>
          <xdr:rowOff>266700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0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76200</xdr:rowOff>
        </xdr:from>
        <xdr:to>
          <xdr:col>1</xdr:col>
          <xdr:colOff>533400</xdr:colOff>
          <xdr:row>6</xdr:row>
          <xdr:rowOff>266700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0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190498</xdr:colOff>
      <xdr:row>2</xdr:row>
      <xdr:rowOff>156881</xdr:rowOff>
    </xdr:from>
    <xdr:to>
      <xdr:col>6</xdr:col>
      <xdr:colOff>440614</xdr:colOff>
      <xdr:row>11</xdr:row>
      <xdr:rowOff>3410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9698" y="522641"/>
          <a:ext cx="3298116" cy="1469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4</xdr:col>
      <xdr:colOff>1159664</xdr:colOff>
      <xdr:row>4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0" y="676275"/>
          <a:ext cx="186372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7</xdr:col>
      <xdr:colOff>494764</xdr:colOff>
      <xdr:row>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0" y="676275"/>
          <a:ext cx="365442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ackinJohnBoylan/AppData/Local/Microsoft/Windows/INetCache/Content.Outlook/8K7D6QGG/1.%20Chart%20of%20Accounts%20RGKWM%20REVISED%20COA%2011.22.21%20(00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S_Chart_Of_Accounts_Upload"/>
      <sheetName val="Blaze"/>
      <sheetName val="MF_Categories"/>
    </sheetNames>
    <sheetDataSet>
      <sheetData sheetId="0"/>
      <sheetData sheetId="1"/>
      <sheetData sheetId="2">
        <row r="2">
          <cell r="A2" t="str">
            <v>BSC - Cash</v>
          </cell>
        </row>
        <row r="3">
          <cell r="A3" t="str">
            <v>BSC - Accounts Receivable</v>
          </cell>
        </row>
        <row r="4">
          <cell r="A4" t="str">
            <v>BSC - Deposits &amp; Escrows</v>
          </cell>
        </row>
        <row r="5">
          <cell r="A5" t="str">
            <v>BSC - Other Current Assets</v>
          </cell>
        </row>
        <row r="6">
          <cell r="A6" t="str">
            <v>BSC - Fixed Asset Accounts</v>
          </cell>
        </row>
        <row r="7">
          <cell r="A7" t="str">
            <v>BSC - Depreciation &amp; Amortization</v>
          </cell>
        </row>
        <row r="8">
          <cell r="A8" t="str">
            <v>BSC - Other Assets</v>
          </cell>
        </row>
        <row r="9">
          <cell r="A9" t="str">
            <v>BSC - Current Liabilities</v>
          </cell>
        </row>
        <row r="10">
          <cell r="A10" t="str">
            <v>BSC - Other Current Liabilities</v>
          </cell>
        </row>
        <row r="11">
          <cell r="A11" t="str">
            <v>BSC - Long Term Liabilities</v>
          </cell>
        </row>
        <row r="12">
          <cell r="A12" t="str">
            <v>BSC - Other Liabilities</v>
          </cell>
        </row>
        <row r="13">
          <cell r="A13" t="str">
            <v>BSC - Equity Position</v>
          </cell>
        </row>
        <row r="14">
          <cell r="A14" t="str">
            <v>BSC - Retained Earnings</v>
          </cell>
        </row>
        <row r="15">
          <cell r="A15" t="str">
            <v>ISC - Rental Income</v>
          </cell>
        </row>
        <row r="16">
          <cell r="A16" t="str">
            <v>ISC - Vacancy, Losses &amp; Concessions</v>
          </cell>
        </row>
        <row r="17">
          <cell r="A17" t="str">
            <v>ISC - Management Income</v>
          </cell>
        </row>
        <row r="18">
          <cell r="A18" t="str">
            <v>ISC - Service Related Income</v>
          </cell>
        </row>
        <row r="19">
          <cell r="A19" t="str">
            <v>ISC - Financial Income</v>
          </cell>
        </row>
        <row r="20">
          <cell r="A20" t="str">
            <v>ISC - Other Income</v>
          </cell>
        </row>
        <row r="21">
          <cell r="A21" t="str">
            <v>ISC - Non-Operating Income</v>
          </cell>
        </row>
        <row r="22">
          <cell r="A22" t="str">
            <v>ISC - Payroll &amp; Related</v>
          </cell>
        </row>
        <row r="23">
          <cell r="A23" t="str">
            <v>ISC - Administrative Expenses</v>
          </cell>
        </row>
        <row r="24">
          <cell r="A24" t="str">
            <v>ISC - Marketing Expenses</v>
          </cell>
        </row>
        <row r="25">
          <cell r="A25" t="str">
            <v>ISC - Utilities</v>
          </cell>
        </row>
        <row r="26">
          <cell r="A26" t="str">
            <v>ISC - Operating &amp; Maintenance Expenses</v>
          </cell>
        </row>
        <row r="27">
          <cell r="A27" t="str">
            <v>ISC - Maintenance &amp; Repairs</v>
          </cell>
        </row>
        <row r="28">
          <cell r="A28" t="str">
            <v>ISC - Management Fees</v>
          </cell>
        </row>
        <row r="29">
          <cell r="A29" t="str">
            <v>ISC - Taxes &amp; Insurance</v>
          </cell>
        </row>
        <row r="30">
          <cell r="A30" t="str">
            <v>ISC - Service Related Expenses</v>
          </cell>
        </row>
        <row r="31">
          <cell r="A31" t="str">
            <v>ISC - Capital Expenditures</v>
          </cell>
        </row>
        <row r="32">
          <cell r="A32" t="str">
            <v>ISC - Depreciation &amp; Amortization</v>
          </cell>
        </row>
        <row r="33">
          <cell r="A33" t="str">
            <v>ISC - Debt Services</v>
          </cell>
        </row>
        <row r="34">
          <cell r="A34" t="str">
            <v>ISC - Other Non-Operating Expenses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printerSettings" Target="../printerSettings/printerSettings5.bin"/><Relationship Id="rId7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printerSettings" Target="../printerSettings/printerSettings8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7.bin"/><Relationship Id="rId10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6.bin"/><Relationship Id="rId9" Type="http://schemas.openxmlformats.org/officeDocument/2006/relationships/printerSettings" Target="../printerSettings/printerSettings1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.bin"/><Relationship Id="rId3" Type="http://schemas.openxmlformats.org/officeDocument/2006/relationships/printerSettings" Target="../printerSettings/printerSettings20.bin"/><Relationship Id="rId7" Type="http://schemas.openxmlformats.org/officeDocument/2006/relationships/printerSettings" Target="../printerSettings/printerSettings24.bin"/><Relationship Id="rId12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printerSettings" Target="../printerSettings/printerSettings23.bin"/><Relationship Id="rId11" Type="http://schemas.openxmlformats.org/officeDocument/2006/relationships/printerSettings" Target="../printerSettings/printerSettings28.bin"/><Relationship Id="rId5" Type="http://schemas.openxmlformats.org/officeDocument/2006/relationships/printerSettings" Target="../printerSettings/printerSettings22.bin"/><Relationship Id="rId10" Type="http://schemas.openxmlformats.org/officeDocument/2006/relationships/printerSettings" Target="../printerSettings/printerSettings27.bin"/><Relationship Id="rId4" Type="http://schemas.openxmlformats.org/officeDocument/2006/relationships/printerSettings" Target="../printerSettings/printerSettings21.bin"/><Relationship Id="rId9" Type="http://schemas.openxmlformats.org/officeDocument/2006/relationships/printerSettings" Target="../printerSettings/printerSettings26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3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11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51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54.bin"/><Relationship Id="rId7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11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56.bin"/><Relationship Id="rId10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9.bin"/><Relationship Id="rId3" Type="http://schemas.openxmlformats.org/officeDocument/2006/relationships/printerSettings" Target="../printerSettings/printerSettings64.bin"/><Relationship Id="rId7" Type="http://schemas.openxmlformats.org/officeDocument/2006/relationships/printerSettings" Target="../printerSettings/printerSettings68.bin"/><Relationship Id="rId2" Type="http://schemas.openxmlformats.org/officeDocument/2006/relationships/printerSettings" Target="../printerSettings/printerSettings63.bin"/><Relationship Id="rId1" Type="http://schemas.openxmlformats.org/officeDocument/2006/relationships/printerSettings" Target="../printerSettings/printerSettings62.bin"/><Relationship Id="rId6" Type="http://schemas.openxmlformats.org/officeDocument/2006/relationships/printerSettings" Target="../printerSettings/printerSettings67.bin"/><Relationship Id="rId11" Type="http://schemas.openxmlformats.org/officeDocument/2006/relationships/vmlDrawing" Target="../drawings/vmlDrawing10.vml"/><Relationship Id="rId5" Type="http://schemas.openxmlformats.org/officeDocument/2006/relationships/printerSettings" Target="../printerSettings/printerSettings66.bin"/><Relationship Id="rId10" Type="http://schemas.openxmlformats.org/officeDocument/2006/relationships/printerSettings" Target="../printerSettings/printerSettings71.bin"/><Relationship Id="rId4" Type="http://schemas.openxmlformats.org/officeDocument/2006/relationships/printerSettings" Target="../printerSettings/printerSettings65.bin"/><Relationship Id="rId9" Type="http://schemas.openxmlformats.org/officeDocument/2006/relationships/printerSettings" Target="../printerSettings/printerSettings7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13"/>
  <sheetViews>
    <sheetView workbookViewId="0">
      <selection sqref="A1:E1"/>
    </sheetView>
  </sheetViews>
  <sheetFormatPr baseColWidth="10" defaultColWidth="9.1640625" defaultRowHeight="13"/>
  <cols>
    <col min="1" max="1" width="3.1640625" customWidth="1"/>
    <col min="2" max="2" width="11.6640625" customWidth="1"/>
  </cols>
  <sheetData>
    <row r="1" spans="1:7" ht="16">
      <c r="A1" s="1061" t="s">
        <v>208</v>
      </c>
      <c r="B1" s="1061"/>
      <c r="C1" s="1061"/>
      <c r="D1" s="1061"/>
      <c r="E1" s="1061"/>
      <c r="F1" s="1"/>
      <c r="G1" s="1"/>
    </row>
    <row r="3" spans="1:7" ht="21" customHeight="1">
      <c r="C3" s="8" t="s">
        <v>211</v>
      </c>
    </row>
    <row r="4" spans="1:7" ht="21" customHeight="1">
      <c r="C4" s="8" t="s">
        <v>224</v>
      </c>
    </row>
    <row r="5" spans="1:7" ht="21" customHeight="1">
      <c r="C5" s="8" t="s">
        <v>218</v>
      </c>
    </row>
    <row r="6" spans="1:7" ht="21" customHeight="1">
      <c r="C6" s="8" t="s">
        <v>217</v>
      </c>
    </row>
    <row r="7" spans="1:7" ht="21" customHeight="1">
      <c r="C7" s="8" t="s">
        <v>3</v>
      </c>
    </row>
    <row r="8" spans="1:7" ht="21" customHeight="1">
      <c r="C8" s="8" t="s">
        <v>212</v>
      </c>
    </row>
    <row r="9" spans="1:7" ht="21" customHeight="1">
      <c r="C9" s="8" t="s">
        <v>213</v>
      </c>
    </row>
    <row r="10" spans="1:7" ht="21" customHeight="1">
      <c r="C10" s="8" t="s">
        <v>214</v>
      </c>
    </row>
    <row r="11" spans="1:7" ht="21" customHeight="1">
      <c r="C11" s="8" t="s">
        <v>215</v>
      </c>
    </row>
    <row r="12" spans="1:7" ht="21" customHeight="1">
      <c r="C12" s="8" t="s">
        <v>216</v>
      </c>
    </row>
    <row r="13" spans="1:7" ht="21" customHeight="1">
      <c r="C13" s="8"/>
    </row>
  </sheetData>
  <sheetProtection selectLockedCells="1"/>
  <customSheetViews>
    <customSheetView guid="{97516F51-8B9A-4ED3-BCEB-36791F0F2C00}">
      <selection activeCell="D30" sqref="D30"/>
      <pageMargins left="0.7" right="0.7" top="0.75" bottom="0.75" header="0.3" footer="0.3"/>
    </customSheetView>
  </customSheetViews>
  <mergeCells count="1">
    <mergeCell ref="A1:E1"/>
  </mergeCells>
  <hyperlinks>
    <hyperlink ref="C3" location="Summary!A1" display="Summary" xr:uid="{00000000-0004-0000-0000-000000000000}"/>
    <hyperlink ref="C4" location="'Operating Budget'!A1" display="Operating Budget" xr:uid="{00000000-0004-0000-0000-000001000000}"/>
    <hyperlink ref="C10" location="'Marketing Worksheet'!A1" display="Marketing Worksheet" xr:uid="{00000000-0004-0000-0000-000002000000}"/>
    <hyperlink ref="C11" location="'Payroll Worksheet'!A1" display="Payroll Worksheet" xr:uid="{00000000-0004-0000-0000-000003000000}"/>
    <hyperlink ref="C12" location="'Make Ready Worksheet'!A1" display="Make Ready Worksheet" xr:uid="{00000000-0004-0000-0000-000004000000}"/>
    <hyperlink ref="C6" location="'Revenue Worksheet'!A1" display="Revenue Worksheet" xr:uid="{00000000-0004-0000-0000-000005000000}"/>
    <hyperlink ref="C5" location="'GPR Worksheet'!A1" display="GPR Worksheet" xr:uid="{00000000-0004-0000-0000-000006000000}"/>
    <hyperlink ref="C9" location="'Non-Operating Expenses'!A1" display="Non-Operating Expenses" xr:uid="{00000000-0004-0000-0000-000007000000}"/>
    <hyperlink ref="C8" location="'Operating Expenses'!A1" display="Operating Expenses" xr:uid="{00000000-0004-0000-0000-000008000000}"/>
    <hyperlink ref="C7" location="'Other Income'!A1" display="Other Income" xr:uid="{00000000-0004-0000-0000-000009000000}"/>
  </hyperlinks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38100</xdr:rowOff>
                  </from>
                  <to>
                    <xdr:col>1</xdr:col>
                    <xdr:colOff>533400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Check Box 3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76200</xdr:rowOff>
                  </from>
                  <to>
                    <xdr:col>1</xdr:col>
                    <xdr:colOff>533400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Check Box 4">
              <controlPr defaultSize="0" autoFill="0" autoLine="0" autoPict="0">
                <anchor moveWithCells="1">
                  <from>
                    <xdr:col>1</xdr:col>
                    <xdr:colOff>304800</xdr:colOff>
                    <xdr:row>7</xdr:row>
                    <xdr:rowOff>76200</xdr:rowOff>
                  </from>
                  <to>
                    <xdr:col>1</xdr:col>
                    <xdr:colOff>533400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Check Box 5">
              <controlPr defaultSize="0" autoFill="0" autoLine="0" autoPict="0">
                <anchor moveWithCells="1">
                  <from>
                    <xdr:col>1</xdr:col>
                    <xdr:colOff>304800</xdr:colOff>
                    <xdr:row>8</xdr:row>
                    <xdr:rowOff>76200</xdr:rowOff>
                  </from>
                  <to>
                    <xdr:col>1</xdr:col>
                    <xdr:colOff>533400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Check Box 6">
              <controlPr defaultSize="0" autoFill="0" autoLine="0" autoPict="0">
                <anchor moveWithCells="1">
                  <from>
                    <xdr:col>1</xdr:col>
                    <xdr:colOff>304800</xdr:colOff>
                    <xdr:row>9</xdr:row>
                    <xdr:rowOff>76200</xdr:rowOff>
                  </from>
                  <to>
                    <xdr:col>1</xdr:col>
                    <xdr:colOff>533400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10</xdr:row>
                    <xdr:rowOff>76200</xdr:rowOff>
                  </from>
                  <to>
                    <xdr:col>1</xdr:col>
                    <xdr:colOff>533400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11</xdr:row>
                    <xdr:rowOff>76200</xdr:rowOff>
                  </from>
                  <to>
                    <xdr:col>1</xdr:col>
                    <xdr:colOff>533400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1" name="Check Box 10">
              <controlPr defaultSize="0" autoFill="0" autoLine="0" autoPict="0">
                <anchor moveWithCells="1">
                  <from>
                    <xdr:col>1</xdr:col>
                    <xdr:colOff>304800</xdr:colOff>
                    <xdr:row>5</xdr:row>
                    <xdr:rowOff>76200</xdr:rowOff>
                  </from>
                  <to>
                    <xdr:col>1</xdr:col>
                    <xdr:colOff>533400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2" name="Check Box 11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76200</xdr:rowOff>
                  </from>
                  <to>
                    <xdr:col>1</xdr:col>
                    <xdr:colOff>533400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3" name="Check Box 15">
              <controlPr defaultSize="0" autoFill="0" autoLine="0" autoPict="0">
                <anchor moveWithCells="1">
                  <from>
                    <xdr:col>1</xdr:col>
                    <xdr:colOff>304800</xdr:colOff>
                    <xdr:row>6</xdr:row>
                    <xdr:rowOff>76200</xdr:rowOff>
                  </from>
                  <to>
                    <xdr:col>1</xdr:col>
                    <xdr:colOff>533400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22C86-838B-45D9-B9E6-64045ACA7219}">
  <sheetPr codeName="Sheet18"/>
  <dimension ref="A17:I24"/>
  <sheetViews>
    <sheetView showGridLines="0" view="pageBreakPreview" zoomScaleNormal="100" zoomScaleSheetLayoutView="100" workbookViewId="0">
      <selection activeCell="G23" sqref="G23"/>
    </sheetView>
  </sheetViews>
  <sheetFormatPr baseColWidth="10" defaultColWidth="8.83203125" defaultRowHeight="14"/>
  <cols>
    <col min="1" max="4" width="8.83203125" style="102"/>
    <col min="5" max="5" width="17.6640625" style="102" bestFit="1" customWidth="1"/>
    <col min="6" max="16384" width="8.83203125" style="102"/>
  </cols>
  <sheetData>
    <row r="17" spans="1:9">
      <c r="B17" s="103"/>
      <c r="C17" s="103"/>
      <c r="D17" s="103"/>
      <c r="E17" s="103"/>
      <c r="F17" s="103"/>
      <c r="G17" s="103"/>
      <c r="H17" s="103"/>
      <c r="I17" s="103"/>
    </row>
    <row r="18" spans="1:9">
      <c r="B18" s="103"/>
      <c r="C18" s="103"/>
      <c r="D18" s="103"/>
      <c r="E18" s="103"/>
      <c r="F18" s="103"/>
      <c r="G18" s="103"/>
      <c r="H18" s="103"/>
      <c r="I18" s="103"/>
    </row>
    <row r="19" spans="1:9" ht="25">
      <c r="A19" s="104" t="s">
        <v>1197</v>
      </c>
      <c r="B19" s="103"/>
      <c r="C19" s="103"/>
      <c r="D19" s="103"/>
      <c r="E19" s="103"/>
      <c r="F19" s="103"/>
      <c r="G19" s="103"/>
      <c r="H19" s="103"/>
      <c r="I19" s="103"/>
    </row>
    <row r="20" spans="1:9" ht="18">
      <c r="A20" s="105" t="s">
        <v>1198</v>
      </c>
      <c r="B20" s="103"/>
      <c r="C20" s="103"/>
      <c r="D20" s="103"/>
      <c r="E20" s="103"/>
      <c r="F20" s="103"/>
      <c r="G20" s="103"/>
      <c r="H20" s="103"/>
      <c r="I20" s="103"/>
    </row>
    <row r="21" spans="1:9" ht="18">
      <c r="A21" s="105"/>
      <c r="B21" s="103"/>
      <c r="C21" s="103"/>
      <c r="D21" s="103"/>
      <c r="E21" s="103"/>
      <c r="F21" s="103"/>
      <c r="G21" s="103"/>
      <c r="H21" s="103"/>
      <c r="I21" s="103"/>
    </row>
    <row r="22" spans="1:9">
      <c r="B22" s="103"/>
      <c r="C22" s="103"/>
      <c r="D22" s="103"/>
      <c r="E22" s="103"/>
      <c r="F22" s="103"/>
      <c r="G22" s="103"/>
      <c r="H22" s="103"/>
      <c r="I22" s="103"/>
    </row>
    <row r="23" spans="1:9" ht="20">
      <c r="A23" s="106" t="s">
        <v>1199</v>
      </c>
      <c r="B23" s="103"/>
      <c r="C23" s="103"/>
      <c r="D23" s="103"/>
      <c r="E23" s="103"/>
      <c r="F23" s="103"/>
      <c r="G23" s="103"/>
      <c r="H23" s="103"/>
      <c r="I23" s="103"/>
    </row>
    <row r="24" spans="1:9" ht="18">
      <c r="A24" s="926">
        <f ca="1">+TODAY()</f>
        <v>45258</v>
      </c>
      <c r="B24" s="103"/>
      <c r="C24" s="103"/>
      <c r="D24" s="103"/>
      <c r="E24" s="103"/>
      <c r="F24" s="103"/>
      <c r="G24" s="103"/>
      <c r="H24" s="103"/>
      <c r="I24" s="103"/>
    </row>
  </sheetData>
  <pageMargins left="0.7" right="0.7" top="0.75" bottom="0.75" header="0.3" footer="0.3"/>
  <pageSetup scale="9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4"/>
  <sheetViews>
    <sheetView showGridLines="0" zoomScale="86" zoomScaleNormal="80" zoomScaleSheetLayoutView="100" workbookViewId="0">
      <selection activeCell="G40" sqref="G40"/>
    </sheetView>
  </sheetViews>
  <sheetFormatPr baseColWidth="10" defaultColWidth="9.1640625" defaultRowHeight="13"/>
  <cols>
    <col min="1" max="1" width="7.1640625" style="108" customWidth="1"/>
    <col min="2" max="2" width="34.1640625" style="108" customWidth="1"/>
    <col min="3" max="3" width="26.5" style="108" customWidth="1"/>
    <col min="4" max="4" width="16.1640625" style="108" customWidth="1"/>
    <col min="5" max="5" width="8.1640625" style="108" bestFit="1" customWidth="1"/>
    <col min="6" max="6" width="9.1640625" style="108"/>
    <col min="7" max="7" width="30.1640625" style="108" bestFit="1" customWidth="1"/>
    <col min="8" max="8" width="10.5" style="108" bestFit="1" customWidth="1"/>
    <col min="9" max="9" width="9.1640625" style="108"/>
    <col min="10" max="10" width="9.1640625" style="108" customWidth="1"/>
    <col min="11" max="16384" width="9.1640625" style="108"/>
  </cols>
  <sheetData>
    <row r="1" spans="1:8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Summary</v>
      </c>
      <c r="B1" s="107"/>
      <c r="C1" s="107"/>
      <c r="D1" s="107"/>
      <c r="E1" s="107"/>
    </row>
    <row r="4" spans="1:8" s="110" customFormat="1" ht="16">
      <c r="A4" s="109"/>
      <c r="B4" s="1062" t="s">
        <v>63</v>
      </c>
      <c r="C4" s="1063"/>
      <c r="D4" s="109"/>
      <c r="E4" s="109"/>
    </row>
    <row r="5" spans="1:8" ht="16">
      <c r="B5" s="111" t="s">
        <v>205</v>
      </c>
      <c r="C5" s="112">
        <v>45901</v>
      </c>
      <c r="E5" s="113"/>
    </row>
    <row r="6" spans="1:8">
      <c r="B6" s="115" t="s">
        <v>64</v>
      </c>
      <c r="C6" s="992" t="str">
        <f>+Cover!A19</f>
        <v>NOVA RTP 2680</v>
      </c>
      <c r="E6" s="114"/>
    </row>
    <row r="7" spans="1:8">
      <c r="B7" s="116" t="s">
        <v>65</v>
      </c>
      <c r="C7" s="992" t="str">
        <f>+Cover!A20</f>
        <v>2680 NC Highway 55, Durham, NC 27713</v>
      </c>
      <c r="E7" s="114"/>
    </row>
    <row r="8" spans="1:8">
      <c r="B8" s="111" t="s">
        <v>26</v>
      </c>
      <c r="C8" s="117">
        <f>+'GPR Worksheet'!$C$22</f>
        <v>83</v>
      </c>
      <c r="E8" s="114"/>
    </row>
    <row r="9" spans="1:8">
      <c r="B9" s="118" t="s">
        <v>66</v>
      </c>
      <c r="C9" s="119">
        <f>'GPR Worksheet'!$H$22</f>
        <v>90054</v>
      </c>
      <c r="E9" s="114"/>
    </row>
    <row r="10" spans="1:8">
      <c r="E10" s="114"/>
    </row>
    <row r="11" spans="1:8">
      <c r="A11" s="120"/>
      <c r="B11" s="120"/>
      <c r="C11" s="114"/>
      <c r="D11" s="121"/>
      <c r="E11" s="114"/>
    </row>
    <row r="12" spans="1:8">
      <c r="A12" s="120"/>
      <c r="B12" s="120"/>
      <c r="C12" s="114"/>
      <c r="D12" s="114"/>
      <c r="E12" s="114"/>
    </row>
    <row r="13" spans="1:8">
      <c r="A13" s="120"/>
      <c r="B13" s="120"/>
      <c r="C13" s="122"/>
      <c r="D13" s="114"/>
      <c r="E13" s="114"/>
    </row>
    <row r="14" spans="1:8" ht="14">
      <c r="A14" s="120"/>
      <c r="B14" s="123"/>
      <c r="C14" s="124" t="s">
        <v>912</v>
      </c>
      <c r="D14" s="125" t="s">
        <v>67</v>
      </c>
      <c r="E14" s="126" t="s">
        <v>68</v>
      </c>
      <c r="G14" s="1064" t="s">
        <v>1035</v>
      </c>
      <c r="H14" s="1065"/>
    </row>
    <row r="15" spans="1:8">
      <c r="A15" s="120"/>
      <c r="B15" s="127" t="s">
        <v>69</v>
      </c>
      <c r="C15" s="128"/>
      <c r="D15" s="129"/>
      <c r="E15" s="130"/>
      <c r="G15" s="131"/>
      <c r="H15" s="132"/>
    </row>
    <row r="16" spans="1:8">
      <c r="A16" s="120"/>
      <c r="B16" s="131" t="s">
        <v>70</v>
      </c>
      <c r="C16" s="133">
        <f>+'Operating Budget'!D7+'Operating Budget'!D8</f>
        <v>1831752</v>
      </c>
      <c r="D16" s="133">
        <f>SUM(C16/$C$8)</f>
        <v>22069.301204819276</v>
      </c>
      <c r="E16" s="134">
        <f>C16/$C$9</f>
        <v>20.340595642614431</v>
      </c>
      <c r="G16" s="135" t="str">
        <f>+'Start Up Budget Detail'!B18</f>
        <v xml:space="preserve">CAPEX-Startup Costs - Marketing </v>
      </c>
      <c r="H16" s="136">
        <f>+'Start Up Budget Detail'!D18</f>
        <v>30707.45</v>
      </c>
    </row>
    <row r="17" spans="1:8" ht="16">
      <c r="A17" s="120"/>
      <c r="B17" s="131" t="s">
        <v>71</v>
      </c>
      <c r="C17" s="137">
        <f>+C16+'Operating Budget'!D9</f>
        <v>1831752</v>
      </c>
      <c r="D17" s="137">
        <f>SUM(C17/$C$8)</f>
        <v>22069.301204819276</v>
      </c>
      <c r="E17" s="138">
        <f>C17/$C$9</f>
        <v>20.340595642614431</v>
      </c>
      <c r="G17" s="135" t="str">
        <f>+'Start Up Budget Detail'!B28</f>
        <v>Total General and Administrative</v>
      </c>
      <c r="H17" s="136">
        <f>+'Start Up Budget Detail'!D28</f>
        <v>8250</v>
      </c>
    </row>
    <row r="18" spans="1:8">
      <c r="A18" s="120"/>
      <c r="B18" s="131" t="s">
        <v>29</v>
      </c>
      <c r="C18" s="133">
        <f>+'Operating Budget'!D18</f>
        <v>1268504.3521987952</v>
      </c>
      <c r="D18" s="133">
        <f>SUM(C18/$C$8)</f>
        <v>15283.184966250545</v>
      </c>
      <c r="E18" s="134">
        <f>C18/$C$9</f>
        <v>14.086041177502334</v>
      </c>
      <c r="G18" s="135" t="str">
        <f>+'Start Up Budget Detail'!B38</f>
        <v>Total Office</v>
      </c>
      <c r="H18" s="136">
        <f>+'Start Up Budget Detail'!D38</f>
        <v>7900</v>
      </c>
    </row>
    <row r="19" spans="1:8">
      <c r="A19" s="120"/>
      <c r="B19" s="131" t="s">
        <v>3</v>
      </c>
      <c r="C19" s="139">
        <f>+'Operating Budget'!D75</f>
        <v>181175.65759036143</v>
      </c>
      <c r="D19" s="139">
        <f>SUM(C19/$C$8)</f>
        <v>2182.8392480766438</v>
      </c>
      <c r="E19" s="140">
        <f>C19/$C$9</f>
        <v>2.0118557486659276</v>
      </c>
      <c r="G19" s="135" t="str">
        <f>+'Start Up Budget Detail'!B41</f>
        <v>Total Maintenance Start-up</v>
      </c>
      <c r="H19" s="136">
        <f>+'Start Up Budget Detail'!D41</f>
        <v>23567.149999999998</v>
      </c>
    </row>
    <row r="20" spans="1:8">
      <c r="A20" s="120"/>
      <c r="B20" s="131" t="s">
        <v>72</v>
      </c>
      <c r="C20" s="141">
        <f>+C18+C19</f>
        <v>1449680.0097891567</v>
      </c>
      <c r="D20" s="141">
        <f>SUM(C20/$C$8)</f>
        <v>17466.02421432719</v>
      </c>
      <c r="E20" s="142">
        <f>C20/$C$9</f>
        <v>16.097896926168264</v>
      </c>
      <c r="G20" s="135" t="str">
        <f>+'Start Up Budget Detail'!B57</f>
        <v>Total Start Up Payroll</v>
      </c>
      <c r="H20" s="136">
        <f>+'Start Up Budget Detail'!D57</f>
        <v>0</v>
      </c>
    </row>
    <row r="21" spans="1:8" ht="14" thickBot="1">
      <c r="A21" s="120"/>
      <c r="B21" s="131"/>
      <c r="C21" s="143"/>
      <c r="D21" s="144"/>
      <c r="E21" s="145"/>
      <c r="G21" s="146" t="str">
        <f>+'Start Up Budget Detail'!B61</f>
        <v>Total Management Fee</v>
      </c>
      <c r="H21" s="147">
        <f>+'Start Up Budget Detail'!D61</f>
        <v>4500</v>
      </c>
    </row>
    <row r="22" spans="1:8" ht="14" thickTop="1">
      <c r="A22" s="120"/>
      <c r="B22" s="127" t="s">
        <v>73</v>
      </c>
      <c r="C22" s="148"/>
      <c r="D22" s="144"/>
      <c r="E22" s="145"/>
      <c r="G22" s="149" t="str">
        <f>+'Start Up Budget Detail'!B63</f>
        <v>TOTALS</v>
      </c>
      <c r="H22" s="150">
        <f>+'Start Up Budget Detail'!D63</f>
        <v>74924.599999999991</v>
      </c>
    </row>
    <row r="23" spans="1:8">
      <c r="A23" s="120"/>
      <c r="B23" s="151" t="s">
        <v>37</v>
      </c>
      <c r="C23" s="152">
        <f>+'Operating Budget'!D90</f>
        <v>40038.333333333328</v>
      </c>
      <c r="D23" s="133">
        <f t="shared" ref="D23:D32" si="0">SUM(C23/$C$8)</f>
        <v>482.38955823293168</v>
      </c>
      <c r="E23" s="134">
        <f t="shared" ref="E23:E32" si="1">C23/$C$9</f>
        <v>0.44460360820544703</v>
      </c>
    </row>
    <row r="24" spans="1:8">
      <c r="A24" s="120"/>
      <c r="B24" s="151" t="s">
        <v>5</v>
      </c>
      <c r="C24" s="152">
        <f>+'Operating Budget'!D137</f>
        <v>66856.840000000011</v>
      </c>
      <c r="D24" s="133">
        <f t="shared" si="0"/>
        <v>805.50409638554231</v>
      </c>
      <c r="E24" s="134">
        <f t="shared" si="1"/>
        <v>0.74240833277811102</v>
      </c>
    </row>
    <row r="25" spans="1:8">
      <c r="A25" s="120"/>
      <c r="B25" s="151" t="s">
        <v>34</v>
      </c>
      <c r="C25" s="152">
        <f>+'Operating Budget'!D153</f>
        <v>11346</v>
      </c>
      <c r="D25" s="133">
        <f t="shared" si="0"/>
        <v>136.6987951807229</v>
      </c>
      <c r="E25" s="134">
        <f t="shared" si="1"/>
        <v>0.12599107202345258</v>
      </c>
    </row>
    <row r="26" spans="1:8">
      <c r="A26" s="120"/>
      <c r="B26" s="151" t="s">
        <v>6</v>
      </c>
      <c r="C26" s="152">
        <f>+'Operating Budget'!D168</f>
        <v>63299.960000000014</v>
      </c>
      <c r="D26" s="133">
        <f t="shared" si="0"/>
        <v>762.65012048192784</v>
      </c>
      <c r="E26" s="134">
        <f t="shared" si="1"/>
        <v>0.70291114220356687</v>
      </c>
    </row>
    <row r="27" spans="1:8">
      <c r="A27" s="120"/>
      <c r="B27" s="151" t="s">
        <v>193</v>
      </c>
      <c r="C27" s="152">
        <f>+'Operating Budget'!D215</f>
        <v>7097</v>
      </c>
      <c r="D27" s="133">
        <f t="shared" si="0"/>
        <v>85.506024096385545</v>
      </c>
      <c r="E27" s="134">
        <f t="shared" si="1"/>
        <v>7.8808270593199642E-2</v>
      </c>
    </row>
    <row r="28" spans="1:8">
      <c r="A28" s="120"/>
      <c r="B28" s="151" t="s">
        <v>75</v>
      </c>
      <c r="C28" s="152">
        <f>+'Operating Budget'!D233</f>
        <v>0</v>
      </c>
      <c r="D28" s="133">
        <f t="shared" si="0"/>
        <v>0</v>
      </c>
      <c r="E28" s="134">
        <f t="shared" si="1"/>
        <v>0</v>
      </c>
    </row>
    <row r="29" spans="1:8">
      <c r="A29" s="120"/>
      <c r="B29" s="151" t="s">
        <v>36</v>
      </c>
      <c r="C29" s="152">
        <f>+'Operating Budget'!D261</f>
        <v>57047.960000000006</v>
      </c>
      <c r="D29" s="133">
        <f t="shared" si="0"/>
        <v>687.32481927710853</v>
      </c>
      <c r="E29" s="134">
        <f t="shared" si="1"/>
        <v>0.63348613054389591</v>
      </c>
    </row>
    <row r="30" spans="1:8">
      <c r="A30" s="120"/>
      <c r="B30" s="151" t="s">
        <v>7</v>
      </c>
      <c r="C30" s="152">
        <f>+'Operating Budget'!D275</f>
        <v>53490.838931325306</v>
      </c>
      <c r="D30" s="133">
        <f t="shared" si="0"/>
        <v>644.46793893163021</v>
      </c>
      <c r="E30" s="134">
        <f t="shared" si="1"/>
        <v>0.5939862630346826</v>
      </c>
    </row>
    <row r="31" spans="1:8">
      <c r="A31" s="120"/>
      <c r="B31" s="151" t="s">
        <v>8</v>
      </c>
      <c r="C31" s="153">
        <f>+'Operating Budget'!D273</f>
        <v>129027</v>
      </c>
      <c r="D31" s="139">
        <f t="shared" si="0"/>
        <v>1554.5421686746988</v>
      </c>
      <c r="E31" s="140">
        <f t="shared" si="1"/>
        <v>1.4327736691318542</v>
      </c>
    </row>
    <row r="32" spans="1:8">
      <c r="A32" s="120"/>
      <c r="B32" s="131" t="s">
        <v>9</v>
      </c>
      <c r="C32" s="154">
        <f>SUM(C23:C31)</f>
        <v>428203.93226465868</v>
      </c>
      <c r="D32" s="141">
        <f t="shared" si="0"/>
        <v>5159.0835212609481</v>
      </c>
      <c r="E32" s="142">
        <f t="shared" si="1"/>
        <v>4.7549684885142103</v>
      </c>
    </row>
    <row r="33" spans="1:5">
      <c r="A33" s="120"/>
      <c r="B33" s="131"/>
      <c r="C33" s="143"/>
      <c r="D33" s="144"/>
      <c r="E33" s="145"/>
    </row>
    <row r="34" spans="1:5">
      <c r="A34" s="120"/>
      <c r="B34" s="131"/>
      <c r="C34" s="148"/>
      <c r="D34" s="144"/>
      <c r="E34" s="145"/>
    </row>
    <row r="35" spans="1:5">
      <c r="A35" s="120"/>
      <c r="B35" s="155" t="s">
        <v>74</v>
      </c>
      <c r="C35" s="156">
        <f>+C20-C32</f>
        <v>1021476.0775244981</v>
      </c>
      <c r="D35" s="156">
        <f>SUM(C35/$C$8)</f>
        <v>12306.940693066243</v>
      </c>
      <c r="E35" s="157">
        <f>C35/$C$9</f>
        <v>11.342928437654054</v>
      </c>
    </row>
    <row r="36" spans="1:5">
      <c r="A36" s="120"/>
      <c r="B36" s="158"/>
      <c r="C36" s="159"/>
      <c r="D36" s="159"/>
      <c r="E36" s="159"/>
    </row>
    <row r="37" spans="1:5">
      <c r="A37" s="160"/>
      <c r="B37" s="120"/>
      <c r="C37" s="114"/>
      <c r="D37" s="161"/>
      <c r="E37" s="162"/>
    </row>
    <row r="38" spans="1:5" ht="16.5" customHeight="1">
      <c r="A38" s="120"/>
      <c r="B38" s="163" t="s">
        <v>211</v>
      </c>
      <c r="C38" s="164"/>
      <c r="D38" s="164"/>
      <c r="E38" s="165"/>
    </row>
    <row r="39" spans="1:5">
      <c r="A39" s="120"/>
      <c r="B39" s="166" t="s">
        <v>1007</v>
      </c>
      <c r="C39" s="167"/>
      <c r="D39" s="167"/>
      <c r="E39" s="168"/>
    </row>
    <row r="40" spans="1:5">
      <c r="A40" s="120"/>
      <c r="B40" s="169"/>
      <c r="C40" s="170"/>
      <c r="D40" s="170"/>
      <c r="E40" s="171"/>
    </row>
    <row r="41" spans="1:5">
      <c r="B41" s="167"/>
      <c r="C41" s="167"/>
      <c r="D41" s="167"/>
      <c r="E41" s="167"/>
    </row>
    <row r="42" spans="1:5">
      <c r="A42" s="120"/>
      <c r="B42" s="167"/>
      <c r="C42" s="167"/>
      <c r="D42" s="167"/>
      <c r="E42" s="167"/>
    </row>
    <row r="43" spans="1:5">
      <c r="A43" s="120"/>
    </row>
    <row r="44" spans="1:5">
      <c r="A44" s="120"/>
    </row>
    <row r="45" spans="1:5">
      <c r="A45" s="120"/>
    </row>
    <row r="46" spans="1:5">
      <c r="A46" s="120"/>
    </row>
    <row r="47" spans="1:5">
      <c r="A47" s="120"/>
    </row>
    <row r="48" spans="1:5">
      <c r="A48" s="120"/>
    </row>
    <row r="49" spans="1:1">
      <c r="A49" s="120"/>
    </row>
    <row r="50" spans="1:1">
      <c r="A50" s="120"/>
    </row>
    <row r="51" spans="1:1">
      <c r="A51" s="120"/>
    </row>
    <row r="52" spans="1:1">
      <c r="A52" s="120"/>
    </row>
    <row r="53" spans="1:1">
      <c r="A53" s="120"/>
    </row>
    <row r="54" spans="1:1">
      <c r="A54" s="120"/>
    </row>
  </sheetData>
  <customSheetViews>
    <customSheetView guid="{9DEAD063-F928-419C-837E-C1066ED7860B}" hiddenRows="1">
      <selection activeCell="E11" sqref="E11"/>
      <pageMargins left="0.2" right="0.2" top="1" bottom="0.25" header="0.3" footer="0.3"/>
      <printOptions horizontalCentered="1"/>
      <pageSetup scale="80" orientation="portrait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H46" sqref="H46"/>
      <pageMargins left="0.2" right="0.2" top="1" bottom="0.25" header="0.3" footer="0.3"/>
      <printOptions horizontalCentered="1"/>
      <pageSetup scale="90" orientation="portrait" r:id="rId2"/>
      <headerFooter>
        <oddHeader>&amp;L&amp;G&amp;C&amp;"Calibri,Regular"&amp;12 2017 BUDGET&amp;R&amp;D</oddHeader>
      </headerFooter>
    </customSheetView>
    <customSheetView guid="{D073F711-6285-4942-AB77-7D856F2758D2}" hiddenRows="1">
      <selection activeCell="D27" sqref="D27"/>
      <pageMargins left="0.2" right="0.2" top="1" bottom="0.25" header="0.3" footer="0.3"/>
      <printOptions horizontalCentered="1"/>
      <pageSetup scale="90" orientation="portrait" r:id="rId3"/>
      <headerFooter>
        <oddHeader>&amp;L&amp;G&amp;C&amp;"Calibri,Regular"&amp;12 2017 BUDGET&amp;R&amp;D</oddHeader>
      </headerFooter>
    </customSheetView>
    <customSheetView guid="{37F60134-1665-4224-BDB0-AA938013E6F7}" hiddenRows="1" topLeftCell="A13">
      <selection activeCell="D30" sqref="D30"/>
      <pageMargins left="0.2" right="0.2" top="1" bottom="0.25" header="0.3" footer="0.3"/>
      <printOptions horizontalCentered="1"/>
      <pageSetup scale="90" orientation="portrait" r:id="rId4"/>
      <headerFooter>
        <oddHeader>&amp;L&amp;G&amp;C&amp;"Calibri,Regular"&amp;12 2017 BUDGET&amp;R&amp;D</oddHeader>
      </headerFooter>
    </customSheetView>
    <customSheetView guid="{DE2360E6-2B91-4F5C-9697-CB1D2265B97A}" hiddenRows="1" topLeftCell="A36">
      <selection activeCell="E30" sqref="E30"/>
      <pageMargins left="0.2" right="0.2" top="1" bottom="0.25" header="0.3" footer="0.3"/>
      <printOptions horizontalCentered="1"/>
      <pageSetup scale="90" orientation="portrait" r:id="rId5"/>
      <headerFooter>
        <oddHeader>&amp;L&amp;G&amp;C&amp;"Calibri,Regular"&amp;12 2017 BUDGET&amp;R&amp;D</oddHeader>
      </headerFooter>
    </customSheetView>
    <customSheetView guid="{20D88610-093B-4F6F-9D08-6EE3E18F1365}" hiddenRows="1" topLeftCell="A9">
      <selection activeCell="C25" sqref="C25"/>
      <pageMargins left="0.2" right="0.2" top="1" bottom="0.25" header="0.3" footer="0.3"/>
      <printOptions horizontalCentered="1"/>
      <pageSetup scale="90" orientation="portrait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topLeftCell="A15">
      <selection activeCell="G46" sqref="G46"/>
      <pageMargins left="0.2" right="0.2" top="1" bottom="0.25" header="0.3" footer="0.3"/>
      <printOptions horizontalCentered="1"/>
      <pageSetup scale="80" orientation="portrait" r:id="rId7"/>
      <headerFooter>
        <oddHeader>&amp;L&amp;G&amp;C&amp;"Calibri,Regular"&amp;12 2017 BUDGET&amp;R&amp;D</oddHeader>
      </headerFooter>
    </customSheetView>
    <customSheetView guid="{BBC4A248-3FF0-4C22-89A9-106C1C902C44}" hiddenRows="1">
      <selection activeCell="B63" sqref="B63"/>
      <pageMargins left="0.2" right="0.2" top="1" bottom="0.25" header="0.3" footer="0.3"/>
      <printOptions horizontalCentered="1"/>
      <pageSetup scale="80" orientation="portrait" r:id="rId8"/>
      <headerFooter>
        <oddHeader>&amp;L&amp;G&amp;C&amp;"Calibri,Regular"&amp;12 2017 BUDGET&amp;R&amp;D</oddHeader>
      </headerFooter>
    </customSheetView>
    <customSheetView guid="{97516F51-8B9A-4ED3-BCEB-36791F0F2C00}">
      <selection activeCell="H30" sqref="H30"/>
      <pageMargins left="0.2" right="0.2" top="1" bottom="0.25" header="0.3" footer="0.3"/>
      <printOptions horizontalCentered="1"/>
      <pageSetup scale="80" orientation="portrait" r:id="rId9"/>
      <headerFooter>
        <oddHeader>&amp;L&amp;G&amp;C&amp;"Calibri,Regular"&amp;12 2017 BUDGET&amp;R&amp;D</oddHeader>
      </headerFooter>
    </customSheetView>
  </customSheetViews>
  <mergeCells count="2">
    <mergeCell ref="B4:C4"/>
    <mergeCell ref="G14:H14"/>
  </mergeCells>
  <printOptions horizontalCentered="1"/>
  <pageMargins left="0.2" right="0.2" top="1" bottom="0.25" header="0.3" footer="0.3"/>
  <pageSetup scale="80" orientation="portrait" r:id="rId10"/>
  <headerFooter>
    <oddHeader>&amp;L&amp;G&amp;C&amp;"Calibri,Regular"&amp;12  BUDGET&amp;R&amp;D</oddHeader>
  </headerFooter>
  <legacyDrawingHF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A71CE-023F-438A-8648-ADB0221DC610}">
  <sheetPr codeName="Sheet12">
    <tabColor theme="9" tint="-0.249977111117893"/>
    <pageSetUpPr fitToPage="1"/>
  </sheetPr>
  <dimension ref="A1:J68"/>
  <sheetViews>
    <sheetView showGridLines="0" topLeftCell="A46" zoomScale="79" zoomScaleNormal="80" zoomScaleSheetLayoutView="100" zoomScalePageLayoutView="80" workbookViewId="0">
      <selection activeCell="C17" sqref="C17"/>
    </sheetView>
  </sheetViews>
  <sheetFormatPr baseColWidth="10" defaultColWidth="9.1640625" defaultRowHeight="14"/>
  <cols>
    <col min="1" max="1" width="9.33203125" style="173" bestFit="1" customWidth="1"/>
    <col min="2" max="2" width="46.6640625" style="173" bestFit="1" customWidth="1"/>
    <col min="3" max="3" width="28.5" style="175" customWidth="1"/>
    <col min="4" max="4" width="12.6640625" style="175" customWidth="1"/>
    <col min="5" max="5" width="52.5" style="173" customWidth="1"/>
    <col min="6" max="6" width="13" style="173" bestFit="1" customWidth="1"/>
    <col min="7" max="7" width="42.33203125" style="173" bestFit="1" customWidth="1"/>
    <col min="8" max="8" width="9.1640625" style="173"/>
    <col min="9" max="9" width="28.6640625" style="173" bestFit="1" customWidth="1"/>
    <col min="10" max="10" width="11.6640625" style="173" bestFit="1" customWidth="1"/>
    <col min="11" max="16384" width="9.1640625" style="173"/>
  </cols>
  <sheetData>
    <row r="1" spans="1:10">
      <c r="A1" s="229" t="str">
        <f ca="1">+"RKW Residential "&amp;" // "&amp;Cover!A23&amp;" // "&amp;Cover!A19&amp;" // "&amp;MID(CELL("filename",A1),FIND("]",CELL("filename",A1))+1,255)</f>
        <v>RKW Residential  // Abraham Ng'hwani // NOVA RTP 2680 // Start Up Budget Detail</v>
      </c>
      <c r="B1" s="107"/>
      <c r="C1" s="107"/>
      <c r="D1" s="172"/>
      <c r="E1" s="172"/>
    </row>
    <row r="2" spans="1:10" ht="16">
      <c r="B2" s="174"/>
    </row>
    <row r="3" spans="1:10">
      <c r="B3" s="176" t="s">
        <v>776</v>
      </c>
      <c r="C3" s="177"/>
      <c r="D3" s="178"/>
    </row>
    <row r="4" spans="1:10">
      <c r="B4" s="108"/>
      <c r="C4" s="108"/>
      <c r="D4" s="108"/>
    </row>
    <row r="5" spans="1:10">
      <c r="B5" s="179" t="s">
        <v>911</v>
      </c>
      <c r="C5" s="1031">
        <v>45170</v>
      </c>
      <c r="D5" s="108"/>
    </row>
    <row r="6" spans="1:10" ht="18" customHeight="1">
      <c r="C6" s="1032" t="s">
        <v>1163</v>
      </c>
    </row>
    <row r="7" spans="1:10">
      <c r="B7" s="180"/>
      <c r="C7" s="181">
        <f>+C5</f>
        <v>45170</v>
      </c>
      <c r="D7" s="181" t="s">
        <v>41</v>
      </c>
      <c r="E7" s="182" t="s">
        <v>777</v>
      </c>
      <c r="G7" s="1066" t="s">
        <v>933</v>
      </c>
      <c r="H7" s="1067"/>
      <c r="I7" s="1067"/>
      <c r="J7" s="1068"/>
    </row>
    <row r="8" spans="1:10">
      <c r="B8" s="183" t="s">
        <v>778</v>
      </c>
      <c r="C8" s="108"/>
      <c r="D8" s="184"/>
      <c r="E8" s="132"/>
      <c r="G8" s="185" t="s">
        <v>781</v>
      </c>
      <c r="H8" s="186">
        <v>2500</v>
      </c>
      <c r="J8" s="187"/>
    </row>
    <row r="9" spans="1:10">
      <c r="B9" s="204" t="str">
        <f>+'Start Up Media Schedule'!B22</f>
        <v xml:space="preserve">Brand Identity and Positioning </v>
      </c>
      <c r="C9" s="188">
        <f>+'Start Up Media Schedule'!C22</f>
        <v>12779</v>
      </c>
      <c r="D9" s="189">
        <f>+'Start Up Media Schedule'!D22</f>
        <v>12779</v>
      </c>
      <c r="E9" s="190"/>
      <c r="G9" s="185" t="s">
        <v>1128</v>
      </c>
      <c r="H9" s="1000">
        <v>18.46</v>
      </c>
      <c r="I9" s="911"/>
      <c r="J9" s="912"/>
    </row>
    <row r="10" spans="1:10">
      <c r="B10" s="204" t="str">
        <f>+'Start Up Media Schedule'!B31</f>
        <v>Property Website</v>
      </c>
      <c r="C10" s="188">
        <f>+'Start Up Media Schedule'!C31</f>
        <v>750</v>
      </c>
      <c r="D10" s="189">
        <f>+'Start Up Media Schedule'!D31</f>
        <v>750</v>
      </c>
      <c r="E10" s="190"/>
      <c r="G10" s="185" t="s">
        <v>783</v>
      </c>
      <c r="H10" s="186">
        <v>2500</v>
      </c>
      <c r="I10" s="925" t="s">
        <v>1047</v>
      </c>
      <c r="J10" s="206">
        <v>800</v>
      </c>
    </row>
    <row r="11" spans="1:10">
      <c r="B11" s="204" t="str">
        <f>+'Start Up Media Schedule'!B38</f>
        <v>Programs/Software</v>
      </c>
      <c r="C11" s="188">
        <f>+'Start Up Media Schedule'!C38</f>
        <v>548.1</v>
      </c>
      <c r="D11" s="189">
        <f>+'Start Up Media Schedule'!D38</f>
        <v>548.1</v>
      </c>
      <c r="E11" s="190"/>
      <c r="G11" s="185" t="s">
        <v>784</v>
      </c>
      <c r="H11" s="186">
        <v>2500</v>
      </c>
      <c r="J11" s="206"/>
    </row>
    <row r="12" spans="1:10">
      <c r="B12" s="204" t="s">
        <v>1134</v>
      </c>
      <c r="C12" s="188">
        <f>+'Start Up Media Schedule'!C48</f>
        <v>618.35</v>
      </c>
      <c r="D12" s="189">
        <f>SUM(C12:C12)</f>
        <v>618.35</v>
      </c>
      <c r="E12" s="190"/>
      <c r="G12" s="191" t="s">
        <v>785</v>
      </c>
      <c r="H12" s="192">
        <v>750</v>
      </c>
      <c r="I12" s="193"/>
      <c r="J12" s="991"/>
    </row>
    <row r="13" spans="1:10">
      <c r="B13" s="204" t="str">
        <f>+'Start Up Media Schedule'!B58</f>
        <v xml:space="preserve">Signage </v>
      </c>
      <c r="C13" s="188">
        <f>+'Start Up Media Schedule'!C58</f>
        <v>2350</v>
      </c>
      <c r="D13" s="189">
        <f>+'Start Up Media Schedule'!D50</f>
        <v>0</v>
      </c>
      <c r="E13" s="190"/>
    </row>
    <row r="14" spans="1:10">
      <c r="B14" s="204" t="str">
        <f>+'Start Up Media Schedule'!B71</f>
        <v>Internet</v>
      </c>
      <c r="C14" s="188">
        <f>+'Start Up Media Schedule'!C71</f>
        <v>5612</v>
      </c>
      <c r="D14" s="189">
        <f>+'Start Up Media Schedule'!D71</f>
        <v>5612</v>
      </c>
      <c r="E14" s="190"/>
    </row>
    <row r="15" spans="1:10">
      <c r="B15" s="204" t="str">
        <f>+'Start Up Media Schedule'!B81</f>
        <v>Marketing/Promotions</v>
      </c>
      <c r="C15" s="188">
        <f>+'Start Up Media Schedule'!C81</f>
        <v>5050</v>
      </c>
      <c r="D15" s="189">
        <f>+'Start Up Media Schedule'!D81</f>
        <v>5050</v>
      </c>
      <c r="E15" s="190"/>
      <c r="G15" s="1066" t="s">
        <v>934</v>
      </c>
      <c r="H15" s="1067"/>
      <c r="I15" s="1067"/>
      <c r="J15" s="1068"/>
    </row>
    <row r="16" spans="1:10">
      <c r="B16" s="204" t="str">
        <f>+'Start Up Media Schedule'!B89</f>
        <v>Model Marketing</v>
      </c>
      <c r="C16" s="188">
        <f>+'Start Up Media Schedule'!C89</f>
        <v>1500</v>
      </c>
      <c r="D16" s="189">
        <f>+'Start Up Media Schedule'!D89</f>
        <v>1500</v>
      </c>
      <c r="E16" s="190"/>
      <c r="G16" s="185" t="s">
        <v>904</v>
      </c>
      <c r="H16" s="186">
        <v>2</v>
      </c>
      <c r="I16" s="173" t="s">
        <v>903</v>
      </c>
      <c r="J16" s="194">
        <v>1200</v>
      </c>
    </row>
    <row r="17" spans="1:10">
      <c r="B17" s="208" t="str">
        <f>+'Start Up Media Schedule'!B96</f>
        <v>Resident Retention</v>
      </c>
      <c r="C17" s="195">
        <f>+'Start Up Media Schedule'!C96</f>
        <v>1500</v>
      </c>
      <c r="D17" s="196">
        <f>+'Start Up Media Schedule'!D96</f>
        <v>1500</v>
      </c>
      <c r="E17" s="190"/>
      <c r="G17" s="185" t="s">
        <v>925</v>
      </c>
      <c r="H17" s="186">
        <v>1</v>
      </c>
      <c r="I17" s="173" t="s">
        <v>905</v>
      </c>
      <c r="J17" s="194">
        <v>800</v>
      </c>
    </row>
    <row r="18" spans="1:10">
      <c r="A18" s="197">
        <f>+'Start Up Media Schedule'!A98</f>
        <v>9167.1</v>
      </c>
      <c r="B18" s="198" t="str">
        <f>+'Start Up Media Schedule'!B98</f>
        <v xml:space="preserve">CAPEX-Startup Costs - Marketing </v>
      </c>
      <c r="C18" s="199">
        <f t="shared" ref="C18" si="0">SUM(C9:C17)</f>
        <v>30707.45</v>
      </c>
      <c r="D18" s="200">
        <f>SUM(C18:C18)</f>
        <v>30707.45</v>
      </c>
      <c r="E18" s="201"/>
      <c r="G18" s="185" t="s">
        <v>790</v>
      </c>
      <c r="H18" s="186">
        <v>350</v>
      </c>
      <c r="J18" s="187"/>
    </row>
    <row r="19" spans="1:10">
      <c r="B19" s="183" t="s">
        <v>780</v>
      </c>
      <c r="C19" s="202"/>
      <c r="D19" s="203"/>
      <c r="E19" s="190"/>
      <c r="G19" s="185" t="s">
        <v>794</v>
      </c>
      <c r="H19" s="186">
        <v>0</v>
      </c>
      <c r="J19" s="187"/>
    </row>
    <row r="20" spans="1:10">
      <c r="B20" s="204" t="s">
        <v>781</v>
      </c>
      <c r="C20" s="188">
        <f>+$H$8</f>
        <v>2500</v>
      </c>
      <c r="D20" s="200">
        <f t="shared" ref="D20:D27" si="1">SUBTOTAL(9,C20:C20)</f>
        <v>2500</v>
      </c>
      <c r="E20" s="190" t="s">
        <v>782</v>
      </c>
      <c r="G20" s="185" t="s">
        <v>923</v>
      </c>
      <c r="H20" s="186">
        <v>3000</v>
      </c>
      <c r="J20" s="187"/>
    </row>
    <row r="21" spans="1:10">
      <c r="B21" s="204" t="s">
        <v>1046</v>
      </c>
      <c r="C21" s="188">
        <v>0</v>
      </c>
      <c r="D21" s="200">
        <f t="shared" si="1"/>
        <v>0</v>
      </c>
      <c r="E21" s="190"/>
      <c r="G21" s="185" t="s">
        <v>796</v>
      </c>
      <c r="H21" s="186">
        <v>350</v>
      </c>
      <c r="J21" s="187"/>
    </row>
    <row r="22" spans="1:10">
      <c r="B22" s="204" t="s">
        <v>1047</v>
      </c>
      <c r="C22" s="188">
        <v>0</v>
      </c>
      <c r="D22" s="200">
        <f t="shared" si="1"/>
        <v>0</v>
      </c>
      <c r="E22" s="190" t="s">
        <v>1048</v>
      </c>
      <c r="G22" s="185" t="s">
        <v>931</v>
      </c>
      <c r="H22" s="186">
        <v>0</v>
      </c>
      <c r="I22" s="173" t="s">
        <v>932</v>
      </c>
      <c r="J22" s="206">
        <v>0</v>
      </c>
    </row>
    <row r="23" spans="1:10">
      <c r="B23" s="204" t="s">
        <v>1129</v>
      </c>
      <c r="C23" s="205">
        <v>0</v>
      </c>
      <c r="D23" s="200">
        <f t="shared" si="1"/>
        <v>0</v>
      </c>
      <c r="E23" s="190" t="s">
        <v>1132</v>
      </c>
      <c r="G23" s="191" t="s">
        <v>799</v>
      </c>
      <c r="H23" s="192">
        <v>500</v>
      </c>
      <c r="I23" s="193"/>
      <c r="J23" s="207"/>
    </row>
    <row r="24" spans="1:10">
      <c r="B24" s="204" t="s">
        <v>1131</v>
      </c>
      <c r="C24" s="205">
        <v>0</v>
      </c>
      <c r="D24" s="200">
        <f t="shared" si="1"/>
        <v>0</v>
      </c>
      <c r="E24" s="190"/>
      <c r="H24" s="186"/>
      <c r="J24" s="990"/>
    </row>
    <row r="25" spans="1:10">
      <c r="B25" s="204" t="s">
        <v>783</v>
      </c>
      <c r="C25" s="188">
        <f>+$H$10</f>
        <v>2500</v>
      </c>
      <c r="D25" s="200">
        <f t="shared" si="1"/>
        <v>2500</v>
      </c>
      <c r="E25" s="190"/>
      <c r="H25" s="186"/>
      <c r="J25" s="990"/>
    </row>
    <row r="26" spans="1:10">
      <c r="B26" s="204" t="s">
        <v>784</v>
      </c>
      <c r="C26" s="188">
        <f>+$H$11</f>
        <v>2500</v>
      </c>
      <c r="D26" s="200">
        <f t="shared" si="1"/>
        <v>2500</v>
      </c>
      <c r="E26" s="190"/>
      <c r="H26" s="186"/>
      <c r="J26" s="990"/>
    </row>
    <row r="27" spans="1:10">
      <c r="B27" s="208" t="s">
        <v>785</v>
      </c>
      <c r="C27" s="195">
        <f>+$H$12</f>
        <v>750</v>
      </c>
      <c r="D27" s="209">
        <f t="shared" si="1"/>
        <v>750</v>
      </c>
      <c r="E27" s="190"/>
    </row>
    <row r="28" spans="1:10">
      <c r="B28" s="198" t="s">
        <v>786</v>
      </c>
      <c r="C28" s="199">
        <f t="shared" ref="C28" si="2">SUBTOTAL(9,C20:C27)</f>
        <v>8250</v>
      </c>
      <c r="D28" s="200">
        <f>SUM(C28:C28)</f>
        <v>8250</v>
      </c>
      <c r="E28" s="190"/>
    </row>
    <row r="29" spans="1:10">
      <c r="B29" s="183" t="s">
        <v>787</v>
      </c>
      <c r="C29" s="183"/>
      <c r="D29" s="203"/>
      <c r="E29" s="210"/>
    </row>
    <row r="30" spans="1:10">
      <c r="B30" s="204" t="s">
        <v>788</v>
      </c>
      <c r="C30" s="188">
        <f>+$J$16*$H$16</f>
        <v>2400</v>
      </c>
      <c r="D30" s="200">
        <f t="shared" ref="D30:D37" si="3">SUBTOTAL(9,C30:C30)</f>
        <v>2400</v>
      </c>
      <c r="E30" s="190" t="s">
        <v>789</v>
      </c>
    </row>
    <row r="31" spans="1:10">
      <c r="B31" s="204" t="s">
        <v>790</v>
      </c>
      <c r="C31" s="216">
        <f>+$H$18</f>
        <v>350</v>
      </c>
      <c r="D31" s="200">
        <f t="shared" si="3"/>
        <v>350</v>
      </c>
      <c r="E31" s="190" t="s">
        <v>791</v>
      </c>
      <c r="G31" s="1066" t="s">
        <v>935</v>
      </c>
      <c r="H31" s="1067"/>
      <c r="I31" s="1067"/>
      <c r="J31" s="1068"/>
    </row>
    <row r="32" spans="1:10">
      <c r="B32" s="204" t="s">
        <v>792</v>
      </c>
      <c r="C32" s="188">
        <f>+$H$17*$J$17</f>
        <v>800</v>
      </c>
      <c r="D32" s="200">
        <f t="shared" si="3"/>
        <v>800</v>
      </c>
      <c r="E32" s="190" t="s">
        <v>793</v>
      </c>
      <c r="G32" s="185" t="s">
        <v>926</v>
      </c>
      <c r="H32" s="211">
        <f>+'Operating Expenses'!$T$158</f>
        <v>0.03</v>
      </c>
      <c r="I32" s="173" t="s">
        <v>927</v>
      </c>
      <c r="J32" s="212">
        <f>+'Operating Expenses'!$V$158</f>
        <v>4500</v>
      </c>
    </row>
    <row r="33" spans="2:10">
      <c r="B33" s="204" t="s">
        <v>794</v>
      </c>
      <c r="C33" s="217">
        <f>+$H$19</f>
        <v>0</v>
      </c>
      <c r="D33" s="200">
        <f t="shared" si="3"/>
        <v>0</v>
      </c>
      <c r="E33" s="190" t="s">
        <v>795</v>
      </c>
      <c r="F33" s="108"/>
      <c r="G33" s="191" t="s">
        <v>1044</v>
      </c>
      <c r="H33" s="213">
        <v>0</v>
      </c>
      <c r="I33" s="214" t="s">
        <v>1039</v>
      </c>
      <c r="J33" s="215">
        <v>0.5</v>
      </c>
    </row>
    <row r="34" spans="2:10">
      <c r="B34" s="204" t="s">
        <v>923</v>
      </c>
      <c r="C34" s="217">
        <f>+$H$20</f>
        <v>3000</v>
      </c>
      <c r="D34" s="200">
        <f t="shared" si="3"/>
        <v>3000</v>
      </c>
      <c r="E34" s="190"/>
      <c r="F34" s="108"/>
    </row>
    <row r="35" spans="2:10">
      <c r="B35" s="204" t="s">
        <v>796</v>
      </c>
      <c r="C35" s="217">
        <f>+$H$21</f>
        <v>350</v>
      </c>
      <c r="D35" s="200">
        <f t="shared" si="3"/>
        <v>350</v>
      </c>
      <c r="E35" s="190"/>
      <c r="F35" s="108"/>
    </row>
    <row r="36" spans="2:10">
      <c r="B36" s="204" t="s">
        <v>797</v>
      </c>
      <c r="C36" s="217">
        <f>+$H$22</f>
        <v>0</v>
      </c>
      <c r="D36" s="200">
        <f t="shared" si="3"/>
        <v>0</v>
      </c>
      <c r="E36" s="190" t="s">
        <v>798</v>
      </c>
    </row>
    <row r="37" spans="2:10">
      <c r="B37" s="208" t="s">
        <v>799</v>
      </c>
      <c r="C37" s="218">
        <f>+$H$23*2</f>
        <v>1000</v>
      </c>
      <c r="D37" s="209">
        <f t="shared" si="3"/>
        <v>1000</v>
      </c>
      <c r="E37" s="190"/>
    </row>
    <row r="38" spans="2:10">
      <c r="B38" s="198" t="s">
        <v>800</v>
      </c>
      <c r="C38" s="199">
        <f t="shared" ref="C38" si="4">SUBTOTAL(9,C30:C37)</f>
        <v>7900</v>
      </c>
      <c r="D38" s="200">
        <f>SUM(C38:C38)</f>
        <v>7900</v>
      </c>
      <c r="E38" s="190"/>
    </row>
    <row r="39" spans="2:10">
      <c r="B39" s="183" t="s">
        <v>801</v>
      </c>
      <c r="C39" s="202"/>
      <c r="D39" s="219"/>
      <c r="E39" s="210"/>
    </row>
    <row r="40" spans="2:10">
      <c r="B40" s="208"/>
      <c r="C40" s="195">
        <f>+'Start Up Maintenance List '!E159</f>
        <v>23567.149999999998</v>
      </c>
      <c r="D40" s="220">
        <f>SUBTOTAL(9,C40:C40)</f>
        <v>23567.149999999998</v>
      </c>
      <c r="E40" s="190" t="s">
        <v>802</v>
      </c>
    </row>
    <row r="41" spans="2:10">
      <c r="B41" s="198" t="s">
        <v>803</v>
      </c>
      <c r="C41" s="199">
        <f t="shared" ref="C41" si="5">SUBTOTAL(9,C40:C40)</f>
        <v>23567.149999999998</v>
      </c>
      <c r="D41" s="200">
        <f>SUM(C41:C41)</f>
        <v>23567.149999999998</v>
      </c>
      <c r="E41" s="190"/>
    </row>
    <row r="42" spans="2:10">
      <c r="B42" s="183" t="s">
        <v>917</v>
      </c>
      <c r="C42" s="108"/>
      <c r="D42" s="184"/>
      <c r="E42" s="190"/>
    </row>
    <row r="43" spans="2:10">
      <c r="B43" s="204" t="str">
        <f>+'Start Up Payroll'!B76</f>
        <v>Payroll - Office and Clerical</v>
      </c>
      <c r="C43" s="188">
        <f>+IF(C$7='Start Up Payroll'!E$39,'Start Up Payroll'!E76,0)</f>
        <v>0</v>
      </c>
      <c r="D43" s="200">
        <f t="shared" ref="D43:D56" si="6">SUBTOTAL(9,C43:C43)</f>
        <v>0</v>
      </c>
      <c r="E43" s="190"/>
    </row>
    <row r="44" spans="2:10">
      <c r="B44" s="204" t="str">
        <f>+'Start Up Payroll'!B77</f>
        <v>Payroll - Leasing Commissions</v>
      </c>
      <c r="C44" s="188">
        <f>+IF(C$7='Start Up Payroll'!E$39,'Start Up Payroll'!E77,0)</f>
        <v>0</v>
      </c>
      <c r="D44" s="200">
        <f t="shared" si="6"/>
        <v>0</v>
      </c>
      <c r="E44" s="190"/>
    </row>
    <row r="45" spans="2:10">
      <c r="B45" s="204" t="str">
        <f>+'Start Up Payroll'!B78</f>
        <v>Payroll - Maintenance</v>
      </c>
      <c r="C45" s="188">
        <f>+IF(C$7='Start Up Payroll'!E$39,'Start Up Payroll'!E78,0)</f>
        <v>0</v>
      </c>
      <c r="D45" s="200">
        <f t="shared" si="6"/>
        <v>0</v>
      </c>
      <c r="E45" s="190"/>
    </row>
    <row r="46" spans="2:10">
      <c r="B46" s="204" t="str">
        <f>+'Start Up Payroll'!B79</f>
        <v>Payroll - Maintenance Overtime</v>
      </c>
      <c r="C46" s="188">
        <f>+IF(C$7='Start Up Payroll'!E$39,'Start Up Payroll'!E79,0)</f>
        <v>0</v>
      </c>
      <c r="D46" s="200">
        <f t="shared" si="6"/>
        <v>0</v>
      </c>
      <c r="E46" s="190"/>
    </row>
    <row r="47" spans="2:10">
      <c r="B47" s="204" t="str">
        <f>+'Start Up Payroll'!B80</f>
        <v>Temporary Office Help</v>
      </c>
      <c r="C47" s="188">
        <f>+IF(C$7='Start Up Payroll'!E$39,'Start Up Payroll'!E80,0)</f>
        <v>0</v>
      </c>
      <c r="D47" s="200">
        <f t="shared" si="6"/>
        <v>0</v>
      </c>
      <c r="E47" s="190"/>
    </row>
    <row r="48" spans="2:10">
      <c r="B48" s="204" t="str">
        <f>+'Start Up Payroll'!B81</f>
        <v>Temporary Maintenance Help</v>
      </c>
      <c r="C48" s="188">
        <f>+IF(C$7='Start Up Payroll'!E$39,'Start Up Payroll'!E81,0)</f>
        <v>0</v>
      </c>
      <c r="D48" s="200">
        <f t="shared" si="6"/>
        <v>0</v>
      </c>
      <c r="E48" s="190"/>
    </row>
    <row r="49" spans="2:6">
      <c r="B49" s="204" t="str">
        <f>+'Start Up Payroll'!B82</f>
        <v>Bonuses</v>
      </c>
      <c r="C49" s="188">
        <f>+IF(C$7='Start Up Payroll'!E$39,'Start Up Payroll'!E82,0)</f>
        <v>0</v>
      </c>
      <c r="D49" s="200">
        <f t="shared" si="6"/>
        <v>0</v>
      </c>
      <c r="E49" s="190"/>
    </row>
    <row r="50" spans="2:6">
      <c r="B50" s="204" t="str">
        <f>+'Start Up Payroll'!B83</f>
        <v>Employeee Burden</v>
      </c>
      <c r="C50" s="188">
        <f>+IF(C$7='Start Up Payroll'!E$39,'Start Up Payroll'!E83,0)</f>
        <v>0</v>
      </c>
      <c r="D50" s="200">
        <f t="shared" si="6"/>
        <v>0</v>
      </c>
      <c r="E50" s="190"/>
    </row>
    <row r="51" spans="2:6">
      <c r="B51" s="204" t="str">
        <f>+'Start Up Payroll'!B84</f>
        <v>Group Health Insurance</v>
      </c>
      <c r="C51" s="188">
        <f>+IF(C$7='Start Up Payroll'!E$39,'Start Up Payroll'!E84,0)</f>
        <v>0</v>
      </c>
      <c r="D51" s="200">
        <f t="shared" si="6"/>
        <v>0</v>
      </c>
      <c r="E51" s="190"/>
    </row>
    <row r="52" spans="2:6">
      <c r="B52" s="204" t="str">
        <f>+'Start Up Payroll'!B85</f>
        <v>Other Employee Benefits</v>
      </c>
      <c r="C52" s="188">
        <f>+IF(C$7='Start Up Payroll'!E$39,'Start Up Payroll'!E85,0)</f>
        <v>0</v>
      </c>
      <c r="D52" s="200">
        <f t="shared" si="6"/>
        <v>0</v>
      </c>
      <c r="E52" s="190"/>
    </row>
    <row r="53" spans="2:6">
      <c r="B53" s="204" t="str">
        <f>+'Start Up Payroll'!B86</f>
        <v>Worker's Compensation</v>
      </c>
      <c r="C53" s="188">
        <f>+IF(C$7='Start Up Payroll'!E$39,'Start Up Payroll'!E86,0)</f>
        <v>0</v>
      </c>
      <c r="D53" s="200">
        <f t="shared" si="6"/>
        <v>0</v>
      </c>
      <c r="E53" s="190"/>
    </row>
    <row r="54" spans="2:6">
      <c r="B54" s="204" t="str">
        <f>+'Start Up Payroll'!B87</f>
        <v>401K Contribution</v>
      </c>
      <c r="C54" s="188">
        <f>+IF(C$7='Start Up Payroll'!E$39,'Start Up Payroll'!E87,0)</f>
        <v>0</v>
      </c>
      <c r="D54" s="200">
        <f t="shared" si="6"/>
        <v>0</v>
      </c>
      <c r="E54" s="190"/>
    </row>
    <row r="55" spans="2:6">
      <c r="B55" s="204" t="str">
        <f>+'Start Up Payroll'!B88</f>
        <v>Related Payroll Costs</v>
      </c>
      <c r="C55" s="188">
        <f>+IF(C$7='Start Up Payroll'!E$39,'Start Up Payroll'!E88,0)</f>
        <v>0</v>
      </c>
      <c r="D55" s="200">
        <f t="shared" si="6"/>
        <v>0</v>
      </c>
      <c r="E55" s="190"/>
    </row>
    <row r="56" spans="2:6">
      <c r="B56" s="208" t="str">
        <f>+'Start Up Payroll'!B89</f>
        <v>Vacation Accrual</v>
      </c>
      <c r="C56" s="195">
        <f>+IF(C$7='Start Up Payroll'!E$39,'Start Up Payroll'!E89,0)</f>
        <v>0</v>
      </c>
      <c r="D56" s="209">
        <f t="shared" si="6"/>
        <v>0</v>
      </c>
      <c r="E56" s="190"/>
    </row>
    <row r="57" spans="2:6">
      <c r="B57" s="198" t="s">
        <v>918</v>
      </c>
      <c r="C57" s="199">
        <f t="shared" ref="C57" si="7">+SUBTOTAL(9,C42:C56)</f>
        <v>0</v>
      </c>
      <c r="D57" s="200">
        <f>SUM(C57:C57)</f>
        <v>0</v>
      </c>
      <c r="E57" s="190"/>
    </row>
    <row r="58" spans="2:6">
      <c r="B58" s="183" t="s">
        <v>1036</v>
      </c>
      <c r="C58" s="183"/>
      <c r="D58" s="203"/>
      <c r="E58" s="190"/>
    </row>
    <row r="59" spans="2:6">
      <c r="B59" s="204" t="s">
        <v>1036</v>
      </c>
      <c r="C59" s="221">
        <f>+$J$32</f>
        <v>4500</v>
      </c>
      <c r="D59" s="222">
        <f>SUBTOTAL(9,C59:C59)</f>
        <v>4500</v>
      </c>
      <c r="E59" s="223" t="s">
        <v>1038</v>
      </c>
    </row>
    <row r="60" spans="2:6" ht="15">
      <c r="B60" s="208" t="s">
        <v>1037</v>
      </c>
      <c r="C60" s="913">
        <f>-($H$33*$J$33)/3</f>
        <v>0</v>
      </c>
      <c r="D60" s="224">
        <f>SUBTOTAL(9,C60:C60)</f>
        <v>0</v>
      </c>
      <c r="E60" s="225" t="s">
        <v>1042</v>
      </c>
    </row>
    <row r="61" spans="2:6">
      <c r="B61" s="198" t="s">
        <v>920</v>
      </c>
      <c r="C61" s="199">
        <f t="shared" ref="C61:D61" si="8">SUM(C59:C60)</f>
        <v>4500</v>
      </c>
      <c r="D61" s="200">
        <f t="shared" si="8"/>
        <v>4500</v>
      </c>
      <c r="E61" s="223"/>
    </row>
    <row r="62" spans="2:6">
      <c r="B62" s="226"/>
      <c r="C62" s="226"/>
      <c r="D62" s="227"/>
      <c r="E62" s="190"/>
    </row>
    <row r="63" spans="2:6">
      <c r="B63" s="198" t="s">
        <v>804</v>
      </c>
      <c r="C63" s="199">
        <f t="shared" ref="C63:D63" si="9">SUM(C18+C28+C38+C41,C57,C61)</f>
        <v>74924.599999999991</v>
      </c>
      <c r="D63" s="200">
        <f t="shared" si="9"/>
        <v>74924.599999999991</v>
      </c>
      <c r="E63" s="228"/>
    </row>
    <row r="64" spans="2:6">
      <c r="F64" s="108"/>
    </row>
    <row r="67" spans="5:5" ht="4.5" customHeight="1">
      <c r="E67" s="108"/>
    </row>
    <row r="68" spans="5:5">
      <c r="E68" s="108"/>
    </row>
  </sheetData>
  <mergeCells count="3">
    <mergeCell ref="G31:J31"/>
    <mergeCell ref="G15:J15"/>
    <mergeCell ref="G7:J7"/>
  </mergeCells>
  <printOptions horizontalCentered="1"/>
  <pageMargins left="0.25" right="0.25" top="1.3" bottom="0.35" header="0.3" footer="0.3"/>
  <pageSetup scale="60" orientation="landscape" r:id="rId1"/>
  <headerFooter>
    <oddHeader>&amp;L&amp;G</oddHeader>
  </headerFooter>
  <ignoredErrors>
    <ignoredError sqref="H32 J32" unlocked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DE547-100E-4D31-8A5D-D012E0A1FC7E}">
  <sheetPr codeName="Sheet16">
    <tabColor theme="9" tint="-0.249977111117893"/>
    <pageSetUpPr fitToPage="1"/>
  </sheetPr>
  <dimension ref="A1:O139"/>
  <sheetViews>
    <sheetView showGridLines="0" topLeftCell="A63" zoomScale="90" zoomScaleNormal="90" zoomScaleSheetLayoutView="100" zoomScalePageLayoutView="90" workbookViewId="0">
      <selection activeCell="C41" sqref="C41"/>
    </sheetView>
  </sheetViews>
  <sheetFormatPr baseColWidth="10" defaultColWidth="9.1640625" defaultRowHeight="13"/>
  <cols>
    <col min="1" max="1" width="11.5" style="175" customWidth="1"/>
    <col min="2" max="2" width="45.83203125" style="175" customWidth="1"/>
    <col min="3" max="3" width="12.6640625" style="175" customWidth="1"/>
    <col min="4" max="4" width="10.6640625" style="175" customWidth="1"/>
    <col min="5" max="5" width="25.6640625" style="175" bestFit="1" customWidth="1"/>
    <col min="6" max="6" width="2.1640625" style="175" customWidth="1"/>
    <col min="7" max="7" width="9.1640625" style="175"/>
    <col min="8" max="8" width="14.1640625" style="175" customWidth="1"/>
    <col min="9" max="9" width="17.83203125" style="175" customWidth="1"/>
    <col min="10" max="10" width="13.1640625" style="175" customWidth="1"/>
    <col min="11" max="11" width="14.33203125" style="175" bestFit="1" customWidth="1"/>
    <col min="12" max="12" width="9.1640625" style="175"/>
    <col min="13" max="13" width="13.5" style="175" customWidth="1"/>
    <col min="14" max="14" width="12.5" style="175" customWidth="1"/>
    <col min="15" max="16384" width="9.1640625" style="175"/>
  </cols>
  <sheetData>
    <row r="1" spans="1:6" ht="14">
      <c r="A1" s="384" t="str">
        <f ca="1">+"RKW Residential "&amp;" // "&amp;Cover!A23&amp;" // "&amp;Cover!A19&amp;" // "&amp;MID(CELL("filename",A1),FIND("]",CELL("filename",A1))+1,255)</f>
        <v>RKW Residential  // Abraham Ng'hwani // NOVA RTP 2680 // Start Up Media Schedule</v>
      </c>
      <c r="B1" s="385"/>
      <c r="C1" s="172"/>
      <c r="D1" s="172"/>
      <c r="E1" s="172"/>
      <c r="F1" s="407"/>
    </row>
    <row r="3" spans="1:6" ht="14">
      <c r="B3" s="176" t="s">
        <v>805</v>
      </c>
      <c r="C3" s="177"/>
      <c r="D3" s="178"/>
    </row>
    <row r="4" spans="1:6" ht="14">
      <c r="C4" s="1030"/>
    </row>
    <row r="5" spans="1:6">
      <c r="B5" s="386"/>
      <c r="C5" s="387" t="str">
        <f>+'Start Up Budget Detail'!E7</f>
        <v>NOTES</v>
      </c>
      <c r="D5" s="388" t="s">
        <v>20</v>
      </c>
      <c r="E5" s="389" t="s">
        <v>907</v>
      </c>
      <c r="F5" s="1047"/>
    </row>
    <row r="6" spans="1:6" ht="15" customHeight="1">
      <c r="C6" s="390"/>
      <c r="D6" s="391"/>
      <c r="E6" s="392"/>
      <c r="F6" s="392"/>
    </row>
    <row r="7" spans="1:6">
      <c r="B7" s="386" t="s">
        <v>779</v>
      </c>
      <c r="C7" s="1033">
        <f>+'Start Up Budget Detail'!C7</f>
        <v>45170</v>
      </c>
      <c r="D7" s="389"/>
      <c r="E7" s="394"/>
      <c r="F7" s="392"/>
    </row>
    <row r="8" spans="1:6">
      <c r="B8" s="395" t="s">
        <v>1150</v>
      </c>
      <c r="C8" s="396">
        <v>11000</v>
      </c>
      <c r="D8" s="397">
        <f t="shared" ref="D8:D21" si="0">SUBTOTAL(9,C8:C8)</f>
        <v>11000</v>
      </c>
      <c r="E8" s="398"/>
      <c r="F8" s="392"/>
    </row>
    <row r="9" spans="1:6">
      <c r="B9" s="395" t="s">
        <v>1151</v>
      </c>
      <c r="C9" s="396">
        <v>1500</v>
      </c>
      <c r="D9" s="397">
        <f t="shared" si="0"/>
        <v>1500</v>
      </c>
      <c r="E9" s="398"/>
      <c r="F9" s="392"/>
    </row>
    <row r="10" spans="1:6">
      <c r="B10" s="395" t="s">
        <v>512</v>
      </c>
      <c r="C10" s="396">
        <v>0</v>
      </c>
      <c r="D10" s="397">
        <f t="shared" si="0"/>
        <v>0</v>
      </c>
      <c r="E10" s="398"/>
      <c r="F10" s="392"/>
    </row>
    <row r="11" spans="1:6">
      <c r="B11" s="395" t="s">
        <v>914</v>
      </c>
      <c r="C11" s="396">
        <v>0</v>
      </c>
      <c r="D11" s="397">
        <f t="shared" si="0"/>
        <v>0</v>
      </c>
      <c r="E11" s="398"/>
      <c r="F11" s="392"/>
    </row>
    <row r="12" spans="1:6">
      <c r="B12" s="395" t="s">
        <v>1144</v>
      </c>
      <c r="C12" s="396"/>
      <c r="D12" s="397">
        <f t="shared" si="0"/>
        <v>0</v>
      </c>
      <c r="E12" s="398"/>
      <c r="F12" s="392"/>
    </row>
    <row r="13" spans="1:6">
      <c r="B13" s="395" t="s">
        <v>915</v>
      </c>
      <c r="C13" s="396">
        <v>0</v>
      </c>
      <c r="D13" s="397">
        <f t="shared" si="0"/>
        <v>0</v>
      </c>
      <c r="E13" s="398"/>
      <c r="F13" s="392"/>
    </row>
    <row r="14" spans="1:6">
      <c r="B14" s="395" t="s">
        <v>121</v>
      </c>
      <c r="C14" s="396">
        <v>0</v>
      </c>
      <c r="D14" s="397">
        <f t="shared" si="0"/>
        <v>0</v>
      </c>
      <c r="E14" s="398"/>
      <c r="F14" s="392"/>
    </row>
    <row r="15" spans="1:6">
      <c r="B15" s="395" t="s">
        <v>122</v>
      </c>
      <c r="C15" s="396">
        <v>0</v>
      </c>
      <c r="D15" s="397">
        <f t="shared" si="0"/>
        <v>0</v>
      </c>
      <c r="E15" s="398"/>
      <c r="F15" s="392"/>
    </row>
    <row r="16" spans="1:6">
      <c r="B16" s="395" t="s">
        <v>509</v>
      </c>
      <c r="C16" s="396">
        <v>0</v>
      </c>
      <c r="D16" s="397">
        <f t="shared" si="0"/>
        <v>0</v>
      </c>
      <c r="E16" s="398"/>
      <c r="F16" s="392"/>
    </row>
    <row r="17" spans="1:6">
      <c r="B17" s="395" t="s">
        <v>899</v>
      </c>
      <c r="C17" s="396">
        <v>279</v>
      </c>
      <c r="D17" s="397">
        <f t="shared" si="0"/>
        <v>279</v>
      </c>
      <c r="E17" s="398"/>
      <c r="F17" s="392"/>
    </row>
    <row r="18" spans="1:6">
      <c r="B18" s="395" t="s">
        <v>806</v>
      </c>
      <c r="C18" s="396"/>
      <c r="D18" s="397">
        <f t="shared" si="0"/>
        <v>0</v>
      </c>
      <c r="E18" s="398"/>
      <c r="F18" s="392"/>
    </row>
    <row r="19" spans="1:6">
      <c r="B19" s="395" t="s">
        <v>1145</v>
      </c>
      <c r="C19" s="396">
        <v>0</v>
      </c>
      <c r="D19" s="397">
        <f t="shared" si="0"/>
        <v>0</v>
      </c>
      <c r="E19" s="398"/>
      <c r="F19" s="392"/>
    </row>
    <row r="20" spans="1:6">
      <c r="B20" s="395" t="s">
        <v>922</v>
      </c>
      <c r="C20" s="396">
        <v>0</v>
      </c>
      <c r="D20" s="408">
        <f t="shared" si="0"/>
        <v>0</v>
      </c>
      <c r="E20" s="398"/>
      <c r="F20" s="392"/>
    </row>
    <row r="21" spans="1:6">
      <c r="B21" s="395" t="s">
        <v>922</v>
      </c>
      <c r="C21" s="396">
        <v>0</v>
      </c>
      <c r="D21" s="408">
        <f t="shared" si="0"/>
        <v>0</v>
      </c>
      <c r="E21" s="398"/>
      <c r="F21" s="392"/>
    </row>
    <row r="22" spans="1:6">
      <c r="B22" s="399" t="s">
        <v>779</v>
      </c>
      <c r="C22" s="400">
        <f t="shared" ref="C22" si="1">SUM(C8:C21)</f>
        <v>12779</v>
      </c>
      <c r="D22" s="402">
        <f>SUM(D8:D21)</f>
        <v>12779</v>
      </c>
      <c r="E22" s="403"/>
      <c r="F22" s="392"/>
    </row>
    <row r="23" spans="1:6">
      <c r="B23" s="404"/>
      <c r="C23" s="108"/>
      <c r="D23" s="108"/>
      <c r="E23" s="405"/>
      <c r="F23" s="405"/>
    </row>
    <row r="24" spans="1:6" s="407" customFormat="1">
      <c r="A24" s="108"/>
      <c r="B24" s="386" t="s">
        <v>393</v>
      </c>
      <c r="C24" s="393"/>
      <c r="D24" s="389"/>
      <c r="E24" s="406"/>
      <c r="F24" s="392"/>
    </row>
    <row r="25" spans="1:6" s="407" customFormat="1">
      <c r="A25" s="108"/>
      <c r="B25" s="395" t="s">
        <v>1018</v>
      </c>
      <c r="C25" s="396">
        <v>750</v>
      </c>
      <c r="D25" s="408">
        <f t="shared" ref="D25:D30" si="2">SUBTOTAL(9,C25:C25)</f>
        <v>750</v>
      </c>
      <c r="E25" s="409">
        <v>0</v>
      </c>
      <c r="F25" s="392"/>
    </row>
    <row r="26" spans="1:6" s="407" customFormat="1">
      <c r="A26" s="108"/>
      <c r="B26" s="395" t="s">
        <v>916</v>
      </c>
      <c r="C26" s="396">
        <v>0</v>
      </c>
      <c r="D26" s="408">
        <f t="shared" si="2"/>
        <v>0</v>
      </c>
      <c r="E26" s="409"/>
      <c r="F26" s="392"/>
    </row>
    <row r="27" spans="1:6" s="407" customFormat="1">
      <c r="A27" s="108"/>
      <c r="B27" s="395" t="s">
        <v>1020</v>
      </c>
      <c r="C27" s="396">
        <v>0</v>
      </c>
      <c r="D27" s="408">
        <f t="shared" si="2"/>
        <v>0</v>
      </c>
      <c r="E27" s="409"/>
      <c r="F27" s="392"/>
    </row>
    <row r="28" spans="1:6" s="407" customFormat="1">
      <c r="A28" s="108"/>
      <c r="B28" s="395" t="s">
        <v>922</v>
      </c>
      <c r="C28" s="396"/>
      <c r="D28" s="408">
        <f t="shared" si="2"/>
        <v>0</v>
      </c>
      <c r="E28" s="409"/>
      <c r="F28" s="392"/>
    </row>
    <row r="29" spans="1:6" s="407" customFormat="1">
      <c r="A29" s="108"/>
      <c r="B29" s="395" t="s">
        <v>922</v>
      </c>
      <c r="C29" s="396">
        <v>0</v>
      </c>
      <c r="D29" s="408">
        <f t="shared" si="2"/>
        <v>0</v>
      </c>
      <c r="E29" s="409"/>
      <c r="F29" s="392"/>
    </row>
    <row r="30" spans="1:6" s="407" customFormat="1">
      <c r="A30" s="108"/>
      <c r="B30" s="395" t="s">
        <v>922</v>
      </c>
      <c r="C30" s="396">
        <v>0</v>
      </c>
      <c r="D30" s="408">
        <f t="shared" si="2"/>
        <v>0</v>
      </c>
      <c r="E30" s="409"/>
      <c r="F30" s="392"/>
    </row>
    <row r="31" spans="1:6" s="407" customFormat="1">
      <c r="A31" s="108"/>
      <c r="B31" s="399" t="s">
        <v>908</v>
      </c>
      <c r="C31" s="400">
        <f t="shared" ref="C31:D31" si="3">SUM(C25:C30)</f>
        <v>750</v>
      </c>
      <c r="D31" s="402">
        <f t="shared" si="3"/>
        <v>750</v>
      </c>
      <c r="E31" s="410"/>
      <c r="F31" s="392"/>
    </row>
    <row r="32" spans="1:6" s="407" customFormat="1">
      <c r="A32" s="108"/>
      <c r="B32" s="411"/>
      <c r="C32" s="412"/>
      <c r="D32" s="412"/>
      <c r="E32" s="405"/>
      <c r="F32" s="405"/>
    </row>
    <row r="33" spans="1:15" s="407" customFormat="1">
      <c r="A33" s="108"/>
      <c r="B33" s="386" t="s">
        <v>748</v>
      </c>
      <c r="C33" s="393"/>
      <c r="D33" s="389"/>
      <c r="E33" s="406"/>
      <c r="F33" s="392"/>
      <c r="G33" s="1069" t="s">
        <v>924</v>
      </c>
      <c r="H33" s="1069"/>
      <c r="I33" s="1069"/>
      <c r="J33" s="1070"/>
    </row>
    <row r="34" spans="1:15" s="407" customFormat="1">
      <c r="A34" s="108"/>
      <c r="B34" s="395" t="s">
        <v>897</v>
      </c>
      <c r="C34" s="396">
        <v>125</v>
      </c>
      <c r="D34" s="408">
        <f>SUBTOTAL(9,C34:C34)</f>
        <v>125</v>
      </c>
      <c r="E34" s="409"/>
      <c r="F34" s="392"/>
      <c r="G34" s="1049"/>
      <c r="H34" s="1060"/>
      <c r="I34" s="1060"/>
      <c r="J34" s="1053"/>
    </row>
    <row r="35" spans="1:15" s="407" customFormat="1">
      <c r="A35" s="108"/>
      <c r="B35" s="395" t="s">
        <v>514</v>
      </c>
      <c r="C35" s="396">
        <v>0</v>
      </c>
      <c r="D35" s="408">
        <f>SUBTOTAL(9,C35:C35)</f>
        <v>0</v>
      </c>
      <c r="E35" s="409"/>
      <c r="F35" s="392"/>
      <c r="G35" s="1054"/>
      <c r="J35" s="1056"/>
    </row>
    <row r="36" spans="1:15" s="407" customFormat="1">
      <c r="A36" s="108"/>
      <c r="B36" s="395" t="s">
        <v>1146</v>
      </c>
      <c r="C36" s="396">
        <v>0</v>
      </c>
      <c r="D36" s="408">
        <f>SUBTOTAL(9,C36:C36)</f>
        <v>0</v>
      </c>
      <c r="E36" s="409"/>
      <c r="F36" s="392"/>
      <c r="G36" s="1054"/>
      <c r="J36" s="1056"/>
    </row>
    <row r="37" spans="1:15" s="407" customFormat="1" ht="24">
      <c r="A37" s="108"/>
      <c r="B37" s="395" t="s">
        <v>1193</v>
      </c>
      <c r="C37" s="396">
        <f>+$J$37+($H$37*'GPR Worksheet'!$C$10)</f>
        <v>423.1</v>
      </c>
      <c r="D37" s="408">
        <f>SUBTOTAL(9,C37:C37)</f>
        <v>423.1</v>
      </c>
      <c r="E37" s="1059" t="s">
        <v>1194</v>
      </c>
      <c r="F37" s="392"/>
      <c r="G37" s="1054" t="s">
        <v>1174</v>
      </c>
      <c r="H37" s="998">
        <v>2.7</v>
      </c>
      <c r="I37" s="407" t="s">
        <v>1195</v>
      </c>
      <c r="J37" s="1055">
        <v>199</v>
      </c>
    </row>
    <row r="38" spans="1:15" s="407" customFormat="1">
      <c r="A38" s="108"/>
      <c r="B38" s="399" t="s">
        <v>909</v>
      </c>
      <c r="C38" s="401">
        <f t="shared" ref="C38:D38" si="4">SUM(C34:C37)</f>
        <v>548.1</v>
      </c>
      <c r="D38" s="401">
        <f t="shared" si="4"/>
        <v>548.1</v>
      </c>
      <c r="E38" s="410"/>
      <c r="F38" s="392"/>
      <c r="G38" s="1057"/>
      <c r="H38" s="172"/>
      <c r="I38" s="172"/>
      <c r="J38" s="1058"/>
    </row>
    <row r="39" spans="1:15" s="407" customFormat="1">
      <c r="A39" s="108"/>
      <c r="B39" s="413"/>
      <c r="C39" s="412"/>
      <c r="D39" s="412"/>
      <c r="E39" s="405"/>
      <c r="F39" s="405"/>
    </row>
    <row r="40" spans="1:15" s="407" customFormat="1">
      <c r="A40" s="108"/>
      <c r="B40" s="386" t="s">
        <v>1185</v>
      </c>
      <c r="C40" s="393"/>
      <c r="D40" s="389"/>
      <c r="E40" s="406"/>
      <c r="F40" s="392"/>
      <c r="G40" s="1069" t="s">
        <v>924</v>
      </c>
      <c r="H40" s="1069"/>
      <c r="I40" s="1069"/>
      <c r="J40" s="1070"/>
    </row>
    <row r="41" spans="1:15" s="407" customFormat="1" ht="11.5" customHeight="1">
      <c r="A41" s="108"/>
      <c r="B41" s="1050" t="s">
        <v>1186</v>
      </c>
      <c r="C41" s="1001">
        <f>+$H$41*'GPR Worksheet'!$C$10</f>
        <v>618.35</v>
      </c>
      <c r="D41" s="408">
        <f>SUBTOTAL(9,C41:C41)</f>
        <v>618.35</v>
      </c>
      <c r="E41" s="997"/>
      <c r="F41" s="1052"/>
      <c r="G41" s="1049" t="s">
        <v>138</v>
      </c>
      <c r="H41" s="1046">
        <v>7.45</v>
      </c>
      <c r="I41" s="1048"/>
      <c r="J41" s="1053"/>
    </row>
    <row r="42" spans="1:15" s="407" customFormat="1">
      <c r="A42" s="108"/>
      <c r="B42" s="1050" t="s">
        <v>1171</v>
      </c>
      <c r="C42" s="1026">
        <v>0</v>
      </c>
      <c r="D42" s="408">
        <f>SUBTOTAL(9,C42:C42)</f>
        <v>0</v>
      </c>
      <c r="E42" s="997"/>
      <c r="F42" s="1052"/>
      <c r="G42" s="1054" t="s">
        <v>1175</v>
      </c>
      <c r="H42" s="1002"/>
      <c r="I42" s="407" t="s">
        <v>1180</v>
      </c>
      <c r="J42" s="1055"/>
      <c r="L42" s="1002"/>
      <c r="O42" s="998">
        <v>2.62</v>
      </c>
    </row>
    <row r="43" spans="1:15" s="407" customFormat="1">
      <c r="A43" s="108"/>
      <c r="B43" s="1050" t="s">
        <v>1172</v>
      </c>
      <c r="C43" s="396">
        <v>0</v>
      </c>
      <c r="D43" s="408">
        <f>SUBTOTAL(9,C43:C43)</f>
        <v>0</v>
      </c>
      <c r="E43" s="409"/>
      <c r="F43" s="392"/>
      <c r="G43" s="1054" t="s">
        <v>1191</v>
      </c>
      <c r="H43" s="998"/>
      <c r="I43" s="407" t="s">
        <v>1187</v>
      </c>
      <c r="J43" s="1056"/>
    </row>
    <row r="44" spans="1:15" s="407" customFormat="1">
      <c r="A44" s="108"/>
      <c r="B44" s="1050" t="s">
        <v>922</v>
      </c>
      <c r="C44" s="396">
        <v>0</v>
      </c>
      <c r="D44" s="408">
        <f t="shared" ref="D44:D47" si="5">SUBTOTAL(9,C44:C44)</f>
        <v>0</v>
      </c>
      <c r="E44" s="409"/>
      <c r="F44" s="392"/>
      <c r="G44" s="1054" t="s">
        <v>1188</v>
      </c>
      <c r="H44" s="998"/>
      <c r="I44" s="407" t="s">
        <v>1182</v>
      </c>
      <c r="J44" s="1056"/>
    </row>
    <row r="45" spans="1:15" s="407" customFormat="1">
      <c r="A45" s="108"/>
      <c r="B45" s="1050" t="s">
        <v>922</v>
      </c>
      <c r="C45" s="396">
        <v>0</v>
      </c>
      <c r="D45" s="408">
        <f t="shared" si="5"/>
        <v>0</v>
      </c>
      <c r="E45" s="409"/>
      <c r="F45" s="392"/>
      <c r="G45" s="1054" t="s">
        <v>1189</v>
      </c>
      <c r="H45" s="998"/>
      <c r="I45" s="407" t="s">
        <v>1190</v>
      </c>
      <c r="J45" s="1056"/>
    </row>
    <row r="46" spans="1:15" s="407" customFormat="1">
      <c r="A46" s="108"/>
      <c r="B46" s="1050" t="s">
        <v>922</v>
      </c>
      <c r="C46" s="396">
        <v>0</v>
      </c>
      <c r="D46" s="408">
        <f t="shared" si="5"/>
        <v>0</v>
      </c>
      <c r="E46" s="409"/>
      <c r="F46" s="392"/>
      <c r="G46" s="1054" t="s">
        <v>1179</v>
      </c>
      <c r="H46" s="998"/>
      <c r="I46" s="407" t="s">
        <v>1192</v>
      </c>
      <c r="J46" s="1056"/>
    </row>
    <row r="47" spans="1:15" s="407" customFormat="1">
      <c r="A47" s="108"/>
      <c r="B47" s="1050" t="s">
        <v>922</v>
      </c>
      <c r="C47" s="396">
        <v>0</v>
      </c>
      <c r="D47" s="408">
        <f t="shared" si="5"/>
        <v>0</v>
      </c>
      <c r="E47" s="409"/>
      <c r="F47" s="392"/>
      <c r="G47" s="1054"/>
      <c r="H47" s="998"/>
      <c r="J47" s="1056"/>
    </row>
    <row r="48" spans="1:15" s="407" customFormat="1">
      <c r="A48" s="108"/>
      <c r="B48" s="399" t="s">
        <v>1130</v>
      </c>
      <c r="C48" s="401">
        <f>SUM(C41:C43)</f>
        <v>618.35</v>
      </c>
      <c r="D48" s="401">
        <f>SUM(D41:D43)</f>
        <v>618.35</v>
      </c>
      <c r="E48" s="410"/>
      <c r="F48" s="392"/>
      <c r="G48" s="1057"/>
      <c r="H48" s="172"/>
      <c r="I48" s="172"/>
      <c r="J48" s="1058"/>
    </row>
    <row r="49" spans="1:6" s="407" customFormat="1">
      <c r="A49" s="108"/>
      <c r="B49" s="413"/>
      <c r="C49" s="412"/>
      <c r="D49" s="412"/>
      <c r="E49" s="405"/>
      <c r="F49" s="405"/>
    </row>
    <row r="50" spans="1:6" s="407" customFormat="1">
      <c r="A50" s="108"/>
      <c r="B50" s="386" t="s">
        <v>756</v>
      </c>
      <c r="C50" s="393"/>
      <c r="D50" s="389"/>
      <c r="E50" s="406"/>
      <c r="F50" s="392"/>
    </row>
    <row r="51" spans="1:6" s="407" customFormat="1">
      <c r="A51" s="108"/>
      <c r="B51" s="395" t="s">
        <v>125</v>
      </c>
      <c r="C51" s="396">
        <v>800</v>
      </c>
      <c r="D51" s="408">
        <f t="shared" ref="D51:D57" si="6">SUBTOTAL(9,C51:C51)</f>
        <v>800</v>
      </c>
      <c r="E51" s="409"/>
      <c r="F51" s="392"/>
    </row>
    <row r="52" spans="1:6" s="407" customFormat="1">
      <c r="A52" s="108"/>
      <c r="B52" s="395" t="s">
        <v>124</v>
      </c>
      <c r="C52" s="396">
        <v>50</v>
      </c>
      <c r="D52" s="408">
        <f t="shared" si="6"/>
        <v>50</v>
      </c>
      <c r="E52" s="409"/>
      <c r="F52" s="392"/>
    </row>
    <row r="53" spans="1:6" s="407" customFormat="1">
      <c r="A53" s="108"/>
      <c r="B53" s="395" t="s">
        <v>123</v>
      </c>
      <c r="C53" s="396">
        <v>1000</v>
      </c>
      <c r="D53" s="408">
        <f t="shared" si="6"/>
        <v>1000</v>
      </c>
      <c r="E53" s="409"/>
      <c r="F53" s="392"/>
    </row>
    <row r="54" spans="1:6" s="407" customFormat="1">
      <c r="A54" s="108"/>
      <c r="B54" s="395" t="s">
        <v>126</v>
      </c>
      <c r="C54" s="396">
        <v>0</v>
      </c>
      <c r="D54" s="408">
        <f t="shared" si="6"/>
        <v>0</v>
      </c>
      <c r="E54" s="409"/>
      <c r="F54" s="392"/>
    </row>
    <row r="55" spans="1:6" s="407" customFormat="1">
      <c r="A55" s="108"/>
      <c r="B55" s="395" t="s">
        <v>127</v>
      </c>
      <c r="C55" s="396">
        <v>500</v>
      </c>
      <c r="D55" s="408">
        <f t="shared" si="6"/>
        <v>500</v>
      </c>
      <c r="E55" s="409"/>
      <c r="F55" s="392"/>
    </row>
    <row r="56" spans="1:6" s="407" customFormat="1">
      <c r="A56" s="108"/>
      <c r="B56" s="395" t="s">
        <v>1147</v>
      </c>
      <c r="C56" s="396">
        <v>0</v>
      </c>
      <c r="D56" s="408">
        <f t="shared" si="6"/>
        <v>0</v>
      </c>
      <c r="E56" s="409"/>
      <c r="F56" s="392"/>
    </row>
    <row r="57" spans="1:6" s="407" customFormat="1">
      <c r="A57" s="108"/>
      <c r="B57" s="395" t="s">
        <v>922</v>
      </c>
      <c r="C57" s="396">
        <v>0</v>
      </c>
      <c r="D57" s="408">
        <f t="shared" si="6"/>
        <v>0</v>
      </c>
      <c r="E57" s="409"/>
      <c r="F57" s="392"/>
    </row>
    <row r="58" spans="1:6" s="407" customFormat="1">
      <c r="A58" s="108"/>
      <c r="B58" s="399" t="s">
        <v>756</v>
      </c>
      <c r="C58" s="400">
        <f t="shared" ref="C58" si="7">SUM(C51:C57)</f>
        <v>2350</v>
      </c>
      <c r="D58" s="402">
        <f>SUM(D51:D57)</f>
        <v>2350</v>
      </c>
      <c r="E58" s="410"/>
      <c r="F58" s="392"/>
    </row>
    <row r="59" spans="1:6" s="407" customFormat="1">
      <c r="A59" s="108"/>
      <c r="B59" s="413"/>
      <c r="C59" s="412"/>
      <c r="D59" s="412"/>
      <c r="E59" s="405"/>
      <c r="F59" s="405"/>
    </row>
    <row r="60" spans="1:6" s="407" customFormat="1">
      <c r="A60" s="108"/>
      <c r="B60" s="386" t="s">
        <v>906</v>
      </c>
      <c r="C60" s="393"/>
      <c r="D60" s="389"/>
      <c r="E60" s="406"/>
      <c r="F60" s="392"/>
    </row>
    <row r="61" spans="1:6" s="407" customFormat="1">
      <c r="A61" s="108"/>
      <c r="B61" s="395" t="s">
        <v>895</v>
      </c>
      <c r="C61" s="396">
        <v>0</v>
      </c>
      <c r="D61" s="408">
        <f t="shared" ref="D61:D70" si="8">SUBTOTAL(9,C61:C61)</f>
        <v>0</v>
      </c>
      <c r="E61" s="409"/>
      <c r="F61" s="392"/>
    </row>
    <row r="62" spans="1:6" s="407" customFormat="1">
      <c r="A62" s="108"/>
      <c r="B62" s="395" t="s">
        <v>174</v>
      </c>
      <c r="C62" s="396">
        <v>0</v>
      </c>
      <c r="D62" s="408">
        <f t="shared" si="8"/>
        <v>0</v>
      </c>
      <c r="E62" s="409"/>
      <c r="F62" s="392"/>
    </row>
    <row r="63" spans="1:6" s="407" customFormat="1">
      <c r="A63" s="108"/>
      <c r="B63" s="395" t="s">
        <v>178</v>
      </c>
      <c r="C63" s="396">
        <v>600</v>
      </c>
      <c r="D63" s="408">
        <f t="shared" si="8"/>
        <v>600</v>
      </c>
      <c r="E63" s="409"/>
      <c r="F63" s="392"/>
    </row>
    <row r="64" spans="1:6" s="407" customFormat="1">
      <c r="A64" s="108"/>
      <c r="B64" s="395" t="s">
        <v>896</v>
      </c>
      <c r="C64" s="396">
        <v>1012</v>
      </c>
      <c r="D64" s="408">
        <f t="shared" si="8"/>
        <v>1012</v>
      </c>
      <c r="E64" s="409"/>
      <c r="F64" s="392"/>
    </row>
    <row r="65" spans="1:6" s="407" customFormat="1">
      <c r="A65" s="108"/>
      <c r="B65" s="395" t="s">
        <v>511</v>
      </c>
      <c r="C65" s="396">
        <v>500</v>
      </c>
      <c r="D65" s="408">
        <f t="shared" si="8"/>
        <v>500</v>
      </c>
      <c r="E65" s="409"/>
      <c r="F65" s="392"/>
    </row>
    <row r="66" spans="1:6" s="407" customFormat="1">
      <c r="A66" s="108"/>
      <c r="B66" s="395" t="s">
        <v>177</v>
      </c>
      <c r="C66" s="396">
        <v>3500</v>
      </c>
      <c r="D66" s="408">
        <f t="shared" si="8"/>
        <v>3500</v>
      </c>
      <c r="E66" s="409"/>
      <c r="F66" s="392"/>
    </row>
    <row r="67" spans="1:6" s="407" customFormat="1">
      <c r="A67" s="108"/>
      <c r="B67" s="395" t="s">
        <v>175</v>
      </c>
      <c r="C67" s="396">
        <v>0</v>
      </c>
      <c r="D67" s="408">
        <f t="shared" si="8"/>
        <v>0</v>
      </c>
      <c r="E67" s="409"/>
      <c r="F67" s="392"/>
    </row>
    <row r="68" spans="1:6" s="407" customFormat="1">
      <c r="A68" s="108"/>
      <c r="B68" s="395" t="s">
        <v>513</v>
      </c>
      <c r="C68" s="396">
        <v>0</v>
      </c>
      <c r="D68" s="408">
        <f t="shared" si="8"/>
        <v>0</v>
      </c>
      <c r="E68" s="409"/>
      <c r="F68" s="392"/>
    </row>
    <row r="69" spans="1:6" s="407" customFormat="1">
      <c r="A69" s="108"/>
      <c r="B69" s="395" t="s">
        <v>922</v>
      </c>
      <c r="C69" s="396">
        <v>0</v>
      </c>
      <c r="D69" s="408">
        <f t="shared" si="8"/>
        <v>0</v>
      </c>
      <c r="E69" s="409"/>
      <c r="F69" s="392"/>
    </row>
    <row r="70" spans="1:6" s="407" customFormat="1">
      <c r="A70" s="108"/>
      <c r="B70" s="395" t="s">
        <v>922</v>
      </c>
      <c r="C70" s="396">
        <v>0</v>
      </c>
      <c r="D70" s="408">
        <f t="shared" si="8"/>
        <v>0</v>
      </c>
      <c r="E70" s="409"/>
      <c r="F70" s="392"/>
    </row>
    <row r="71" spans="1:6" s="407" customFormat="1">
      <c r="A71" s="108"/>
      <c r="B71" s="399" t="s">
        <v>910</v>
      </c>
      <c r="C71" s="400">
        <f t="shared" ref="C71" si="9">SUM(C61:C70)</f>
        <v>5612</v>
      </c>
      <c r="D71" s="402">
        <f>SUM(D61:D70)</f>
        <v>5612</v>
      </c>
      <c r="E71" s="410"/>
      <c r="F71" s="392"/>
    </row>
    <row r="72" spans="1:6">
      <c r="A72" s="108"/>
      <c r="B72" s="414"/>
      <c r="E72" s="405"/>
      <c r="F72" s="405"/>
    </row>
    <row r="73" spans="1:6">
      <c r="A73" s="108"/>
      <c r="B73" s="386" t="s">
        <v>187</v>
      </c>
      <c r="C73" s="393"/>
      <c r="D73" s="389"/>
      <c r="E73" s="415"/>
      <c r="F73" s="392"/>
    </row>
    <row r="74" spans="1:6">
      <c r="A74" s="108"/>
      <c r="B74" s="395" t="s">
        <v>188</v>
      </c>
      <c r="C74" s="396">
        <v>300</v>
      </c>
      <c r="D74" s="397">
        <f t="shared" ref="D74:D80" si="10">SUBTOTAL(9,C74:C74)</f>
        <v>300</v>
      </c>
      <c r="E74" s="398"/>
      <c r="F74" s="392"/>
    </row>
    <row r="75" spans="1:6">
      <c r="A75" s="108"/>
      <c r="B75" s="395" t="s">
        <v>189</v>
      </c>
      <c r="C75" s="396">
        <v>250</v>
      </c>
      <c r="D75" s="397">
        <f t="shared" si="10"/>
        <v>250</v>
      </c>
      <c r="E75" s="398"/>
      <c r="F75" s="392"/>
    </row>
    <row r="76" spans="1:6">
      <c r="A76" s="108"/>
      <c r="B76" s="395" t="s">
        <v>1148</v>
      </c>
      <c r="C76" s="396">
        <v>1500</v>
      </c>
      <c r="D76" s="397">
        <f t="shared" si="10"/>
        <v>1500</v>
      </c>
      <c r="E76" s="398"/>
      <c r="F76" s="392"/>
    </row>
    <row r="77" spans="1:6">
      <c r="A77" s="108"/>
      <c r="B77" s="395" t="s">
        <v>508</v>
      </c>
      <c r="C77" s="396">
        <v>3000</v>
      </c>
      <c r="D77" s="397">
        <f t="shared" si="10"/>
        <v>3000</v>
      </c>
      <c r="E77" s="398"/>
      <c r="F77" s="392"/>
    </row>
    <row r="78" spans="1:6">
      <c r="A78" s="108"/>
      <c r="B78" s="395" t="s">
        <v>898</v>
      </c>
      <c r="C78" s="396">
        <v>0</v>
      </c>
      <c r="D78" s="397">
        <f t="shared" si="10"/>
        <v>0</v>
      </c>
      <c r="E78" s="398"/>
      <c r="F78" s="392"/>
    </row>
    <row r="79" spans="1:6">
      <c r="A79" s="108"/>
      <c r="B79" s="395" t="s">
        <v>922</v>
      </c>
      <c r="C79" s="396">
        <v>0</v>
      </c>
      <c r="D79" s="408">
        <f t="shared" si="10"/>
        <v>0</v>
      </c>
      <c r="E79" s="398"/>
      <c r="F79" s="392"/>
    </row>
    <row r="80" spans="1:6">
      <c r="A80" s="108"/>
      <c r="B80" s="395" t="s">
        <v>922</v>
      </c>
      <c r="C80" s="396">
        <v>0</v>
      </c>
      <c r="D80" s="408">
        <f t="shared" si="10"/>
        <v>0</v>
      </c>
      <c r="E80" s="398"/>
      <c r="F80" s="392"/>
    </row>
    <row r="81" spans="1:6">
      <c r="A81" s="108"/>
      <c r="B81" s="399" t="s">
        <v>477</v>
      </c>
      <c r="C81" s="400">
        <f t="shared" ref="C81" si="11">SUM(C74:C80)</f>
        <v>5050</v>
      </c>
      <c r="D81" s="402">
        <f>SUM(D74:D80)</f>
        <v>5050</v>
      </c>
      <c r="E81" s="410"/>
      <c r="F81" s="392"/>
    </row>
    <row r="82" spans="1:6">
      <c r="A82" s="108"/>
      <c r="B82" s="108"/>
      <c r="E82" s="405"/>
      <c r="F82" s="405"/>
    </row>
    <row r="83" spans="1:6">
      <c r="A83" s="108"/>
      <c r="B83" s="386" t="s">
        <v>186</v>
      </c>
      <c r="C83" s="393"/>
      <c r="D83" s="389"/>
      <c r="E83" s="406"/>
      <c r="F83" s="392"/>
    </row>
    <row r="84" spans="1:6">
      <c r="A84" s="108"/>
      <c r="B84" s="395" t="s">
        <v>182</v>
      </c>
      <c r="C84" s="396">
        <v>0</v>
      </c>
      <c r="D84" s="408">
        <f>SUBTOTAL(9,C84:C84)</f>
        <v>0</v>
      </c>
      <c r="E84" s="409"/>
      <c r="F84" s="392"/>
    </row>
    <row r="85" spans="1:6">
      <c r="A85" s="108"/>
      <c r="B85" s="395" t="s">
        <v>128</v>
      </c>
      <c r="C85" s="396">
        <v>0</v>
      </c>
      <c r="D85" s="408">
        <f>SUBTOTAL(9,C85:C85)</f>
        <v>0</v>
      </c>
      <c r="E85" s="409"/>
      <c r="F85" s="392"/>
    </row>
    <row r="86" spans="1:6">
      <c r="A86" s="108"/>
      <c r="B86" s="395" t="s">
        <v>183</v>
      </c>
      <c r="C86" s="396">
        <v>0</v>
      </c>
      <c r="D86" s="408">
        <f>SUBTOTAL(9,C86:C86)</f>
        <v>0</v>
      </c>
      <c r="E86" s="409"/>
      <c r="F86" s="392"/>
    </row>
    <row r="87" spans="1:6">
      <c r="A87" s="108"/>
      <c r="B87" s="395" t="s">
        <v>1149</v>
      </c>
      <c r="C87" s="396">
        <v>1500</v>
      </c>
      <c r="D87" s="408">
        <f>SUBTOTAL(9,C87:C87)</f>
        <v>1500</v>
      </c>
      <c r="E87" s="409"/>
      <c r="F87" s="392"/>
    </row>
    <row r="88" spans="1:6">
      <c r="A88" s="108"/>
      <c r="B88" s="395" t="s">
        <v>922</v>
      </c>
      <c r="C88" s="396">
        <v>0</v>
      </c>
      <c r="D88" s="408">
        <f>SUBTOTAL(9,C88:C88)</f>
        <v>0</v>
      </c>
      <c r="E88" s="409"/>
      <c r="F88" s="392"/>
    </row>
    <row r="89" spans="1:6">
      <c r="A89" s="108"/>
      <c r="B89" s="399" t="s">
        <v>186</v>
      </c>
      <c r="C89" s="400">
        <f t="shared" ref="C89:D89" si="12">SUM(C84:C88)</f>
        <v>1500</v>
      </c>
      <c r="D89" s="402">
        <f t="shared" si="12"/>
        <v>1500</v>
      </c>
      <c r="E89" s="410"/>
      <c r="F89" s="392"/>
    </row>
    <row r="90" spans="1:6">
      <c r="A90" s="108"/>
      <c r="B90" s="411"/>
      <c r="E90" s="405"/>
      <c r="F90" s="405"/>
    </row>
    <row r="91" spans="1:6">
      <c r="A91" s="108"/>
      <c r="B91" s="386" t="s">
        <v>137</v>
      </c>
      <c r="C91" s="393"/>
      <c r="D91" s="389"/>
      <c r="E91" s="415"/>
      <c r="F91" s="392"/>
    </row>
    <row r="92" spans="1:6">
      <c r="A92" s="108"/>
      <c r="B92" s="395" t="s">
        <v>129</v>
      </c>
      <c r="C92" s="396">
        <v>0</v>
      </c>
      <c r="D92" s="408">
        <f>SUBTOTAL(9,C92:C92)</f>
        <v>0</v>
      </c>
      <c r="E92" s="398"/>
      <c r="F92" s="392"/>
    </row>
    <row r="93" spans="1:6">
      <c r="A93" s="108"/>
      <c r="B93" s="395" t="s">
        <v>184</v>
      </c>
      <c r="C93" s="396">
        <v>1500</v>
      </c>
      <c r="D93" s="408">
        <f>SUBTOTAL(9,C93:C93)</f>
        <v>1500</v>
      </c>
      <c r="E93" s="398"/>
      <c r="F93" s="392"/>
    </row>
    <row r="94" spans="1:6">
      <c r="A94" s="108"/>
      <c r="B94" s="395" t="s">
        <v>922</v>
      </c>
      <c r="C94" s="396">
        <v>0</v>
      </c>
      <c r="D94" s="408">
        <f>SUBTOTAL(9,C94:C94)</f>
        <v>0</v>
      </c>
      <c r="E94" s="398"/>
      <c r="F94" s="392"/>
    </row>
    <row r="95" spans="1:6">
      <c r="A95" s="108"/>
      <c r="B95" s="395" t="s">
        <v>922</v>
      </c>
      <c r="C95" s="396">
        <v>0</v>
      </c>
      <c r="D95" s="408">
        <f>SUBTOTAL(9,C95:C95)</f>
        <v>0</v>
      </c>
      <c r="E95" s="398"/>
      <c r="F95" s="392"/>
    </row>
    <row r="96" spans="1:6">
      <c r="A96" s="108"/>
      <c r="B96" s="399" t="s">
        <v>137</v>
      </c>
      <c r="C96" s="400">
        <f t="shared" ref="C96" si="13">SUM(C92:C95)</f>
        <v>1500</v>
      </c>
      <c r="D96" s="402">
        <f>SUM(D92:D95)</f>
        <v>1500</v>
      </c>
      <c r="E96" s="416"/>
      <c r="F96" s="392"/>
    </row>
    <row r="97" spans="1:6">
      <c r="A97" s="108"/>
      <c r="B97" s="411"/>
      <c r="E97" s="405"/>
      <c r="F97" s="405"/>
    </row>
    <row r="98" spans="1:6">
      <c r="A98" s="417">
        <f>INDEX('Chart of Accounts'!$A:$N,MATCH(B98,'Chart of Accounts'!$B:$B,0),MATCH("ACCT_NO",'Chart of Accounts'!$A$1:$N$1,0))</f>
        <v>9167.1</v>
      </c>
      <c r="B98" s="920" t="s">
        <v>461</v>
      </c>
      <c r="C98" s="921">
        <f>+C96+C89+C81+C71+C58+C38+C31+C22+C48</f>
        <v>30707.449999999997</v>
      </c>
      <c r="D98" s="418">
        <f>+D96+D89+D81+D71+D58+D38+D31+D22+D48</f>
        <v>30707.449999999997</v>
      </c>
      <c r="E98" s="419"/>
      <c r="F98" s="1051"/>
    </row>
    <row r="99" spans="1:6">
      <c r="A99" s="108"/>
    </row>
    <row r="100" spans="1:6">
      <c r="A100" s="108"/>
    </row>
    <row r="101" spans="1:6">
      <c r="A101" s="108"/>
    </row>
    <row r="102" spans="1:6">
      <c r="A102" s="108"/>
    </row>
    <row r="103" spans="1:6">
      <c r="A103" s="108"/>
    </row>
    <row r="104" spans="1:6">
      <c r="A104" s="108"/>
    </row>
    <row r="105" spans="1:6">
      <c r="A105" s="108"/>
    </row>
    <row r="106" spans="1:6">
      <c r="A106" s="108"/>
    </row>
    <row r="107" spans="1:6">
      <c r="A107" s="108"/>
    </row>
    <row r="108" spans="1:6">
      <c r="A108" s="108"/>
    </row>
    <row r="109" spans="1:6">
      <c r="A109" s="108"/>
    </row>
    <row r="110" spans="1:6">
      <c r="A110" s="108"/>
    </row>
    <row r="111" spans="1:6">
      <c r="A111" s="108"/>
    </row>
    <row r="112" spans="1:6">
      <c r="A112" s="108"/>
    </row>
    <row r="113" spans="1:1">
      <c r="A113" s="108"/>
    </row>
    <row r="114" spans="1:1">
      <c r="A114" s="108"/>
    </row>
    <row r="115" spans="1:1">
      <c r="A115" s="108"/>
    </row>
    <row r="116" spans="1:1">
      <c r="A116" s="108"/>
    </row>
    <row r="117" spans="1:1">
      <c r="A117" s="108"/>
    </row>
    <row r="118" spans="1:1">
      <c r="A118" s="108"/>
    </row>
    <row r="119" spans="1:1">
      <c r="A119" s="108"/>
    </row>
    <row r="120" spans="1:1">
      <c r="A120" s="108"/>
    </row>
    <row r="121" spans="1:1">
      <c r="A121" s="108"/>
    </row>
    <row r="122" spans="1:1">
      <c r="A122" s="108"/>
    </row>
    <row r="123" spans="1:1">
      <c r="A123" s="108"/>
    </row>
    <row r="124" spans="1:1">
      <c r="A124" s="108"/>
    </row>
    <row r="125" spans="1:1">
      <c r="A125" s="108"/>
    </row>
    <row r="126" spans="1:1">
      <c r="A126" s="108"/>
    </row>
    <row r="127" spans="1:1">
      <c r="A127" s="108"/>
    </row>
    <row r="128" spans="1:1">
      <c r="A128" s="108"/>
    </row>
    <row r="129" spans="1:1">
      <c r="A129" s="108"/>
    </row>
    <row r="130" spans="1:1">
      <c r="A130" s="108"/>
    </row>
    <row r="131" spans="1:1">
      <c r="A131" s="108"/>
    </row>
    <row r="132" spans="1:1">
      <c r="A132" s="108"/>
    </row>
    <row r="133" spans="1:1">
      <c r="A133" s="108"/>
    </row>
    <row r="134" spans="1:1">
      <c r="A134" s="108"/>
    </row>
    <row r="135" spans="1:1">
      <c r="A135" s="108"/>
    </row>
    <row r="136" spans="1:1">
      <c r="A136" s="108"/>
    </row>
    <row r="137" spans="1:1">
      <c r="A137" s="108"/>
    </row>
    <row r="138" spans="1:1">
      <c r="A138" s="108"/>
    </row>
    <row r="139" spans="1:1">
      <c r="A139" s="108"/>
    </row>
  </sheetData>
  <mergeCells count="2">
    <mergeCell ref="G40:J40"/>
    <mergeCell ref="G33:J33"/>
  </mergeCells>
  <pageMargins left="0.25" right="0.25" top="0.75" bottom="0.75" header="0.3" footer="0.3"/>
  <pageSetup scale="71" orientation="landscape" r:id="rId1"/>
  <headerFooter>
    <oddHeader>&amp;L&amp;G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DCFA-8341-4BEC-80C5-0829267ED80C}">
  <sheetPr codeName="Sheet14">
    <tabColor theme="9" tint="-0.249977111117893"/>
  </sheetPr>
  <dimension ref="A1:T163"/>
  <sheetViews>
    <sheetView showGridLines="0" topLeftCell="A52" zoomScale="80" zoomScaleNormal="80" workbookViewId="0"/>
  </sheetViews>
  <sheetFormatPr baseColWidth="10" defaultColWidth="9.1640625" defaultRowHeight="13"/>
  <cols>
    <col min="1" max="1" width="10.1640625" style="343" customWidth="1"/>
    <col min="2" max="2" width="33.1640625" style="343" customWidth="1"/>
    <col min="3" max="3" width="18.83203125" style="343" bestFit="1" customWidth="1"/>
    <col min="4" max="4" width="16.5" style="343" bestFit="1" customWidth="1"/>
    <col min="5" max="5" width="14.5" style="343" customWidth="1"/>
    <col min="6" max="6" width="39" style="343" customWidth="1"/>
    <col min="7" max="18" width="9.1640625" style="343"/>
    <col min="19" max="19" width="9" style="343" customWidth="1"/>
    <col min="20" max="20" width="1.1640625" style="343" hidden="1" customWidth="1"/>
    <col min="21" max="16384" width="9.1640625" style="343"/>
  </cols>
  <sheetData>
    <row r="1" spans="1:20" ht="14">
      <c r="A1" s="924" t="str">
        <f ca="1">+"RKW Residential "&amp;" // "&amp;Cover!A23&amp;" // "&amp;Cover!A19&amp;" // "&amp;MID(CELL("filename",A1),FIND("]",CELL("filename",A1))+1,255)</f>
        <v xml:space="preserve">RKW Residential  // Abraham Ng'hwani // NOVA RTP 2680 // Start Up Maintenance List </v>
      </c>
      <c r="B1" s="342"/>
      <c r="C1" s="342"/>
      <c r="D1" s="342"/>
      <c r="E1" s="342"/>
      <c r="F1" s="342"/>
    </row>
    <row r="3" spans="1:20" ht="34.5" customHeight="1">
      <c r="A3" s="1071" t="s">
        <v>807</v>
      </c>
      <c r="B3" s="1071"/>
      <c r="C3" s="1071"/>
      <c r="D3" s="1071"/>
      <c r="E3" s="1071"/>
      <c r="F3" s="1071"/>
    </row>
    <row r="4" spans="1:20" ht="17.25" customHeight="1">
      <c r="A4" s="344"/>
      <c r="B4" s="345"/>
      <c r="C4" s="345"/>
      <c r="D4" s="345"/>
    </row>
    <row r="5" spans="1:20" ht="28">
      <c r="A5" s="346" t="s">
        <v>992</v>
      </c>
      <c r="B5" s="347" t="s">
        <v>993</v>
      </c>
      <c r="C5" s="347" t="s">
        <v>994</v>
      </c>
      <c r="D5" s="347" t="s">
        <v>808</v>
      </c>
      <c r="E5" s="910" t="s">
        <v>809</v>
      </c>
      <c r="F5" s="909" t="s">
        <v>902</v>
      </c>
    </row>
    <row r="6" spans="1:20">
      <c r="A6"/>
      <c r="B6"/>
      <c r="C6"/>
      <c r="D6"/>
      <c r="E6"/>
      <c r="F6"/>
    </row>
    <row r="7" spans="1:20" ht="15" customHeight="1">
      <c r="A7" s="350"/>
      <c r="B7" s="347" t="s">
        <v>945</v>
      </c>
      <c r="C7" s="351"/>
      <c r="D7" s="351"/>
      <c r="E7" s="348"/>
      <c r="F7" s="349"/>
      <c r="T7" s="343" t="s">
        <v>901</v>
      </c>
    </row>
    <row r="8" spans="1:20" ht="13.25" customHeight="1">
      <c r="A8" s="352">
        <v>502576</v>
      </c>
      <c r="B8" s="353" t="s">
        <v>810</v>
      </c>
      <c r="C8" s="354">
        <v>1</v>
      </c>
      <c r="D8" s="355">
        <v>48.75</v>
      </c>
      <c r="E8" s="356">
        <f>C8*D8</f>
        <v>48.75</v>
      </c>
      <c r="F8" s="357" t="s">
        <v>901</v>
      </c>
      <c r="T8" s="343" t="s">
        <v>900</v>
      </c>
    </row>
    <row r="9" spans="1:20" ht="14" customHeight="1">
      <c r="A9" s="352">
        <v>502577</v>
      </c>
      <c r="B9" s="353" t="s">
        <v>811</v>
      </c>
      <c r="C9" s="354">
        <v>1</v>
      </c>
      <c r="D9" s="355">
        <v>91</v>
      </c>
      <c r="E9" s="356">
        <f t="shared" ref="E9:E14" si="0">C9*D9</f>
        <v>91</v>
      </c>
      <c r="F9" s="357" t="s">
        <v>900</v>
      </c>
    </row>
    <row r="10" spans="1:20" ht="14" customHeight="1">
      <c r="A10" s="352">
        <v>304136</v>
      </c>
      <c r="B10" s="353" t="s">
        <v>812</v>
      </c>
      <c r="C10" s="354">
        <v>1</v>
      </c>
      <c r="D10" s="355">
        <v>52</v>
      </c>
      <c r="E10" s="356">
        <f t="shared" si="0"/>
        <v>52</v>
      </c>
      <c r="F10" s="357" t="s">
        <v>900</v>
      </c>
    </row>
    <row r="11" spans="1:20" ht="14" customHeight="1">
      <c r="A11" s="352">
        <v>300035</v>
      </c>
      <c r="B11" s="353" t="s">
        <v>813</v>
      </c>
      <c r="C11" s="354">
        <v>1</v>
      </c>
      <c r="D11" s="355">
        <v>8</v>
      </c>
      <c r="E11" s="356">
        <f t="shared" si="0"/>
        <v>8</v>
      </c>
      <c r="F11" s="357" t="s">
        <v>900</v>
      </c>
    </row>
    <row r="12" spans="1:20" ht="14" customHeight="1">
      <c r="A12" s="352">
        <v>300017</v>
      </c>
      <c r="B12" s="353" t="s">
        <v>814</v>
      </c>
      <c r="C12" s="354">
        <v>1</v>
      </c>
      <c r="D12" s="355">
        <v>7.5</v>
      </c>
      <c r="E12" s="356">
        <f t="shared" si="0"/>
        <v>7.5</v>
      </c>
      <c r="F12" s="357" t="s">
        <v>900</v>
      </c>
    </row>
    <row r="13" spans="1:20" ht="14" customHeight="1">
      <c r="A13" s="352">
        <v>300987</v>
      </c>
      <c r="B13" s="353" t="s">
        <v>815</v>
      </c>
      <c r="C13" s="354">
        <v>1</v>
      </c>
      <c r="D13" s="355">
        <v>18.5</v>
      </c>
      <c r="E13" s="356">
        <f t="shared" si="0"/>
        <v>18.5</v>
      </c>
      <c r="F13" s="357" t="s">
        <v>900</v>
      </c>
    </row>
    <row r="14" spans="1:20" ht="14" customHeight="1">
      <c r="A14" s="358">
        <v>109952</v>
      </c>
      <c r="B14" s="359" t="s">
        <v>816</v>
      </c>
      <c r="C14" s="360">
        <v>1</v>
      </c>
      <c r="D14" s="361">
        <v>60</v>
      </c>
      <c r="E14" s="362">
        <f t="shared" si="0"/>
        <v>60</v>
      </c>
      <c r="F14" s="363" t="s">
        <v>900</v>
      </c>
    </row>
    <row r="15" spans="1:20" ht="14" customHeight="1">
      <c r="A15" s="364"/>
      <c r="B15" s="353"/>
      <c r="C15" s="354"/>
      <c r="D15" s="365"/>
      <c r="E15" s="356"/>
      <c r="F15" s="366"/>
    </row>
    <row r="16" spans="1:20" ht="15" customHeight="1">
      <c r="A16" s="350"/>
      <c r="B16" s="347" t="s">
        <v>995</v>
      </c>
      <c r="C16" s="351"/>
      <c r="D16" s="351"/>
      <c r="E16" s="348"/>
      <c r="F16" s="349"/>
    </row>
    <row r="17" spans="1:6" ht="14" customHeight="1">
      <c r="A17" s="358">
        <v>887133</v>
      </c>
      <c r="B17" s="359" t="s">
        <v>946</v>
      </c>
      <c r="C17" s="360">
        <v>1</v>
      </c>
      <c r="D17" s="361">
        <v>615</v>
      </c>
      <c r="E17" s="362">
        <f>C17*D17</f>
        <v>615</v>
      </c>
      <c r="F17" s="363" t="s">
        <v>901</v>
      </c>
    </row>
    <row r="18" spans="1:6" ht="14" customHeight="1">
      <c r="A18" s="364"/>
      <c r="B18" s="353"/>
      <c r="C18" s="354"/>
      <c r="D18" s="365"/>
      <c r="E18" s="356"/>
      <c r="F18" s="366"/>
    </row>
    <row r="19" spans="1:6" ht="15" customHeight="1">
      <c r="A19" s="350"/>
      <c r="B19" s="347" t="s">
        <v>996</v>
      </c>
      <c r="C19" s="351"/>
      <c r="D19" s="351"/>
      <c r="E19" s="348"/>
      <c r="F19" s="349"/>
    </row>
    <row r="20" spans="1:6" ht="13.25" customHeight="1">
      <c r="A20" s="367">
        <v>752117</v>
      </c>
      <c r="B20" s="359" t="s">
        <v>947</v>
      </c>
      <c r="C20" s="360">
        <v>1</v>
      </c>
      <c r="D20" s="361">
        <v>339</v>
      </c>
      <c r="E20" s="362">
        <f>C20*D20</f>
        <v>339</v>
      </c>
      <c r="F20" s="363" t="s">
        <v>901</v>
      </c>
    </row>
    <row r="21" spans="1:6" ht="14" customHeight="1">
      <c r="A21" s="364"/>
      <c r="B21" s="353"/>
      <c r="C21" s="354"/>
      <c r="D21" s="365"/>
      <c r="E21" s="356"/>
      <c r="F21" s="363"/>
    </row>
    <row r="22" spans="1:6" ht="15" customHeight="1">
      <c r="A22" s="350"/>
      <c r="B22" s="347" t="s">
        <v>17</v>
      </c>
      <c r="C22" s="351"/>
      <c r="D22" s="351"/>
      <c r="E22" s="348"/>
      <c r="F22" s="349"/>
    </row>
    <row r="23" spans="1:6" ht="13.25" customHeight="1">
      <c r="A23" s="364">
        <v>259519</v>
      </c>
      <c r="B23" s="353" t="s">
        <v>948</v>
      </c>
      <c r="C23" s="354">
        <v>1</v>
      </c>
      <c r="D23" s="355">
        <v>855</v>
      </c>
      <c r="E23" s="356">
        <f t="shared" ref="E23:E41" si="1">C23*D23</f>
        <v>855</v>
      </c>
      <c r="F23" s="357" t="s">
        <v>900</v>
      </c>
    </row>
    <row r="24" spans="1:6" ht="13.25" customHeight="1">
      <c r="A24" s="364">
        <v>359024</v>
      </c>
      <c r="B24" s="353" t="s">
        <v>817</v>
      </c>
      <c r="C24" s="354">
        <v>1</v>
      </c>
      <c r="D24" s="355">
        <v>669</v>
      </c>
      <c r="E24" s="356">
        <f t="shared" si="1"/>
        <v>669</v>
      </c>
      <c r="F24" s="357" t="s">
        <v>900</v>
      </c>
    </row>
    <row r="25" spans="1:6" ht="13.25" customHeight="1">
      <c r="A25" s="364">
        <v>149785</v>
      </c>
      <c r="B25" s="353" t="s">
        <v>818</v>
      </c>
      <c r="C25" s="354">
        <v>1</v>
      </c>
      <c r="D25" s="355">
        <v>212</v>
      </c>
      <c r="E25" s="356">
        <f t="shared" si="1"/>
        <v>212</v>
      </c>
      <c r="F25" s="357" t="s">
        <v>901</v>
      </c>
    </row>
    <row r="26" spans="1:6" ht="13.25" customHeight="1">
      <c r="A26" s="364">
        <v>149939</v>
      </c>
      <c r="B26" s="353" t="s">
        <v>819</v>
      </c>
      <c r="C26" s="354">
        <v>1</v>
      </c>
      <c r="D26" s="355">
        <v>134</v>
      </c>
      <c r="E26" s="356">
        <f t="shared" si="1"/>
        <v>134</v>
      </c>
      <c r="F26" s="357" t="s">
        <v>900</v>
      </c>
    </row>
    <row r="27" spans="1:6" ht="13.25" customHeight="1">
      <c r="A27" s="364">
        <v>135002</v>
      </c>
      <c r="B27" s="353" t="s">
        <v>820</v>
      </c>
      <c r="C27" s="354">
        <v>1</v>
      </c>
      <c r="D27" s="355">
        <v>176</v>
      </c>
      <c r="E27" s="356">
        <f t="shared" si="1"/>
        <v>176</v>
      </c>
      <c r="F27" s="357" t="s">
        <v>901</v>
      </c>
    </row>
    <row r="28" spans="1:6" ht="13.25" customHeight="1">
      <c r="A28" s="364">
        <v>135001</v>
      </c>
      <c r="B28" s="353" t="s">
        <v>821</v>
      </c>
      <c r="C28" s="354">
        <v>1</v>
      </c>
      <c r="D28" s="355">
        <v>21</v>
      </c>
      <c r="E28" s="356">
        <f t="shared" si="1"/>
        <v>21</v>
      </c>
      <c r="F28" s="357" t="s">
        <v>901</v>
      </c>
    </row>
    <row r="29" spans="1:6" ht="13.25" customHeight="1">
      <c r="A29" s="364">
        <v>135007</v>
      </c>
      <c r="B29" s="353" t="s">
        <v>949</v>
      </c>
      <c r="C29" s="354">
        <v>1</v>
      </c>
      <c r="D29" s="355">
        <v>19</v>
      </c>
      <c r="E29" s="356">
        <f t="shared" si="1"/>
        <v>19</v>
      </c>
      <c r="F29" s="357" t="s">
        <v>901</v>
      </c>
    </row>
    <row r="30" spans="1:6" ht="13.25" customHeight="1">
      <c r="A30" s="364">
        <v>135008</v>
      </c>
      <c r="B30" s="353" t="s">
        <v>950</v>
      </c>
      <c r="C30" s="354">
        <v>1</v>
      </c>
      <c r="D30" s="355">
        <v>205</v>
      </c>
      <c r="E30" s="356">
        <f t="shared" si="1"/>
        <v>205</v>
      </c>
      <c r="F30" s="357" t="s">
        <v>901</v>
      </c>
    </row>
    <row r="31" spans="1:6" ht="13.25" customHeight="1">
      <c r="A31" s="364">
        <v>150102</v>
      </c>
      <c r="B31" s="353" t="s">
        <v>951</v>
      </c>
      <c r="C31" s="354">
        <v>1</v>
      </c>
      <c r="D31" s="355">
        <v>155</v>
      </c>
      <c r="E31" s="356">
        <f t="shared" si="1"/>
        <v>155</v>
      </c>
      <c r="F31" s="357" t="s">
        <v>901</v>
      </c>
    </row>
    <row r="32" spans="1:6" ht="13.25" customHeight="1">
      <c r="A32" s="364">
        <v>135014</v>
      </c>
      <c r="B32" s="353" t="s">
        <v>952</v>
      </c>
      <c r="C32" s="354">
        <v>1</v>
      </c>
      <c r="D32" s="355">
        <v>217</v>
      </c>
      <c r="E32" s="356">
        <f t="shared" si="1"/>
        <v>217</v>
      </c>
      <c r="F32" s="357" t="s">
        <v>901</v>
      </c>
    </row>
    <row r="33" spans="1:6" ht="13.25" customHeight="1">
      <c r="A33" s="364">
        <v>135160</v>
      </c>
      <c r="B33" s="353" t="s">
        <v>953</v>
      </c>
      <c r="C33" s="354">
        <v>1</v>
      </c>
      <c r="D33" s="355">
        <v>92</v>
      </c>
      <c r="E33" s="356">
        <f t="shared" si="1"/>
        <v>92</v>
      </c>
      <c r="F33" s="357" t="s">
        <v>901</v>
      </c>
    </row>
    <row r="34" spans="1:6" ht="13.25" customHeight="1">
      <c r="A34" s="364">
        <v>149938</v>
      </c>
      <c r="B34" s="353" t="s">
        <v>954</v>
      </c>
      <c r="C34" s="354">
        <v>1</v>
      </c>
      <c r="D34" s="355">
        <v>182</v>
      </c>
      <c r="E34" s="356">
        <f t="shared" si="1"/>
        <v>182</v>
      </c>
      <c r="F34" s="357" t="s">
        <v>901</v>
      </c>
    </row>
    <row r="35" spans="1:6" ht="13.25" customHeight="1">
      <c r="A35" s="364">
        <v>149940</v>
      </c>
      <c r="B35" s="353" t="s">
        <v>955</v>
      </c>
      <c r="C35" s="354">
        <v>1</v>
      </c>
      <c r="D35" s="355">
        <v>714</v>
      </c>
      <c r="E35" s="356">
        <f t="shared" si="1"/>
        <v>714</v>
      </c>
      <c r="F35" s="357" t="s">
        <v>901</v>
      </c>
    </row>
    <row r="36" spans="1:6" ht="13.25" customHeight="1">
      <c r="A36" s="364">
        <v>149896</v>
      </c>
      <c r="B36" s="353" t="s">
        <v>822</v>
      </c>
      <c r="C36" s="354">
        <v>1</v>
      </c>
      <c r="D36" s="355">
        <v>515</v>
      </c>
      <c r="E36" s="356">
        <f t="shared" si="1"/>
        <v>515</v>
      </c>
      <c r="F36" s="357" t="s">
        <v>901</v>
      </c>
    </row>
    <row r="37" spans="1:6" ht="13.25" customHeight="1">
      <c r="A37" s="364">
        <v>401275</v>
      </c>
      <c r="B37" s="353" t="s">
        <v>823</v>
      </c>
      <c r="C37" s="354">
        <v>1</v>
      </c>
      <c r="D37" s="355">
        <v>9</v>
      </c>
      <c r="E37" s="356">
        <f t="shared" si="1"/>
        <v>9</v>
      </c>
      <c r="F37" s="357" t="s">
        <v>901</v>
      </c>
    </row>
    <row r="38" spans="1:6" ht="12.75" customHeight="1">
      <c r="A38" s="364">
        <v>150598</v>
      </c>
      <c r="B38" s="353" t="s">
        <v>824</v>
      </c>
      <c r="C38" s="354">
        <v>1</v>
      </c>
      <c r="D38" s="355">
        <v>20</v>
      </c>
      <c r="E38" s="356">
        <f t="shared" si="1"/>
        <v>20</v>
      </c>
      <c r="F38" s="357" t="s">
        <v>901</v>
      </c>
    </row>
    <row r="39" spans="1:6" ht="13.25" customHeight="1">
      <c r="A39" s="364">
        <v>150600</v>
      </c>
      <c r="B39" s="353" t="s">
        <v>1043</v>
      </c>
      <c r="C39" s="354">
        <v>1</v>
      </c>
      <c r="D39" s="355">
        <v>7</v>
      </c>
      <c r="E39" s="356">
        <f t="shared" si="1"/>
        <v>7</v>
      </c>
      <c r="F39" s="357" t="s">
        <v>901</v>
      </c>
    </row>
    <row r="40" spans="1:6" ht="13.25" customHeight="1">
      <c r="A40" s="364">
        <v>235013</v>
      </c>
      <c r="B40" s="353" t="s">
        <v>825</v>
      </c>
      <c r="C40" s="354">
        <v>1</v>
      </c>
      <c r="D40" s="355">
        <v>62</v>
      </c>
      <c r="E40" s="356">
        <f t="shared" si="1"/>
        <v>62</v>
      </c>
      <c r="F40" s="357" t="s">
        <v>901</v>
      </c>
    </row>
    <row r="41" spans="1:6" ht="14" customHeight="1">
      <c r="A41" s="367">
        <v>401375</v>
      </c>
      <c r="B41" s="359" t="s">
        <v>956</v>
      </c>
      <c r="C41" s="360">
        <v>1</v>
      </c>
      <c r="D41" s="361">
        <v>205</v>
      </c>
      <c r="E41" s="362">
        <f t="shared" si="1"/>
        <v>205</v>
      </c>
      <c r="F41" s="363" t="s">
        <v>901</v>
      </c>
    </row>
    <row r="42" spans="1:6" ht="14" customHeight="1">
      <c r="A42" s="364"/>
      <c r="B42" s="353"/>
      <c r="C42" s="360"/>
      <c r="D42" s="365"/>
      <c r="E42" s="356"/>
      <c r="F42" s="366"/>
    </row>
    <row r="43" spans="1:6" ht="15" customHeight="1">
      <c r="A43" s="350"/>
      <c r="B43" s="347" t="s">
        <v>997</v>
      </c>
      <c r="C43" s="351"/>
      <c r="D43" s="351"/>
      <c r="E43" s="348"/>
      <c r="F43" s="349"/>
    </row>
    <row r="44" spans="1:6" ht="13.25" customHeight="1">
      <c r="A44" s="364">
        <v>111907</v>
      </c>
      <c r="B44" s="353" t="s">
        <v>957</v>
      </c>
      <c r="C44" s="354">
        <v>1</v>
      </c>
      <c r="D44" s="355">
        <v>7</v>
      </c>
      <c r="E44" s="356">
        <f t="shared" ref="E44:E46" si="2">C44*D44</f>
        <v>7</v>
      </c>
      <c r="F44" s="357" t="s">
        <v>900</v>
      </c>
    </row>
    <row r="45" spans="1:6" ht="13.25" customHeight="1">
      <c r="A45" s="364">
        <v>749466</v>
      </c>
      <c r="B45" s="353" t="s">
        <v>826</v>
      </c>
      <c r="C45" s="354">
        <v>1</v>
      </c>
      <c r="D45" s="355">
        <v>10</v>
      </c>
      <c r="E45" s="356">
        <f t="shared" si="2"/>
        <v>10</v>
      </c>
      <c r="F45" s="357" t="s">
        <v>900</v>
      </c>
    </row>
    <row r="46" spans="1:6" ht="14" customHeight="1">
      <c r="A46" s="367">
        <v>150402</v>
      </c>
      <c r="B46" s="359" t="s">
        <v>958</v>
      </c>
      <c r="C46" s="360">
        <v>1</v>
      </c>
      <c r="D46" s="361">
        <v>76</v>
      </c>
      <c r="E46" s="362">
        <f t="shared" si="2"/>
        <v>76</v>
      </c>
      <c r="F46" s="363" t="s">
        <v>900</v>
      </c>
    </row>
    <row r="47" spans="1:6" ht="14" customHeight="1">
      <c r="A47" s="364"/>
      <c r="B47" s="353"/>
      <c r="C47" s="354"/>
      <c r="D47" s="365"/>
      <c r="E47" s="356"/>
      <c r="F47" s="366"/>
    </row>
    <row r="48" spans="1:6" ht="13.25" customHeight="1">
      <c r="A48" s="350"/>
      <c r="B48" s="347" t="s">
        <v>998</v>
      </c>
      <c r="C48" s="351"/>
      <c r="D48" s="351"/>
      <c r="E48" s="348"/>
      <c r="F48" s="349"/>
    </row>
    <row r="49" spans="1:6" ht="13.5" customHeight="1">
      <c r="A49" s="364">
        <v>110088</v>
      </c>
      <c r="B49" s="353" t="s">
        <v>959</v>
      </c>
      <c r="C49" s="354">
        <v>1</v>
      </c>
      <c r="D49" s="355">
        <v>468</v>
      </c>
      <c r="E49" s="356">
        <f t="shared" ref="E49:E74" si="3">C49*D49</f>
        <v>468</v>
      </c>
      <c r="F49" s="357" t="s">
        <v>901</v>
      </c>
    </row>
    <row r="50" spans="1:6" ht="12.75" customHeight="1">
      <c r="A50" s="364">
        <v>180808</v>
      </c>
      <c r="B50" s="353" t="s">
        <v>960</v>
      </c>
      <c r="C50" s="354">
        <v>2</v>
      </c>
      <c r="D50" s="355">
        <v>210</v>
      </c>
      <c r="E50" s="356">
        <f t="shared" si="3"/>
        <v>420</v>
      </c>
      <c r="F50" s="357" t="s">
        <v>900</v>
      </c>
    </row>
    <row r="51" spans="1:6" ht="12.75" customHeight="1">
      <c r="A51" s="364">
        <v>126170</v>
      </c>
      <c r="B51" s="353" t="s">
        <v>827</v>
      </c>
      <c r="C51" s="354">
        <v>1</v>
      </c>
      <c r="D51" s="355">
        <v>59</v>
      </c>
      <c r="E51" s="356">
        <f t="shared" si="3"/>
        <v>59</v>
      </c>
      <c r="F51" s="357" t="s">
        <v>900</v>
      </c>
    </row>
    <row r="52" spans="1:6" ht="12.75" customHeight="1">
      <c r="A52" s="364">
        <v>530117</v>
      </c>
      <c r="B52" s="353" t="s">
        <v>828</v>
      </c>
      <c r="C52" s="354">
        <v>1</v>
      </c>
      <c r="D52" s="355">
        <v>56</v>
      </c>
      <c r="E52" s="356">
        <f t="shared" si="3"/>
        <v>56</v>
      </c>
      <c r="F52" s="357" t="s">
        <v>900</v>
      </c>
    </row>
    <row r="53" spans="1:6" ht="12.75" customHeight="1">
      <c r="A53" s="364">
        <v>125454</v>
      </c>
      <c r="B53" s="353" t="s">
        <v>829</v>
      </c>
      <c r="C53" s="354">
        <v>1</v>
      </c>
      <c r="D53" s="355">
        <v>459</v>
      </c>
      <c r="E53" s="356">
        <f t="shared" si="3"/>
        <v>459</v>
      </c>
      <c r="F53" s="357" t="s">
        <v>900</v>
      </c>
    </row>
    <row r="54" spans="1:6" ht="12.75" customHeight="1">
      <c r="A54" s="364">
        <v>125459</v>
      </c>
      <c r="B54" s="353" t="s">
        <v>830</v>
      </c>
      <c r="C54" s="354">
        <v>1</v>
      </c>
      <c r="D54" s="355">
        <v>35</v>
      </c>
      <c r="E54" s="356">
        <f t="shared" si="3"/>
        <v>35</v>
      </c>
      <c r="F54" s="357" t="s">
        <v>900</v>
      </c>
    </row>
    <row r="55" spans="1:6" ht="13.25" customHeight="1">
      <c r="A55" s="364">
        <v>127140</v>
      </c>
      <c r="B55" s="353" t="s">
        <v>831</v>
      </c>
      <c r="C55" s="354">
        <v>1</v>
      </c>
      <c r="D55" s="355">
        <v>67</v>
      </c>
      <c r="E55" s="356">
        <f t="shared" si="3"/>
        <v>67</v>
      </c>
      <c r="F55" s="357" t="s">
        <v>901</v>
      </c>
    </row>
    <row r="56" spans="1:6" ht="13.25" customHeight="1">
      <c r="A56" s="364">
        <v>130718</v>
      </c>
      <c r="B56" s="353" t="s">
        <v>832</v>
      </c>
      <c r="C56" s="354">
        <v>1</v>
      </c>
      <c r="D56" s="355">
        <v>26</v>
      </c>
      <c r="E56" s="356">
        <f t="shared" si="3"/>
        <v>26</v>
      </c>
      <c r="F56" s="357" t="s">
        <v>901</v>
      </c>
    </row>
    <row r="57" spans="1:6" ht="13.25" customHeight="1">
      <c r="A57" s="364">
        <v>111801</v>
      </c>
      <c r="B57" s="353" t="s">
        <v>961</v>
      </c>
      <c r="C57" s="354">
        <v>1</v>
      </c>
      <c r="D57" s="355">
        <v>50</v>
      </c>
      <c r="E57" s="356">
        <f t="shared" si="3"/>
        <v>50</v>
      </c>
      <c r="F57" s="357" t="s">
        <v>901</v>
      </c>
    </row>
    <row r="58" spans="1:6" ht="13.25" customHeight="1">
      <c r="A58" s="364">
        <v>113049</v>
      </c>
      <c r="B58" s="353" t="s">
        <v>962</v>
      </c>
      <c r="C58" s="354">
        <v>1</v>
      </c>
      <c r="D58" s="355">
        <v>50</v>
      </c>
      <c r="E58" s="356">
        <f t="shared" si="3"/>
        <v>50</v>
      </c>
      <c r="F58" s="357" t="s">
        <v>900</v>
      </c>
    </row>
    <row r="59" spans="1:6" ht="13.25" customHeight="1">
      <c r="A59" s="364">
        <v>114091</v>
      </c>
      <c r="B59" s="353" t="s">
        <v>963</v>
      </c>
      <c r="C59" s="354">
        <v>1</v>
      </c>
      <c r="D59" s="355">
        <v>16</v>
      </c>
      <c r="E59" s="356">
        <f t="shared" si="3"/>
        <v>16</v>
      </c>
      <c r="F59" s="357" t="s">
        <v>900</v>
      </c>
    </row>
    <row r="60" spans="1:6" ht="13.25" customHeight="1">
      <c r="A60" s="364">
        <v>115101</v>
      </c>
      <c r="B60" s="353" t="s">
        <v>964</v>
      </c>
      <c r="C60" s="354">
        <v>1</v>
      </c>
      <c r="D60" s="355">
        <v>33</v>
      </c>
      <c r="E60" s="356">
        <f t="shared" si="3"/>
        <v>33</v>
      </c>
      <c r="F60" s="357" t="s">
        <v>900</v>
      </c>
    </row>
    <row r="61" spans="1:6" ht="13.25" customHeight="1">
      <c r="A61" s="364">
        <v>908751</v>
      </c>
      <c r="B61" s="353" t="s">
        <v>965</v>
      </c>
      <c r="C61" s="354">
        <v>1</v>
      </c>
      <c r="D61" s="355">
        <v>20</v>
      </c>
      <c r="E61" s="356">
        <f t="shared" si="3"/>
        <v>20</v>
      </c>
      <c r="F61" s="357" t="s">
        <v>900</v>
      </c>
    </row>
    <row r="62" spans="1:6" ht="13.25" customHeight="1">
      <c r="A62" s="364">
        <v>502062</v>
      </c>
      <c r="B62" s="353" t="s">
        <v>966</v>
      </c>
      <c r="C62" s="354">
        <v>1</v>
      </c>
      <c r="D62" s="355">
        <v>23</v>
      </c>
      <c r="E62" s="356">
        <f t="shared" si="3"/>
        <v>23</v>
      </c>
      <c r="F62" s="357" t="s">
        <v>900</v>
      </c>
    </row>
    <row r="63" spans="1:6" ht="13.25" customHeight="1">
      <c r="A63" s="364">
        <v>531856</v>
      </c>
      <c r="B63" s="353" t="s">
        <v>967</v>
      </c>
      <c r="C63" s="354">
        <v>1</v>
      </c>
      <c r="D63" s="355">
        <v>95</v>
      </c>
      <c r="E63" s="356">
        <f t="shared" si="3"/>
        <v>95</v>
      </c>
      <c r="F63" s="357" t="s">
        <v>900</v>
      </c>
    </row>
    <row r="64" spans="1:6" ht="13.25" customHeight="1">
      <c r="A64" s="364">
        <v>908765</v>
      </c>
      <c r="B64" s="353" t="s">
        <v>968</v>
      </c>
      <c r="C64" s="354">
        <v>1</v>
      </c>
      <c r="D64" s="355">
        <v>13</v>
      </c>
      <c r="E64" s="356">
        <f t="shared" si="3"/>
        <v>13</v>
      </c>
      <c r="F64" s="357" t="s">
        <v>900</v>
      </c>
    </row>
    <row r="65" spans="1:6" ht="13.25" customHeight="1">
      <c r="A65" s="364">
        <v>908766</v>
      </c>
      <c r="B65" s="353" t="s">
        <v>969</v>
      </c>
      <c r="C65" s="354">
        <v>1</v>
      </c>
      <c r="D65" s="355">
        <v>27.5</v>
      </c>
      <c r="E65" s="356">
        <f t="shared" si="3"/>
        <v>27.5</v>
      </c>
      <c r="F65" s="357" t="s">
        <v>900</v>
      </c>
    </row>
    <row r="66" spans="1:6" ht="13.25" customHeight="1">
      <c r="A66" s="364">
        <v>908768</v>
      </c>
      <c r="B66" s="353" t="s">
        <v>970</v>
      </c>
      <c r="C66" s="354">
        <v>1</v>
      </c>
      <c r="D66" s="355">
        <v>33</v>
      </c>
      <c r="E66" s="356">
        <f t="shared" si="3"/>
        <v>33</v>
      </c>
      <c r="F66" s="357" t="s">
        <v>900</v>
      </c>
    </row>
    <row r="67" spans="1:6" ht="13.25" customHeight="1">
      <c r="A67" s="364">
        <v>908782</v>
      </c>
      <c r="B67" s="353" t="s">
        <v>971</v>
      </c>
      <c r="C67" s="354">
        <v>1</v>
      </c>
      <c r="D67" s="355">
        <v>20</v>
      </c>
      <c r="E67" s="356">
        <f t="shared" si="3"/>
        <v>20</v>
      </c>
      <c r="F67" s="357" t="s">
        <v>900</v>
      </c>
    </row>
    <row r="68" spans="1:6" ht="13.25" customHeight="1">
      <c r="A68" s="364">
        <v>502402</v>
      </c>
      <c r="B68" s="353" t="s">
        <v>833</v>
      </c>
      <c r="C68" s="354">
        <v>1</v>
      </c>
      <c r="D68" s="355">
        <v>367</v>
      </c>
      <c r="E68" s="356">
        <f t="shared" si="3"/>
        <v>367</v>
      </c>
      <c r="F68" s="357" t="s">
        <v>900</v>
      </c>
    </row>
    <row r="69" spans="1:6" ht="13.25" customHeight="1">
      <c r="A69" s="364">
        <v>116126</v>
      </c>
      <c r="B69" s="353" t="s">
        <v>834</v>
      </c>
      <c r="C69" s="354">
        <v>1</v>
      </c>
      <c r="D69" s="355">
        <v>127</v>
      </c>
      <c r="E69" s="356">
        <f t="shared" si="3"/>
        <v>127</v>
      </c>
      <c r="F69" s="357" t="s">
        <v>900</v>
      </c>
    </row>
    <row r="70" spans="1:6" ht="13.25" customHeight="1">
      <c r="A70" s="364">
        <v>293461</v>
      </c>
      <c r="B70" s="353" t="s">
        <v>835</v>
      </c>
      <c r="C70" s="354">
        <v>1</v>
      </c>
      <c r="D70" s="355">
        <v>40</v>
      </c>
      <c r="E70" s="356">
        <f t="shared" si="3"/>
        <v>40</v>
      </c>
      <c r="F70" s="357" t="s">
        <v>900</v>
      </c>
    </row>
    <row r="71" spans="1:6" ht="13.25" customHeight="1">
      <c r="A71" s="364">
        <v>531044</v>
      </c>
      <c r="B71" s="353" t="s">
        <v>836</v>
      </c>
      <c r="C71" s="354">
        <v>1</v>
      </c>
      <c r="D71" s="355">
        <v>800</v>
      </c>
      <c r="E71" s="356">
        <f t="shared" si="3"/>
        <v>800</v>
      </c>
      <c r="F71" s="357" t="s">
        <v>901</v>
      </c>
    </row>
    <row r="72" spans="1:6" ht="13.25" customHeight="1">
      <c r="A72" s="364">
        <v>130713</v>
      </c>
      <c r="B72" s="353" t="s">
        <v>837</v>
      </c>
      <c r="C72" s="354">
        <v>1</v>
      </c>
      <c r="D72" s="355">
        <v>22</v>
      </c>
      <c r="E72" s="356">
        <f t="shared" si="3"/>
        <v>22</v>
      </c>
      <c r="F72" s="357" t="s">
        <v>901</v>
      </c>
    </row>
    <row r="73" spans="1:6" ht="13.25" customHeight="1">
      <c r="A73" s="364">
        <v>130711</v>
      </c>
      <c r="B73" s="353" t="s">
        <v>838</v>
      </c>
      <c r="C73" s="354">
        <v>1</v>
      </c>
      <c r="D73" s="355">
        <v>22</v>
      </c>
      <c r="E73" s="356">
        <f t="shared" si="3"/>
        <v>22</v>
      </c>
      <c r="F73" s="357" t="s">
        <v>901</v>
      </c>
    </row>
    <row r="74" spans="1:6" ht="14" customHeight="1">
      <c r="A74" s="367">
        <v>117785</v>
      </c>
      <c r="B74" s="359" t="s">
        <v>839</v>
      </c>
      <c r="C74" s="360">
        <v>1</v>
      </c>
      <c r="D74" s="361">
        <v>10</v>
      </c>
      <c r="E74" s="362">
        <f t="shared" si="3"/>
        <v>10</v>
      </c>
      <c r="F74" s="363" t="s">
        <v>900</v>
      </c>
    </row>
    <row r="75" spans="1:6" ht="15" customHeight="1">
      <c r="A75" s="368"/>
      <c r="B75" s="369"/>
      <c r="C75" s="370"/>
      <c r="D75" s="371"/>
      <c r="E75" s="356"/>
      <c r="F75" s="366"/>
    </row>
    <row r="76" spans="1:6" ht="15" customHeight="1">
      <c r="A76" s="350"/>
      <c r="B76" s="347" t="s">
        <v>999</v>
      </c>
      <c r="C76" s="351"/>
      <c r="D76" s="351"/>
      <c r="E76" s="348"/>
      <c r="F76" s="349"/>
    </row>
    <row r="77" spans="1:6" ht="13.25" customHeight="1">
      <c r="A77" s="364">
        <v>129667</v>
      </c>
      <c r="B77" s="353" t="s">
        <v>972</v>
      </c>
      <c r="C77" s="354">
        <v>1</v>
      </c>
      <c r="D77" s="355">
        <v>51</v>
      </c>
      <c r="E77" s="356">
        <f t="shared" ref="E77:E80" si="4">C77*D77</f>
        <v>51</v>
      </c>
      <c r="F77" s="357" t="s">
        <v>900</v>
      </c>
    </row>
    <row r="78" spans="1:6" ht="13.25" customHeight="1">
      <c r="A78" s="364">
        <v>129683</v>
      </c>
      <c r="B78" s="353" t="s">
        <v>840</v>
      </c>
      <c r="C78" s="354">
        <v>1</v>
      </c>
      <c r="D78" s="355">
        <v>165</v>
      </c>
      <c r="E78" s="356">
        <f t="shared" si="4"/>
        <v>165</v>
      </c>
      <c r="F78" s="357" t="s">
        <v>900</v>
      </c>
    </row>
    <row r="79" spans="1:6" ht="13.25" customHeight="1">
      <c r="A79" s="364" t="s">
        <v>841</v>
      </c>
      <c r="B79" s="353" t="s">
        <v>842</v>
      </c>
      <c r="C79" s="354">
        <v>1</v>
      </c>
      <c r="D79" s="355">
        <v>5400</v>
      </c>
      <c r="E79" s="356">
        <f t="shared" si="4"/>
        <v>5400</v>
      </c>
      <c r="F79" s="357" t="s">
        <v>901</v>
      </c>
    </row>
    <row r="80" spans="1:6" ht="14" customHeight="1">
      <c r="A80" s="367">
        <v>837162</v>
      </c>
      <c r="B80" s="359" t="s">
        <v>973</v>
      </c>
      <c r="C80" s="360">
        <v>1</v>
      </c>
      <c r="D80" s="361">
        <v>201</v>
      </c>
      <c r="E80" s="362">
        <f t="shared" si="4"/>
        <v>201</v>
      </c>
      <c r="F80" s="363" t="s">
        <v>900</v>
      </c>
    </row>
    <row r="81" spans="1:6" ht="14" customHeight="1">
      <c r="A81" s="364"/>
      <c r="B81" s="353"/>
      <c r="C81" s="354"/>
      <c r="D81" s="365"/>
      <c r="E81" s="356"/>
      <c r="F81" s="366"/>
    </row>
    <row r="82" spans="1:6" ht="15" customHeight="1">
      <c r="A82" s="350"/>
      <c r="B82" s="347" t="s">
        <v>1000</v>
      </c>
      <c r="C82" s="351"/>
      <c r="D82" s="351"/>
      <c r="E82" s="348"/>
      <c r="F82" s="349"/>
    </row>
    <row r="83" spans="1:6" ht="14" customHeight="1">
      <c r="A83" s="364">
        <v>282427</v>
      </c>
      <c r="B83" s="353" t="s">
        <v>843</v>
      </c>
      <c r="C83" s="354">
        <v>1</v>
      </c>
      <c r="D83" s="355">
        <v>502</v>
      </c>
      <c r="E83" s="356">
        <f t="shared" ref="E83:E96" si="5">C83*D83</f>
        <v>502</v>
      </c>
      <c r="F83" s="357" t="s">
        <v>901</v>
      </c>
    </row>
    <row r="84" spans="1:6" ht="14" customHeight="1">
      <c r="A84" s="372">
        <v>132671</v>
      </c>
      <c r="B84" s="372" t="s">
        <v>844</v>
      </c>
      <c r="C84" s="354">
        <v>1</v>
      </c>
      <c r="D84" s="355">
        <v>699</v>
      </c>
      <c r="E84" s="356">
        <f t="shared" si="5"/>
        <v>699</v>
      </c>
      <c r="F84" s="357" t="s">
        <v>901</v>
      </c>
    </row>
    <row r="85" spans="1:6" ht="14" customHeight="1">
      <c r="A85" s="373">
        <v>531417</v>
      </c>
      <c r="B85" s="374" t="s">
        <v>845</v>
      </c>
      <c r="C85" s="354">
        <v>1</v>
      </c>
      <c r="D85" s="355">
        <v>6.5</v>
      </c>
      <c r="E85" s="356">
        <f t="shared" si="5"/>
        <v>6.5</v>
      </c>
      <c r="F85" s="357" t="s">
        <v>900</v>
      </c>
    </row>
    <row r="86" spans="1:6" ht="14" customHeight="1">
      <c r="A86" s="373">
        <v>131966</v>
      </c>
      <c r="B86" s="374" t="s">
        <v>846</v>
      </c>
      <c r="C86" s="354">
        <v>1</v>
      </c>
      <c r="D86" s="355">
        <v>5.0999999999999996</v>
      </c>
      <c r="E86" s="356">
        <f t="shared" si="5"/>
        <v>5.0999999999999996</v>
      </c>
      <c r="F86" s="357" t="s">
        <v>900</v>
      </c>
    </row>
    <row r="87" spans="1:6" ht="14" customHeight="1">
      <c r="A87" s="373">
        <v>531426</v>
      </c>
      <c r="B87" s="374" t="s">
        <v>847</v>
      </c>
      <c r="C87" s="354">
        <v>1</v>
      </c>
      <c r="D87" s="355">
        <v>5.5</v>
      </c>
      <c r="E87" s="356">
        <f t="shared" si="5"/>
        <v>5.5</v>
      </c>
      <c r="F87" s="357" t="s">
        <v>900</v>
      </c>
    </row>
    <row r="88" spans="1:6" ht="14" customHeight="1">
      <c r="A88" s="373">
        <v>531431</v>
      </c>
      <c r="B88" s="374" t="s">
        <v>848</v>
      </c>
      <c r="C88" s="354">
        <v>1</v>
      </c>
      <c r="D88" s="355">
        <v>8</v>
      </c>
      <c r="E88" s="356">
        <f t="shared" si="5"/>
        <v>8</v>
      </c>
      <c r="F88" s="357" t="s">
        <v>900</v>
      </c>
    </row>
    <row r="89" spans="1:6" ht="14" customHeight="1">
      <c r="A89" s="373">
        <v>131961</v>
      </c>
      <c r="B89" s="374" t="s">
        <v>849</v>
      </c>
      <c r="C89" s="354">
        <v>1</v>
      </c>
      <c r="D89" s="375">
        <v>9</v>
      </c>
      <c r="E89" s="356">
        <f t="shared" si="5"/>
        <v>9</v>
      </c>
      <c r="F89" s="357" t="s">
        <v>900</v>
      </c>
    </row>
    <row r="90" spans="1:6" ht="14" customHeight="1">
      <c r="A90" s="373">
        <v>926440</v>
      </c>
      <c r="B90" s="374" t="s">
        <v>850</v>
      </c>
      <c r="C90" s="354">
        <v>1</v>
      </c>
      <c r="D90" s="375">
        <v>5</v>
      </c>
      <c r="E90" s="356">
        <f t="shared" si="5"/>
        <v>5</v>
      </c>
      <c r="F90" s="357" t="s">
        <v>900</v>
      </c>
    </row>
    <row r="91" spans="1:6" ht="14" customHeight="1">
      <c r="A91" s="373">
        <v>131614</v>
      </c>
      <c r="B91" s="374" t="s">
        <v>851</v>
      </c>
      <c r="C91" s="354">
        <v>1</v>
      </c>
      <c r="D91" s="375">
        <v>7.5</v>
      </c>
      <c r="E91" s="356">
        <f t="shared" si="5"/>
        <v>7.5</v>
      </c>
      <c r="F91" s="357" t="s">
        <v>900</v>
      </c>
    </row>
    <row r="92" spans="1:6" ht="14" customHeight="1">
      <c r="A92" s="373">
        <v>161588</v>
      </c>
      <c r="B92" s="374" t="s">
        <v>852</v>
      </c>
      <c r="C92" s="354">
        <v>1</v>
      </c>
      <c r="D92" s="375">
        <v>34</v>
      </c>
      <c r="E92" s="356">
        <f t="shared" si="5"/>
        <v>34</v>
      </c>
      <c r="F92" s="357" t="s">
        <v>900</v>
      </c>
    </row>
    <row r="93" spans="1:6" ht="14" customHeight="1">
      <c r="A93" s="373">
        <v>114845</v>
      </c>
      <c r="B93" s="374" t="s">
        <v>853</v>
      </c>
      <c r="C93" s="354">
        <v>1</v>
      </c>
      <c r="D93" s="375">
        <v>22</v>
      </c>
      <c r="E93" s="356">
        <f t="shared" si="5"/>
        <v>22</v>
      </c>
      <c r="F93" s="357" t="s">
        <v>900</v>
      </c>
    </row>
    <row r="94" spans="1:6" ht="14" customHeight="1">
      <c r="A94" s="373">
        <v>925061</v>
      </c>
      <c r="B94" s="374" t="s">
        <v>854</v>
      </c>
      <c r="C94" s="354">
        <v>1</v>
      </c>
      <c r="D94" s="375">
        <v>24</v>
      </c>
      <c r="E94" s="356">
        <f t="shared" si="5"/>
        <v>24</v>
      </c>
      <c r="F94" s="357" t="s">
        <v>900</v>
      </c>
    </row>
    <row r="95" spans="1:6" ht="14" customHeight="1">
      <c r="A95" s="373">
        <v>925180</v>
      </c>
      <c r="B95" s="374" t="s">
        <v>855</v>
      </c>
      <c r="C95" s="354">
        <v>1</v>
      </c>
      <c r="D95" s="375">
        <v>11</v>
      </c>
      <c r="E95" s="356">
        <f t="shared" si="5"/>
        <v>11</v>
      </c>
      <c r="F95" s="357" t="s">
        <v>900</v>
      </c>
    </row>
    <row r="96" spans="1:6" ht="14" customHeight="1">
      <c r="A96" s="376">
        <v>926430</v>
      </c>
      <c r="B96" s="377" t="s">
        <v>856</v>
      </c>
      <c r="C96" s="360">
        <v>1</v>
      </c>
      <c r="D96" s="378">
        <v>7</v>
      </c>
      <c r="E96" s="362">
        <f t="shared" si="5"/>
        <v>7</v>
      </c>
      <c r="F96" s="363" t="s">
        <v>900</v>
      </c>
    </row>
    <row r="97" spans="1:6" ht="14" customHeight="1">
      <c r="A97" s="364"/>
      <c r="B97" s="353"/>
      <c r="C97" s="354"/>
      <c r="D97" s="365"/>
      <c r="E97" s="356"/>
      <c r="F97" s="366"/>
    </row>
    <row r="98" spans="1:6" ht="15" customHeight="1">
      <c r="A98" s="350"/>
      <c r="B98" s="347" t="s">
        <v>1001</v>
      </c>
      <c r="C98" s="351"/>
      <c r="D98" s="351"/>
      <c r="E98" s="348"/>
      <c r="F98" s="349"/>
    </row>
    <row r="99" spans="1:6" ht="13.25" customHeight="1">
      <c r="A99" s="364">
        <v>151762</v>
      </c>
      <c r="B99" s="353" t="s">
        <v>974</v>
      </c>
      <c r="C99" s="354">
        <v>1</v>
      </c>
      <c r="D99" s="355">
        <v>10</v>
      </c>
      <c r="E99" s="356">
        <f t="shared" ref="E99:E103" si="6">C99*D99</f>
        <v>10</v>
      </c>
      <c r="F99" s="357" t="s">
        <v>900</v>
      </c>
    </row>
    <row r="100" spans="1:6" ht="13.25" customHeight="1">
      <c r="A100" s="364">
        <v>152386</v>
      </c>
      <c r="B100" s="353" t="s">
        <v>975</v>
      </c>
      <c r="C100" s="354">
        <v>1</v>
      </c>
      <c r="D100" s="355">
        <v>171</v>
      </c>
      <c r="E100" s="356">
        <f t="shared" si="6"/>
        <v>171</v>
      </c>
      <c r="F100" s="357" t="s">
        <v>900</v>
      </c>
    </row>
    <row r="101" spans="1:6" ht="13.25" customHeight="1">
      <c r="A101" s="364">
        <v>152585</v>
      </c>
      <c r="B101" s="353" t="s">
        <v>857</v>
      </c>
      <c r="C101" s="354">
        <v>1</v>
      </c>
      <c r="D101" s="355">
        <v>723</v>
      </c>
      <c r="E101" s="356">
        <f t="shared" si="6"/>
        <v>723</v>
      </c>
      <c r="F101" s="357" t="s">
        <v>901</v>
      </c>
    </row>
    <row r="102" spans="1:6" ht="13.25" customHeight="1">
      <c r="A102" s="364">
        <v>151664</v>
      </c>
      <c r="B102" s="353" t="s">
        <v>858</v>
      </c>
      <c r="C102" s="354">
        <v>1</v>
      </c>
      <c r="D102" s="355">
        <v>42</v>
      </c>
      <c r="E102" s="356">
        <f t="shared" si="6"/>
        <v>42</v>
      </c>
      <c r="F102" s="357" t="s">
        <v>900</v>
      </c>
    </row>
    <row r="103" spans="1:6" ht="14" customHeight="1">
      <c r="A103" s="367">
        <v>152574</v>
      </c>
      <c r="B103" s="359" t="s">
        <v>976</v>
      </c>
      <c r="C103" s="360">
        <v>1</v>
      </c>
      <c r="D103" s="361">
        <v>47</v>
      </c>
      <c r="E103" s="362">
        <f t="shared" si="6"/>
        <v>47</v>
      </c>
      <c r="F103" s="363" t="s">
        <v>900</v>
      </c>
    </row>
    <row r="104" spans="1:6" ht="14" customHeight="1">
      <c r="A104" s="364"/>
      <c r="B104" s="353"/>
      <c r="C104" s="354"/>
      <c r="D104" s="379"/>
      <c r="E104" s="356"/>
      <c r="F104" s="366"/>
    </row>
    <row r="105" spans="1:6" ht="14" customHeight="1">
      <c r="A105" s="350"/>
      <c r="B105" s="347" t="s">
        <v>859</v>
      </c>
      <c r="C105" s="351"/>
      <c r="D105" s="351"/>
      <c r="E105" s="348"/>
      <c r="F105" s="349"/>
    </row>
    <row r="106" spans="1:6" ht="14" customHeight="1">
      <c r="A106" s="364">
        <v>115214</v>
      </c>
      <c r="B106" s="353" t="s">
        <v>860</v>
      </c>
      <c r="C106" s="354">
        <v>1</v>
      </c>
      <c r="D106" s="355">
        <v>73</v>
      </c>
      <c r="E106" s="356">
        <f t="shared" ref="E106:E114" si="7">C106*D106</f>
        <v>73</v>
      </c>
      <c r="F106" s="357" t="s">
        <v>900</v>
      </c>
    </row>
    <row r="107" spans="1:6" ht="14" customHeight="1">
      <c r="A107" s="364">
        <v>114140</v>
      </c>
      <c r="B107" s="353" t="s">
        <v>861</v>
      </c>
      <c r="C107" s="354">
        <v>1</v>
      </c>
      <c r="D107" s="355">
        <v>19</v>
      </c>
      <c r="E107" s="356">
        <f t="shared" si="7"/>
        <v>19</v>
      </c>
      <c r="F107" s="357" t="s">
        <v>900</v>
      </c>
    </row>
    <row r="108" spans="1:6" ht="14" customHeight="1">
      <c r="A108" s="364">
        <v>114160</v>
      </c>
      <c r="B108" s="353" t="s">
        <v>862</v>
      </c>
      <c r="C108" s="354">
        <v>1</v>
      </c>
      <c r="D108" s="355">
        <v>19</v>
      </c>
      <c r="E108" s="356">
        <f t="shared" si="7"/>
        <v>19</v>
      </c>
      <c r="F108" s="357" t="s">
        <v>900</v>
      </c>
    </row>
    <row r="109" spans="1:6" ht="14" customHeight="1">
      <c r="A109" s="364">
        <v>116003</v>
      </c>
      <c r="B109" s="353" t="s">
        <v>863</v>
      </c>
      <c r="C109" s="354">
        <v>1</v>
      </c>
      <c r="D109" s="355">
        <v>72</v>
      </c>
      <c r="E109" s="356">
        <f t="shared" si="7"/>
        <v>72</v>
      </c>
      <c r="F109" s="357" t="s">
        <v>900</v>
      </c>
    </row>
    <row r="110" spans="1:6" ht="14" customHeight="1">
      <c r="A110" s="364">
        <v>114200</v>
      </c>
      <c r="B110" s="353" t="s">
        <v>864</v>
      </c>
      <c r="C110" s="354">
        <v>1</v>
      </c>
      <c r="D110" s="355">
        <v>69.5</v>
      </c>
      <c r="E110" s="356">
        <f t="shared" si="7"/>
        <v>69.5</v>
      </c>
      <c r="F110" s="357" t="s">
        <v>900</v>
      </c>
    </row>
    <row r="111" spans="1:6" ht="14" customHeight="1">
      <c r="A111" s="364">
        <v>114275</v>
      </c>
      <c r="B111" s="353" t="s">
        <v>865</v>
      </c>
      <c r="C111" s="354">
        <v>1</v>
      </c>
      <c r="D111" s="355">
        <v>63</v>
      </c>
      <c r="E111" s="356">
        <f t="shared" si="7"/>
        <v>63</v>
      </c>
      <c r="F111" s="357" t="s">
        <v>900</v>
      </c>
    </row>
    <row r="112" spans="1:6" ht="14" customHeight="1">
      <c r="A112" s="364">
        <v>166998</v>
      </c>
      <c r="B112" s="353" t="s">
        <v>866</v>
      </c>
      <c r="C112" s="354">
        <v>1</v>
      </c>
      <c r="D112" s="355">
        <v>89</v>
      </c>
      <c r="E112" s="356">
        <f t="shared" si="7"/>
        <v>89</v>
      </c>
      <c r="F112" s="357" t="s">
        <v>900</v>
      </c>
    </row>
    <row r="113" spans="1:6" ht="14" customHeight="1">
      <c r="A113" s="364">
        <v>114164</v>
      </c>
      <c r="B113" s="353" t="s">
        <v>867</v>
      </c>
      <c r="C113" s="354">
        <v>1</v>
      </c>
      <c r="D113" s="355">
        <v>25</v>
      </c>
      <c r="E113" s="356">
        <f t="shared" si="7"/>
        <v>25</v>
      </c>
      <c r="F113" s="357" t="s">
        <v>900</v>
      </c>
    </row>
    <row r="114" spans="1:6" ht="14" customHeight="1">
      <c r="A114" s="367">
        <v>167064</v>
      </c>
      <c r="B114" s="359" t="s">
        <v>868</v>
      </c>
      <c r="C114" s="360">
        <v>1</v>
      </c>
      <c r="D114" s="361">
        <v>110</v>
      </c>
      <c r="E114" s="362">
        <f t="shared" si="7"/>
        <v>110</v>
      </c>
      <c r="F114" s="363" t="s">
        <v>900</v>
      </c>
    </row>
    <row r="115" spans="1:6" ht="14" customHeight="1">
      <c r="A115" s="364"/>
      <c r="B115" s="353"/>
      <c r="C115" s="354"/>
      <c r="D115" s="365"/>
      <c r="E115" s="356"/>
      <c r="F115" s="366"/>
    </row>
    <row r="116" spans="1:6" ht="15" customHeight="1">
      <c r="A116" s="350"/>
      <c r="B116" s="347" t="s">
        <v>1002</v>
      </c>
      <c r="C116" s="351"/>
      <c r="D116" s="351"/>
      <c r="E116" s="348"/>
      <c r="F116" s="349"/>
    </row>
    <row r="117" spans="1:6" ht="13.25" customHeight="1">
      <c r="A117" s="364">
        <v>129443</v>
      </c>
      <c r="B117" s="353" t="s">
        <v>977</v>
      </c>
      <c r="C117" s="354">
        <v>1</v>
      </c>
      <c r="D117" s="355">
        <v>43</v>
      </c>
      <c r="E117" s="356">
        <f t="shared" ref="E117:E136" si="8">C117*D117</f>
        <v>43</v>
      </c>
      <c r="F117" s="357" t="s">
        <v>900</v>
      </c>
    </row>
    <row r="118" spans="1:6" ht="13.25" customHeight="1">
      <c r="A118" s="364">
        <v>641503</v>
      </c>
      <c r="B118" s="353" t="s">
        <v>978</v>
      </c>
      <c r="C118" s="354">
        <v>1</v>
      </c>
      <c r="D118" s="355">
        <v>2.2999999999999998</v>
      </c>
      <c r="E118" s="356">
        <f t="shared" si="8"/>
        <v>2.2999999999999998</v>
      </c>
      <c r="F118" s="357" t="s">
        <v>900</v>
      </c>
    </row>
    <row r="119" spans="1:6" ht="13.25" customHeight="1">
      <c r="A119" s="364">
        <v>395235</v>
      </c>
      <c r="B119" s="353" t="s">
        <v>979</v>
      </c>
      <c r="C119" s="354">
        <v>1</v>
      </c>
      <c r="D119" s="355">
        <v>229</v>
      </c>
      <c r="E119" s="356">
        <f t="shared" si="8"/>
        <v>229</v>
      </c>
      <c r="F119" s="357" t="s">
        <v>900</v>
      </c>
    </row>
    <row r="120" spans="1:6" ht="13.25" customHeight="1">
      <c r="A120" s="364">
        <v>282514</v>
      </c>
      <c r="B120" s="353" t="s">
        <v>980</v>
      </c>
      <c r="C120" s="354">
        <v>1</v>
      </c>
      <c r="D120" s="355">
        <v>35</v>
      </c>
      <c r="E120" s="356">
        <f t="shared" si="8"/>
        <v>35</v>
      </c>
      <c r="F120" s="357" t="s">
        <v>900</v>
      </c>
    </row>
    <row r="121" spans="1:6" ht="13.25" customHeight="1">
      <c r="A121" s="364">
        <v>599542</v>
      </c>
      <c r="B121" s="353" t="s">
        <v>869</v>
      </c>
      <c r="C121" s="354">
        <v>1</v>
      </c>
      <c r="D121" s="355">
        <v>19</v>
      </c>
      <c r="E121" s="356">
        <f t="shared" si="8"/>
        <v>19</v>
      </c>
      <c r="F121" s="357" t="s">
        <v>900</v>
      </c>
    </row>
    <row r="122" spans="1:6" ht="13.25" customHeight="1">
      <c r="A122" s="364">
        <v>129424</v>
      </c>
      <c r="B122" s="353" t="s">
        <v>870</v>
      </c>
      <c r="C122" s="354">
        <v>1</v>
      </c>
      <c r="D122" s="355">
        <v>42</v>
      </c>
      <c r="E122" s="356">
        <f t="shared" si="8"/>
        <v>42</v>
      </c>
      <c r="F122" s="357" t="s">
        <v>900</v>
      </c>
    </row>
    <row r="123" spans="1:6" ht="13.25" customHeight="1">
      <c r="A123" s="364">
        <v>641468</v>
      </c>
      <c r="B123" s="353" t="s">
        <v>871</v>
      </c>
      <c r="C123" s="354">
        <v>1</v>
      </c>
      <c r="D123" s="355">
        <v>32</v>
      </c>
      <c r="E123" s="356">
        <f t="shared" si="8"/>
        <v>32</v>
      </c>
      <c r="F123" s="357" t="s">
        <v>900</v>
      </c>
    </row>
    <row r="124" spans="1:6" ht="13.25" customHeight="1">
      <c r="A124" s="364">
        <v>531073</v>
      </c>
      <c r="B124" s="353" t="s">
        <v>981</v>
      </c>
      <c r="C124" s="354">
        <v>1</v>
      </c>
      <c r="D124" s="355">
        <v>15</v>
      </c>
      <c r="E124" s="356">
        <f t="shared" si="8"/>
        <v>15</v>
      </c>
      <c r="F124" s="357" t="s">
        <v>900</v>
      </c>
    </row>
    <row r="125" spans="1:6" ht="13.25" customHeight="1">
      <c r="A125" s="364">
        <v>300556</v>
      </c>
      <c r="B125" s="353" t="s">
        <v>982</v>
      </c>
      <c r="C125" s="354">
        <v>1</v>
      </c>
      <c r="D125" s="355">
        <v>165</v>
      </c>
      <c r="E125" s="356">
        <f t="shared" si="8"/>
        <v>165</v>
      </c>
      <c r="F125" s="357" t="s">
        <v>900</v>
      </c>
    </row>
    <row r="126" spans="1:6" ht="13.25" customHeight="1">
      <c r="A126" s="364">
        <v>300574</v>
      </c>
      <c r="B126" s="353" t="s">
        <v>983</v>
      </c>
      <c r="C126" s="354">
        <v>1</v>
      </c>
      <c r="D126" s="355">
        <v>137</v>
      </c>
      <c r="E126" s="356">
        <f t="shared" si="8"/>
        <v>137</v>
      </c>
      <c r="F126" s="357" t="s">
        <v>900</v>
      </c>
    </row>
    <row r="127" spans="1:6" ht="13.25" customHeight="1">
      <c r="A127" s="364">
        <v>282549</v>
      </c>
      <c r="B127" s="353" t="s">
        <v>984</v>
      </c>
      <c r="C127" s="354">
        <v>1</v>
      </c>
      <c r="D127" s="355">
        <v>37</v>
      </c>
      <c r="E127" s="356">
        <f t="shared" si="8"/>
        <v>37</v>
      </c>
      <c r="F127" s="357" t="s">
        <v>900</v>
      </c>
    </row>
    <row r="128" spans="1:6" ht="13.25" customHeight="1">
      <c r="A128" s="364">
        <v>129698</v>
      </c>
      <c r="B128" s="353" t="s">
        <v>872</v>
      </c>
      <c r="C128" s="354">
        <v>1</v>
      </c>
      <c r="D128" s="355">
        <v>890</v>
      </c>
      <c r="E128" s="356">
        <f t="shared" si="8"/>
        <v>890</v>
      </c>
      <c r="F128" s="357" t="s">
        <v>900</v>
      </c>
    </row>
    <row r="129" spans="1:6" ht="13.25" customHeight="1">
      <c r="A129" s="364">
        <v>127194</v>
      </c>
      <c r="B129" s="353" t="s">
        <v>873</v>
      </c>
      <c r="C129" s="354">
        <v>1</v>
      </c>
      <c r="D129" s="355">
        <v>19</v>
      </c>
      <c r="E129" s="356">
        <f t="shared" si="8"/>
        <v>19</v>
      </c>
      <c r="F129" s="357" t="s">
        <v>900</v>
      </c>
    </row>
    <row r="130" spans="1:6" ht="13.25" customHeight="1">
      <c r="A130" s="364">
        <v>131233</v>
      </c>
      <c r="B130" s="353" t="s">
        <v>985</v>
      </c>
      <c r="C130" s="354">
        <v>1</v>
      </c>
      <c r="D130" s="355">
        <v>49</v>
      </c>
      <c r="E130" s="356">
        <f t="shared" si="8"/>
        <v>49</v>
      </c>
      <c r="F130" s="357" t="s">
        <v>900</v>
      </c>
    </row>
    <row r="131" spans="1:6" ht="13.25" customHeight="1">
      <c r="A131" s="364">
        <v>131234</v>
      </c>
      <c r="B131" s="353" t="s">
        <v>986</v>
      </c>
      <c r="C131" s="354">
        <v>1</v>
      </c>
      <c r="D131" s="355">
        <v>60</v>
      </c>
      <c r="E131" s="356">
        <f t="shared" si="8"/>
        <v>60</v>
      </c>
      <c r="F131" s="357" t="s">
        <v>900</v>
      </c>
    </row>
    <row r="132" spans="1:6" ht="13.25" customHeight="1">
      <c r="A132" s="364">
        <v>129343</v>
      </c>
      <c r="B132" s="353" t="s">
        <v>987</v>
      </c>
      <c r="C132" s="354">
        <v>1</v>
      </c>
      <c r="D132" s="355">
        <v>50.5</v>
      </c>
      <c r="E132" s="356">
        <f t="shared" si="8"/>
        <v>50.5</v>
      </c>
      <c r="F132" s="357" t="s">
        <v>900</v>
      </c>
    </row>
    <row r="133" spans="1:6" ht="13.25" customHeight="1">
      <c r="A133" s="364">
        <v>129344</v>
      </c>
      <c r="B133" s="353" t="s">
        <v>874</v>
      </c>
      <c r="C133" s="354">
        <v>1</v>
      </c>
      <c r="D133" s="355">
        <v>74</v>
      </c>
      <c r="E133" s="356">
        <f t="shared" si="8"/>
        <v>74</v>
      </c>
      <c r="F133" s="357" t="s">
        <v>900</v>
      </c>
    </row>
    <row r="134" spans="1:6" ht="13.25" customHeight="1">
      <c r="A134" s="364">
        <v>106052</v>
      </c>
      <c r="B134" s="353" t="s">
        <v>988</v>
      </c>
      <c r="C134" s="354">
        <v>1</v>
      </c>
      <c r="D134" s="355">
        <v>16</v>
      </c>
      <c r="E134" s="356">
        <f t="shared" si="8"/>
        <v>16</v>
      </c>
      <c r="F134" s="357" t="s">
        <v>900</v>
      </c>
    </row>
    <row r="135" spans="1:6" ht="13.25" customHeight="1">
      <c r="A135" s="364">
        <v>817859</v>
      </c>
      <c r="B135" s="353" t="s">
        <v>875</v>
      </c>
      <c r="C135" s="354">
        <v>1</v>
      </c>
      <c r="D135" s="355">
        <v>25</v>
      </c>
      <c r="E135" s="356">
        <f t="shared" si="8"/>
        <v>25</v>
      </c>
      <c r="F135" s="357" t="s">
        <v>900</v>
      </c>
    </row>
    <row r="136" spans="1:6" ht="14" customHeight="1">
      <c r="A136" s="367">
        <v>817863</v>
      </c>
      <c r="B136" s="359" t="s">
        <v>989</v>
      </c>
      <c r="C136" s="360">
        <v>1</v>
      </c>
      <c r="D136" s="361">
        <v>24</v>
      </c>
      <c r="E136" s="362">
        <f t="shared" si="8"/>
        <v>24</v>
      </c>
      <c r="F136" s="363" t="s">
        <v>900</v>
      </c>
    </row>
    <row r="137" spans="1:6" ht="14" customHeight="1">
      <c r="A137" s="364"/>
      <c r="B137" s="353"/>
      <c r="C137" s="354"/>
      <c r="D137" s="365"/>
      <c r="E137" s="356"/>
      <c r="F137" s="366"/>
    </row>
    <row r="138" spans="1:6" ht="15" customHeight="1">
      <c r="A138" s="350"/>
      <c r="B138" s="347" t="s">
        <v>1003</v>
      </c>
      <c r="C138" s="351"/>
      <c r="D138" s="351"/>
      <c r="E138" s="348"/>
      <c r="F138" s="349"/>
    </row>
    <row r="139" spans="1:6" ht="13.25" customHeight="1">
      <c r="A139" s="364">
        <v>750029</v>
      </c>
      <c r="B139" s="353" t="s">
        <v>876</v>
      </c>
      <c r="C139" s="354">
        <v>1</v>
      </c>
      <c r="D139" s="355">
        <v>119</v>
      </c>
      <c r="E139" s="356">
        <f t="shared" ref="E139:E158" si="9">C139*D139</f>
        <v>119</v>
      </c>
      <c r="F139" s="357" t="s">
        <v>900</v>
      </c>
    </row>
    <row r="140" spans="1:6" ht="13.25" customHeight="1">
      <c r="A140" s="364">
        <v>750027</v>
      </c>
      <c r="B140" s="353" t="s">
        <v>877</v>
      </c>
      <c r="C140" s="354">
        <v>1</v>
      </c>
      <c r="D140" s="355">
        <v>78</v>
      </c>
      <c r="E140" s="356">
        <f t="shared" si="9"/>
        <v>78</v>
      </c>
      <c r="F140" s="357" t="s">
        <v>901</v>
      </c>
    </row>
    <row r="141" spans="1:6" ht="13.25" customHeight="1">
      <c r="A141" s="364">
        <v>750031</v>
      </c>
      <c r="B141" s="353" t="s">
        <v>878</v>
      </c>
      <c r="C141" s="354">
        <v>1</v>
      </c>
      <c r="D141" s="355">
        <v>165</v>
      </c>
      <c r="E141" s="356">
        <f t="shared" si="9"/>
        <v>165</v>
      </c>
      <c r="F141" s="357" t="s">
        <v>900</v>
      </c>
    </row>
    <row r="142" spans="1:6" ht="13.25" customHeight="1">
      <c r="A142" s="364">
        <v>750033</v>
      </c>
      <c r="B142" s="353" t="s">
        <v>879</v>
      </c>
      <c r="C142" s="354">
        <v>1</v>
      </c>
      <c r="D142" s="355">
        <v>257</v>
      </c>
      <c r="E142" s="356">
        <f t="shared" si="9"/>
        <v>257</v>
      </c>
      <c r="F142" s="357" t="s">
        <v>900</v>
      </c>
    </row>
    <row r="143" spans="1:6" ht="13.25" customHeight="1">
      <c r="A143" s="364">
        <v>130946</v>
      </c>
      <c r="B143" s="353" t="s">
        <v>990</v>
      </c>
      <c r="C143" s="354">
        <v>1</v>
      </c>
      <c r="D143" s="355">
        <v>19</v>
      </c>
      <c r="E143" s="356">
        <f t="shared" si="9"/>
        <v>19</v>
      </c>
      <c r="F143" s="357" t="s">
        <v>900</v>
      </c>
    </row>
    <row r="144" spans="1:6" ht="13.25" customHeight="1">
      <c r="A144" s="364">
        <v>140877</v>
      </c>
      <c r="B144" s="353" t="s">
        <v>880</v>
      </c>
      <c r="C144" s="354">
        <v>1</v>
      </c>
      <c r="D144" s="355">
        <v>41</v>
      </c>
      <c r="E144" s="356">
        <f t="shared" si="9"/>
        <v>41</v>
      </c>
      <c r="F144" s="357" t="s">
        <v>900</v>
      </c>
    </row>
    <row r="145" spans="1:6" ht="13.25" customHeight="1">
      <c r="A145" s="364">
        <v>131354</v>
      </c>
      <c r="B145" s="353" t="s">
        <v>881</v>
      </c>
      <c r="C145" s="354">
        <v>1</v>
      </c>
      <c r="D145" s="355">
        <v>34</v>
      </c>
      <c r="E145" s="356">
        <f t="shared" si="9"/>
        <v>34</v>
      </c>
      <c r="F145" s="357" t="s">
        <v>900</v>
      </c>
    </row>
    <row r="146" spans="1:6" ht="13.25" customHeight="1">
      <c r="A146" s="364">
        <v>837924</v>
      </c>
      <c r="B146" s="353" t="s">
        <v>882</v>
      </c>
      <c r="C146" s="354">
        <v>1</v>
      </c>
      <c r="D146" s="355">
        <v>349</v>
      </c>
      <c r="E146" s="356">
        <f t="shared" si="9"/>
        <v>349</v>
      </c>
      <c r="F146" s="357" t="s">
        <v>900</v>
      </c>
    </row>
    <row r="147" spans="1:6" ht="13.25" customHeight="1">
      <c r="A147" s="364">
        <v>131110</v>
      </c>
      <c r="B147" s="353" t="s">
        <v>883</v>
      </c>
      <c r="C147" s="354">
        <v>1</v>
      </c>
      <c r="D147" s="355">
        <v>459</v>
      </c>
      <c r="E147" s="356">
        <f t="shared" si="9"/>
        <v>459</v>
      </c>
      <c r="F147" s="357" t="s">
        <v>900</v>
      </c>
    </row>
    <row r="148" spans="1:6" ht="13.25" customHeight="1">
      <c r="A148" s="364">
        <v>131054</v>
      </c>
      <c r="B148" s="353" t="s">
        <v>884</v>
      </c>
      <c r="C148" s="354">
        <v>1</v>
      </c>
      <c r="D148" s="355">
        <v>551</v>
      </c>
      <c r="E148" s="356">
        <f t="shared" si="9"/>
        <v>551</v>
      </c>
      <c r="F148" s="357" t="s">
        <v>900</v>
      </c>
    </row>
    <row r="149" spans="1:6" ht="13.25" customHeight="1">
      <c r="A149" s="364">
        <v>149728</v>
      </c>
      <c r="B149" s="353" t="s">
        <v>991</v>
      </c>
      <c r="C149" s="354">
        <v>1</v>
      </c>
      <c r="D149" s="355">
        <v>100</v>
      </c>
      <c r="E149" s="356">
        <f t="shared" si="9"/>
        <v>100</v>
      </c>
      <c r="F149" s="357" t="s">
        <v>900</v>
      </c>
    </row>
    <row r="150" spans="1:6" ht="13.25" customHeight="1">
      <c r="A150" s="364">
        <v>129669</v>
      </c>
      <c r="B150" s="353" t="s">
        <v>919</v>
      </c>
      <c r="C150" s="354">
        <v>1</v>
      </c>
      <c r="D150" s="355">
        <v>72</v>
      </c>
      <c r="E150" s="356">
        <f t="shared" ref="E150" si="10">C150*D150</f>
        <v>72</v>
      </c>
      <c r="F150" s="357" t="s">
        <v>900</v>
      </c>
    </row>
    <row r="151" spans="1:6" ht="13.25" customHeight="1">
      <c r="A151" s="364">
        <v>531676</v>
      </c>
      <c r="B151" s="353" t="s">
        <v>885</v>
      </c>
      <c r="C151" s="354">
        <v>1</v>
      </c>
      <c r="D151" s="355">
        <v>717</v>
      </c>
      <c r="E151" s="356">
        <f t="shared" si="9"/>
        <v>717</v>
      </c>
      <c r="F151" s="357" t="s">
        <v>900</v>
      </c>
    </row>
    <row r="152" spans="1:6" ht="13.25" customHeight="1">
      <c r="A152" s="364">
        <v>129646</v>
      </c>
      <c r="B152" s="353" t="s">
        <v>886</v>
      </c>
      <c r="C152" s="354">
        <v>1</v>
      </c>
      <c r="D152" s="355">
        <v>146</v>
      </c>
      <c r="E152" s="356">
        <f t="shared" si="9"/>
        <v>146</v>
      </c>
      <c r="F152" s="357" t="s">
        <v>900</v>
      </c>
    </row>
    <row r="153" spans="1:6" ht="13.25" customHeight="1">
      <c r="A153" s="364">
        <v>718584</v>
      </c>
      <c r="B153" s="353" t="s">
        <v>887</v>
      </c>
      <c r="C153" s="354">
        <v>1</v>
      </c>
      <c r="D153" s="355">
        <v>143</v>
      </c>
      <c r="E153" s="356">
        <f t="shared" si="9"/>
        <v>143</v>
      </c>
      <c r="F153" s="357" t="s">
        <v>900</v>
      </c>
    </row>
    <row r="154" spans="1:6" ht="13.25" customHeight="1">
      <c r="A154" s="364">
        <v>181763</v>
      </c>
      <c r="B154" s="353" t="s">
        <v>888</v>
      </c>
      <c r="C154" s="354">
        <v>1</v>
      </c>
      <c r="D154" s="355">
        <v>43</v>
      </c>
      <c r="E154" s="356">
        <f t="shared" si="9"/>
        <v>43</v>
      </c>
      <c r="F154" s="357" t="s">
        <v>900</v>
      </c>
    </row>
    <row r="155" spans="1:6" ht="13.25" customHeight="1">
      <c r="A155" s="364">
        <v>181769</v>
      </c>
      <c r="B155" s="353" t="s">
        <v>889</v>
      </c>
      <c r="C155" s="354">
        <v>1</v>
      </c>
      <c r="D155" s="355">
        <v>7</v>
      </c>
      <c r="E155" s="356">
        <f t="shared" si="9"/>
        <v>7</v>
      </c>
      <c r="F155" s="357" t="s">
        <v>900</v>
      </c>
    </row>
    <row r="156" spans="1:6" ht="13.25" customHeight="1">
      <c r="A156" s="364">
        <v>129627</v>
      </c>
      <c r="B156" s="353" t="s">
        <v>890</v>
      </c>
      <c r="C156" s="354">
        <v>1</v>
      </c>
      <c r="D156" s="355">
        <v>165</v>
      </c>
      <c r="E156" s="356">
        <f t="shared" si="9"/>
        <v>165</v>
      </c>
      <c r="F156" s="357" t="s">
        <v>900</v>
      </c>
    </row>
    <row r="157" spans="1:6" ht="13.25" customHeight="1">
      <c r="A157" s="364">
        <v>531655</v>
      </c>
      <c r="B157" s="353" t="s">
        <v>891</v>
      </c>
      <c r="C157" s="354">
        <v>1</v>
      </c>
      <c r="D157" s="355">
        <v>183</v>
      </c>
      <c r="E157" s="356">
        <f t="shared" si="9"/>
        <v>183</v>
      </c>
      <c r="F157" s="357" t="s">
        <v>901</v>
      </c>
    </row>
    <row r="158" spans="1:6" ht="12.75" customHeight="1">
      <c r="A158" s="367">
        <v>131476</v>
      </c>
      <c r="B158" s="359" t="s">
        <v>892</v>
      </c>
      <c r="C158" s="360">
        <v>1</v>
      </c>
      <c r="D158" s="361">
        <v>100</v>
      </c>
      <c r="E158" s="362">
        <f t="shared" si="9"/>
        <v>100</v>
      </c>
      <c r="F158" s="363" t="s">
        <v>900</v>
      </c>
    </row>
    <row r="159" spans="1:6">
      <c r="C159" s="380" t="s">
        <v>893</v>
      </c>
      <c r="D159" s="381">
        <f>(SUM(D8:D158))</f>
        <v>23357.149999999998</v>
      </c>
      <c r="E159" s="382">
        <f>(SUM(E8:E158))</f>
        <v>23567.149999999998</v>
      </c>
    </row>
    <row r="163" spans="4:4">
      <c r="D163" s="383"/>
    </row>
  </sheetData>
  <mergeCells count="1">
    <mergeCell ref="A3:F3"/>
  </mergeCells>
  <dataValidations count="1">
    <dataValidation type="list" allowBlank="1" showInputMessage="1" showErrorMessage="1" sqref="F8:F14 F49:F74 F117:F136 F106:F114 F83:F96 F77:F80 F139:F158 F23:F41 F44:F46 F20 F17 F99:F103" xr:uid="{641B103D-E6A1-4CB2-BD7F-CE4AE3025C35}">
      <formula1>$T$7:$T$8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188B-408E-462D-B34C-87E910B033EF}">
  <sheetPr codeName="Sheet17">
    <tabColor theme="9" tint="-0.249977111117893"/>
    <pageSetUpPr fitToPage="1"/>
  </sheetPr>
  <dimension ref="A1:O112"/>
  <sheetViews>
    <sheetView showGridLines="0" zoomScale="80" zoomScaleNormal="80" workbookViewId="0"/>
  </sheetViews>
  <sheetFormatPr baseColWidth="10" defaultColWidth="9.1640625" defaultRowHeight="13" outlineLevelRow="1"/>
  <cols>
    <col min="1" max="1" width="9.1640625" style="108" bestFit="1" customWidth="1"/>
    <col min="2" max="2" width="45.6640625" style="108" customWidth="1"/>
    <col min="3" max="3" width="27.6640625" style="108" customWidth="1"/>
    <col min="4" max="4" width="20.83203125" style="108" bestFit="1" customWidth="1"/>
    <col min="5" max="5" width="13.83203125" style="108" customWidth="1"/>
    <col min="6" max="6" width="16.6640625" style="108" customWidth="1"/>
    <col min="7" max="7" width="10.83203125" style="108" bestFit="1" customWidth="1"/>
    <col min="8" max="8" width="14.33203125" style="108" customWidth="1"/>
    <col min="9" max="9" width="8.83203125" style="108" bestFit="1" customWidth="1"/>
    <col min="10" max="10" width="16.6640625" style="108" bestFit="1" customWidth="1"/>
    <col min="11" max="13" width="9.1640625" style="108"/>
    <col min="14" max="14" width="34.83203125" style="108" bestFit="1" customWidth="1"/>
    <col min="15" max="15" width="15" style="108" customWidth="1"/>
    <col min="16" max="16384" width="9.1640625" style="108"/>
  </cols>
  <sheetData>
    <row r="1" spans="1:15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Start Up Payroll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5">
      <c r="B3" s="230" t="s">
        <v>76</v>
      </c>
      <c r="C3" s="230"/>
      <c r="D3" s="231"/>
      <c r="E3" s="232"/>
      <c r="F3" s="232"/>
      <c r="G3" s="232"/>
      <c r="H3" s="233"/>
    </row>
    <row r="4" spans="1:15" ht="30.75" customHeight="1">
      <c r="B4" s="231"/>
      <c r="C4" s="234" t="s">
        <v>78</v>
      </c>
      <c r="D4" s="235" t="s">
        <v>79</v>
      </c>
      <c r="E4" s="236" t="s">
        <v>487</v>
      </c>
      <c r="F4" s="236" t="s">
        <v>488</v>
      </c>
      <c r="G4" s="236" t="s">
        <v>489</v>
      </c>
      <c r="H4" s="236" t="s">
        <v>490</v>
      </c>
      <c r="I4" s="236" t="s">
        <v>491</v>
      </c>
      <c r="J4" s="236" t="s">
        <v>492</v>
      </c>
      <c r="K4" s="236" t="s">
        <v>205</v>
      </c>
      <c r="L4" s="237" t="s">
        <v>921</v>
      </c>
      <c r="N4" s="1072" t="s">
        <v>924</v>
      </c>
      <c r="O4" s="1073"/>
    </row>
    <row r="5" spans="1:15">
      <c r="B5" s="238" t="s">
        <v>77</v>
      </c>
      <c r="C5" s="239" t="s">
        <v>80</v>
      </c>
      <c r="D5" s="231"/>
      <c r="E5" s="232"/>
      <c r="F5" s="240"/>
      <c r="G5" s="232"/>
      <c r="H5" s="232"/>
      <c r="I5" s="232"/>
      <c r="J5" s="232"/>
      <c r="K5" s="232"/>
      <c r="L5" s="232"/>
    </row>
    <row r="6" spans="1:15">
      <c r="B6" s="231"/>
      <c r="C6" s="241" t="s">
        <v>506</v>
      </c>
      <c r="D6" s="242" t="str">
        <f>+'Payroll Worksheet'!D6</f>
        <v>Property Manager</v>
      </c>
      <c r="E6" s="243">
        <f>+'Payroll Worksheet'!E6</f>
        <v>5833.333333333333</v>
      </c>
      <c r="F6" s="244" t="s">
        <v>81</v>
      </c>
      <c r="G6" s="245">
        <f>E6*0.2</f>
        <v>1166.6666666666667</v>
      </c>
      <c r="H6" s="244" t="s">
        <v>81</v>
      </c>
      <c r="I6" s="246"/>
      <c r="J6" s="247">
        <f>SUM(E6+(E6*I6))</f>
        <v>5833.333333333333</v>
      </c>
      <c r="K6" s="248">
        <v>45078</v>
      </c>
      <c r="L6" s="249">
        <v>45078</v>
      </c>
      <c r="N6" s="250" t="str">
        <f>+'Payroll Worksheet'!N6</f>
        <v>Property Manager Salary</v>
      </c>
      <c r="O6" s="251">
        <f>+'Payroll Worksheet'!Q6</f>
        <v>70000</v>
      </c>
    </row>
    <row r="7" spans="1:15">
      <c r="B7" s="231"/>
      <c r="C7" s="252"/>
      <c r="K7" s="131"/>
      <c r="L7" s="132"/>
      <c r="N7" s="252" t="s">
        <v>1010</v>
      </c>
      <c r="O7" s="254">
        <f>+'Payroll Worksheet'!Q7</f>
        <v>0</v>
      </c>
    </row>
    <row r="8" spans="1:15">
      <c r="B8" s="231"/>
      <c r="C8" s="255" t="s">
        <v>82</v>
      </c>
      <c r="D8" s="256"/>
      <c r="E8" s="257"/>
      <c r="F8" s="258"/>
      <c r="G8" s="257"/>
      <c r="H8" s="259"/>
      <c r="I8" s="260"/>
      <c r="J8" s="261"/>
      <c r="K8" s="262"/>
      <c r="L8" s="263"/>
      <c r="N8" s="252" t="s">
        <v>1011</v>
      </c>
      <c r="O8" s="265">
        <f>+'Payroll Worksheet'!Q8</f>
        <v>0</v>
      </c>
    </row>
    <row r="9" spans="1:15">
      <c r="B9" s="231"/>
      <c r="C9" s="266" t="s">
        <v>506</v>
      </c>
      <c r="D9" s="267" t="str">
        <f>+'Payroll Worksheet'!D10</f>
        <v>[ Placeholder]</v>
      </c>
      <c r="E9" s="268" t="s">
        <v>81</v>
      </c>
      <c r="F9" s="269">
        <f>+'Payroll Worksheet'!F10</f>
        <v>0</v>
      </c>
      <c r="G9" s="270"/>
      <c r="H9" s="271">
        <f>+'Payroll Worksheet'!H10</f>
        <v>0</v>
      </c>
      <c r="I9" s="272"/>
      <c r="J9" s="290">
        <f t="shared" ref="J9:J20" si="0">SUM(F9+(F9*I9))</f>
        <v>0</v>
      </c>
      <c r="K9" s="275"/>
      <c r="L9" s="274"/>
      <c r="N9" s="252" t="str">
        <f>+'Payroll Worksheet'!N10</f>
        <v>Average New Lease</v>
      </c>
      <c r="O9" s="265">
        <f>+'Payroll Worksheet'!Q10</f>
        <v>100</v>
      </c>
    </row>
    <row r="10" spans="1:15">
      <c r="B10" s="231"/>
      <c r="C10" s="266" t="s">
        <v>506</v>
      </c>
      <c r="D10" s="267" t="str">
        <f>+'Payroll Worksheet'!D11</f>
        <v>[ Placeholder]</v>
      </c>
      <c r="E10" s="268" t="s">
        <v>81</v>
      </c>
      <c r="F10" s="269">
        <f>+'Payroll Worksheet'!F11</f>
        <v>0</v>
      </c>
      <c r="G10" s="270"/>
      <c r="H10" s="271">
        <f>+'Payroll Worksheet'!H11</f>
        <v>0</v>
      </c>
      <c r="I10" s="272"/>
      <c r="J10" s="290">
        <f t="shared" si="0"/>
        <v>0</v>
      </c>
      <c r="K10" s="275"/>
      <c r="L10" s="274"/>
      <c r="N10" s="252" t="str">
        <f>+'Payroll Worksheet'!N11</f>
        <v>Average Renewal</v>
      </c>
      <c r="O10" s="265">
        <f>+'Payroll Worksheet'!Q11</f>
        <v>100</v>
      </c>
    </row>
    <row r="11" spans="1:15">
      <c r="B11" s="231"/>
      <c r="C11" s="266" t="s">
        <v>506</v>
      </c>
      <c r="D11" s="267" t="str">
        <f>+'Payroll Worksheet'!D12</f>
        <v>[ Placeholder]</v>
      </c>
      <c r="E11" s="268" t="s">
        <v>81</v>
      </c>
      <c r="F11" s="269">
        <f>+'Payroll Worksheet'!F12</f>
        <v>0</v>
      </c>
      <c r="G11" s="270"/>
      <c r="H11" s="271">
        <f>+'Payroll Worksheet'!H12</f>
        <v>0</v>
      </c>
      <c r="I11" s="272"/>
      <c r="J11" s="290">
        <f t="shared" si="0"/>
        <v>0</v>
      </c>
      <c r="K11" s="275"/>
      <c r="L11" s="274"/>
      <c r="N11" s="252" t="str">
        <f>+'Payroll Worksheet'!N12</f>
        <v>Healthcare Cost/Employee</v>
      </c>
      <c r="O11" s="265">
        <f>+'Payroll Worksheet'!Q12</f>
        <v>505</v>
      </c>
    </row>
    <row r="12" spans="1:15">
      <c r="B12" s="231"/>
      <c r="C12" s="266" t="s">
        <v>506</v>
      </c>
      <c r="D12" s="267" t="str">
        <f>+'Payroll Worksheet'!D13</f>
        <v>[ Placeholder]</v>
      </c>
      <c r="E12" s="268" t="s">
        <v>81</v>
      </c>
      <c r="F12" s="269">
        <f>+'Payroll Worksheet'!F13</f>
        <v>0</v>
      </c>
      <c r="G12" s="270"/>
      <c r="H12" s="271">
        <f>+'Payroll Worksheet'!H13</f>
        <v>0</v>
      </c>
      <c r="I12" s="272"/>
      <c r="J12" s="290">
        <f t="shared" si="0"/>
        <v>0</v>
      </c>
      <c r="K12" s="275"/>
      <c r="L12" s="274"/>
      <c r="N12" s="252" t="str">
        <f>+'Payroll Worksheet'!N13</f>
        <v>Amount/emp/pay check</v>
      </c>
      <c r="O12" s="265">
        <f>+'Payroll Worksheet'!Q13</f>
        <v>32</v>
      </c>
    </row>
    <row r="13" spans="1:15" outlineLevel="1">
      <c r="B13" s="231"/>
      <c r="C13" s="266" t="s">
        <v>506</v>
      </c>
      <c r="D13" s="267" t="str">
        <f>+'Payroll Worksheet'!D14</f>
        <v>[ Placeholder]</v>
      </c>
      <c r="E13" s="268" t="s">
        <v>81</v>
      </c>
      <c r="F13" s="269">
        <f>+'Payroll Worksheet'!F14</f>
        <v>0</v>
      </c>
      <c r="G13" s="270"/>
      <c r="H13" s="271">
        <f>+'Payroll Worksheet'!H14</f>
        <v>0</v>
      </c>
      <c r="I13" s="272"/>
      <c r="J13" s="273">
        <f t="shared" si="0"/>
        <v>0</v>
      </c>
      <c r="K13" s="275"/>
      <c r="L13" s="274"/>
      <c r="N13" s="252" t="str">
        <f>+'Payroll Worksheet'!N14</f>
        <v>Number of Emp w/ HC</v>
      </c>
      <c r="O13" s="132">
        <f>+ROUNDUP(0.5*O15,0)</f>
        <v>0</v>
      </c>
    </row>
    <row r="14" spans="1:15" outlineLevel="1">
      <c r="B14" s="231"/>
      <c r="C14" s="266" t="s">
        <v>506</v>
      </c>
      <c r="D14" s="267" t="str">
        <f>+'Payroll Worksheet'!D15</f>
        <v>[ Placeholder]</v>
      </c>
      <c r="E14" s="268" t="s">
        <v>81</v>
      </c>
      <c r="F14" s="269">
        <f>+'Payroll Worksheet'!F15</f>
        <v>0</v>
      </c>
      <c r="G14" s="276"/>
      <c r="H14" s="271">
        <f>+'Payroll Worksheet'!H15</f>
        <v>0</v>
      </c>
      <c r="I14" s="272"/>
      <c r="J14" s="273">
        <f t="shared" si="0"/>
        <v>0</v>
      </c>
      <c r="K14" s="275"/>
      <c r="L14" s="274"/>
      <c r="N14" s="252" t="str">
        <f>+'Payroll Worksheet'!N15</f>
        <v>Employee Burden</v>
      </c>
      <c r="O14" s="277">
        <f>+'Payroll Worksheet'!Q15</f>
        <v>0.28999999999999998</v>
      </c>
    </row>
    <row r="15" spans="1:15" outlineLevel="1">
      <c r="B15" s="231"/>
      <c r="C15" s="266" t="s">
        <v>506</v>
      </c>
      <c r="D15" s="267" t="str">
        <f>+'Payroll Worksheet'!D16</f>
        <v>[ Placeholder]</v>
      </c>
      <c r="E15" s="268" t="s">
        <v>81</v>
      </c>
      <c r="F15" s="269">
        <f>+'Payroll Worksheet'!F16</f>
        <v>0</v>
      </c>
      <c r="G15" s="276"/>
      <c r="H15" s="271">
        <f>+'Payroll Worksheet'!H16</f>
        <v>0</v>
      </c>
      <c r="I15" s="272"/>
      <c r="J15" s="273">
        <f t="shared" si="0"/>
        <v>0</v>
      </c>
      <c r="K15" s="275"/>
      <c r="L15" s="274"/>
      <c r="N15" s="278" t="str">
        <f>+'Payroll Worksheet'!N16</f>
        <v>Total # of employees</v>
      </c>
      <c r="O15" s="279">
        <f>+COUNTIF($F$43:$F$56,"&gt;0")+COUNTIF($F$62:$F$71,"&gt;0")</f>
        <v>0</v>
      </c>
    </row>
    <row r="16" spans="1:15" outlineLevel="1">
      <c r="B16" s="231"/>
      <c r="C16" s="266" t="s">
        <v>506</v>
      </c>
      <c r="D16" s="267" t="str">
        <f>+'Payroll Worksheet'!D17</f>
        <v>[ Placeholder]</v>
      </c>
      <c r="E16" s="268" t="s">
        <v>81</v>
      </c>
      <c r="F16" s="269">
        <f>+'Payroll Worksheet'!F17</f>
        <v>0</v>
      </c>
      <c r="G16" s="276"/>
      <c r="H16" s="271">
        <f>+'Payroll Worksheet'!H17</f>
        <v>0</v>
      </c>
      <c r="I16" s="272"/>
      <c r="J16" s="273">
        <f t="shared" si="0"/>
        <v>0</v>
      </c>
      <c r="K16" s="275"/>
      <c r="L16" s="274"/>
    </row>
    <row r="17" spans="2:12" outlineLevel="1">
      <c r="B17" s="231"/>
      <c r="C17" s="266" t="s">
        <v>506</v>
      </c>
      <c r="D17" s="267" t="str">
        <f>+'Payroll Worksheet'!D18</f>
        <v>[ Placeholder]</v>
      </c>
      <c r="E17" s="268" t="s">
        <v>81</v>
      </c>
      <c r="F17" s="269">
        <f>+'Payroll Worksheet'!F18</f>
        <v>0</v>
      </c>
      <c r="G17" s="276"/>
      <c r="H17" s="271">
        <f>+'Payroll Worksheet'!H18</f>
        <v>0</v>
      </c>
      <c r="I17" s="272"/>
      <c r="J17" s="273">
        <f t="shared" si="0"/>
        <v>0</v>
      </c>
      <c r="K17" s="275"/>
      <c r="L17" s="274"/>
    </row>
    <row r="18" spans="2:12" outlineLevel="1">
      <c r="B18" s="231"/>
      <c r="C18" s="266" t="s">
        <v>506</v>
      </c>
      <c r="D18" s="267" t="str">
        <f>+'Payroll Worksheet'!D19</f>
        <v>[ Placeholder]</v>
      </c>
      <c r="E18" s="268" t="s">
        <v>81</v>
      </c>
      <c r="F18" s="269">
        <f>+'Payroll Worksheet'!F19</f>
        <v>0</v>
      </c>
      <c r="G18" s="276"/>
      <c r="H18" s="271">
        <f>+'Payroll Worksheet'!H19</f>
        <v>0</v>
      </c>
      <c r="I18" s="272"/>
      <c r="J18" s="273">
        <f t="shared" si="0"/>
        <v>0</v>
      </c>
      <c r="K18" s="275"/>
      <c r="L18" s="274"/>
    </row>
    <row r="19" spans="2:12" outlineLevel="1">
      <c r="B19" s="231"/>
      <c r="C19" s="266" t="s">
        <v>506</v>
      </c>
      <c r="D19" s="267" t="str">
        <f>+'Payroll Worksheet'!D20</f>
        <v>[ Placeholder]</v>
      </c>
      <c r="E19" s="268" t="s">
        <v>81</v>
      </c>
      <c r="F19" s="269">
        <f>+'Payroll Worksheet'!F20</f>
        <v>0</v>
      </c>
      <c r="G19" s="276"/>
      <c r="H19" s="271">
        <f>+'Payroll Worksheet'!H20</f>
        <v>0</v>
      </c>
      <c r="I19" s="272"/>
      <c r="J19" s="273">
        <f t="shared" si="0"/>
        <v>0</v>
      </c>
      <c r="K19" s="275"/>
      <c r="L19" s="274"/>
    </row>
    <row r="20" spans="2:12">
      <c r="B20" s="231"/>
      <c r="C20" s="266" t="s">
        <v>506</v>
      </c>
      <c r="D20" s="267" t="str">
        <f>+'Payroll Worksheet'!D21</f>
        <v>[ Placeholder]</v>
      </c>
      <c r="E20" s="268" t="s">
        <v>81</v>
      </c>
      <c r="F20" s="269">
        <f>+'Payroll Worksheet'!F21</f>
        <v>0</v>
      </c>
      <c r="G20" s="276"/>
      <c r="H20" s="271">
        <f>+'Payroll Worksheet'!H21</f>
        <v>0</v>
      </c>
      <c r="I20" s="272"/>
      <c r="J20" s="273">
        <f t="shared" si="0"/>
        <v>0</v>
      </c>
      <c r="K20" s="275"/>
      <c r="L20" s="274"/>
    </row>
    <row r="21" spans="2:12">
      <c r="B21" s="238"/>
      <c r="C21" s="280"/>
      <c r="D21" s="281"/>
      <c r="E21" s="268"/>
      <c r="F21" s="282"/>
      <c r="G21" s="283"/>
      <c r="H21" s="259"/>
      <c r="I21" s="260"/>
      <c r="J21" s="284"/>
      <c r="K21" s="285"/>
      <c r="L21" s="286"/>
    </row>
    <row r="22" spans="2:12">
      <c r="B22" s="238" t="s">
        <v>83</v>
      </c>
      <c r="C22" s="255" t="s">
        <v>80</v>
      </c>
      <c r="D22" s="287"/>
      <c r="E22" s="259"/>
      <c r="F22" s="258"/>
      <c r="G22" s="257"/>
      <c r="H22" s="259"/>
      <c r="I22" s="260"/>
      <c r="J22" s="261"/>
      <c r="K22" s="285"/>
      <c r="L22" s="288"/>
    </row>
    <row r="23" spans="2:12">
      <c r="B23" s="231"/>
      <c r="C23" s="266" t="s">
        <v>506</v>
      </c>
      <c r="D23" s="267" t="str">
        <f>+'Payroll Worksheet'!D24</f>
        <v>Service Supervisor</v>
      </c>
      <c r="E23" s="268" t="s">
        <v>81</v>
      </c>
      <c r="F23" s="269">
        <f>+'Payroll Worksheet'!F24</f>
        <v>30</v>
      </c>
      <c r="G23" s="289">
        <f>+'Payroll Worksheet'!G24</f>
        <v>0</v>
      </c>
      <c r="H23" s="271">
        <f>+'Payroll Worksheet'!H24</f>
        <v>0</v>
      </c>
      <c r="I23" s="272"/>
      <c r="J23" s="273">
        <f t="shared" ref="J23:J32" si="1">SUM(F23+(F23*I23))</f>
        <v>30</v>
      </c>
      <c r="K23" s="275"/>
      <c r="L23" s="274"/>
    </row>
    <row r="24" spans="2:12">
      <c r="B24" s="231"/>
      <c r="C24" s="266" t="s">
        <v>506</v>
      </c>
      <c r="D24" s="267" t="str">
        <f>+'Payroll Worksheet'!D25</f>
        <v>[ Placeholder]</v>
      </c>
      <c r="E24" s="268" t="s">
        <v>81</v>
      </c>
      <c r="F24" s="269">
        <f>+'Payroll Worksheet'!F25</f>
        <v>0</v>
      </c>
      <c r="G24" s="289"/>
      <c r="H24" s="271">
        <f>+'Payroll Worksheet'!H25</f>
        <v>0</v>
      </c>
      <c r="I24" s="272"/>
      <c r="J24" s="273">
        <f t="shared" si="1"/>
        <v>0</v>
      </c>
      <c r="K24" s="275"/>
      <c r="L24" s="274"/>
    </row>
    <row r="25" spans="2:12">
      <c r="B25" s="231"/>
      <c r="C25" s="266" t="s">
        <v>506</v>
      </c>
      <c r="D25" s="267" t="str">
        <f>+'Payroll Worksheet'!D26</f>
        <v>[ Placeholder]</v>
      </c>
      <c r="E25" s="268" t="s">
        <v>81</v>
      </c>
      <c r="F25" s="269">
        <f>+'Payroll Worksheet'!F26</f>
        <v>0</v>
      </c>
      <c r="G25" s="289"/>
      <c r="H25" s="271">
        <f>+'Payroll Worksheet'!H26</f>
        <v>0</v>
      </c>
      <c r="I25" s="272"/>
      <c r="J25" s="273">
        <f t="shared" si="1"/>
        <v>0</v>
      </c>
      <c r="K25" s="275"/>
      <c r="L25" s="274"/>
    </row>
    <row r="26" spans="2:12">
      <c r="B26" s="231"/>
      <c r="C26" s="266" t="s">
        <v>506</v>
      </c>
      <c r="D26" s="267" t="str">
        <f>+'Payroll Worksheet'!D27</f>
        <v>[ Placeholder]</v>
      </c>
      <c r="E26" s="268" t="s">
        <v>81</v>
      </c>
      <c r="F26" s="269">
        <f>+'Payroll Worksheet'!F27</f>
        <v>0</v>
      </c>
      <c r="G26" s="289"/>
      <c r="H26" s="271">
        <f>+'Payroll Worksheet'!H27</f>
        <v>0</v>
      </c>
      <c r="I26" s="272"/>
      <c r="J26" s="290">
        <f t="shared" si="1"/>
        <v>0</v>
      </c>
      <c r="K26" s="275"/>
      <c r="L26" s="274"/>
    </row>
    <row r="27" spans="2:12">
      <c r="B27" s="231"/>
      <c r="C27" s="266" t="s">
        <v>506</v>
      </c>
      <c r="D27" s="267" t="str">
        <f>+'Payroll Worksheet'!D28</f>
        <v>[ Placeholder]</v>
      </c>
      <c r="E27" s="268" t="s">
        <v>81</v>
      </c>
      <c r="F27" s="269">
        <f>+'Payroll Worksheet'!F28</f>
        <v>0</v>
      </c>
      <c r="G27" s="271"/>
      <c r="H27" s="271">
        <f>+'Payroll Worksheet'!H28</f>
        <v>0</v>
      </c>
      <c r="I27" s="272"/>
      <c r="J27" s="290">
        <f t="shared" si="1"/>
        <v>0</v>
      </c>
      <c r="K27" s="275"/>
      <c r="L27" s="274"/>
    </row>
    <row r="28" spans="2:12">
      <c r="B28" s="231"/>
      <c r="C28" s="266" t="s">
        <v>506</v>
      </c>
      <c r="D28" s="267" t="str">
        <f>+'Payroll Worksheet'!D29</f>
        <v>[ Placeholder]</v>
      </c>
      <c r="E28" s="268" t="s">
        <v>81</v>
      </c>
      <c r="F28" s="269">
        <f>+'Payroll Worksheet'!F29</f>
        <v>0</v>
      </c>
      <c r="G28" s="271"/>
      <c r="H28" s="271">
        <f>+'Payroll Worksheet'!H29</f>
        <v>0</v>
      </c>
      <c r="I28" s="272"/>
      <c r="J28" s="290">
        <f t="shared" si="1"/>
        <v>0</v>
      </c>
      <c r="K28" s="275"/>
      <c r="L28" s="274"/>
    </row>
    <row r="29" spans="2:12">
      <c r="B29" s="231"/>
      <c r="C29" s="266" t="s">
        <v>506</v>
      </c>
      <c r="D29" s="267" t="str">
        <f>+'Payroll Worksheet'!D30</f>
        <v>[ Placeholder]</v>
      </c>
      <c r="E29" s="268" t="s">
        <v>81</v>
      </c>
      <c r="F29" s="269">
        <f>+'Payroll Worksheet'!F30</f>
        <v>0</v>
      </c>
      <c r="G29" s="271"/>
      <c r="H29" s="271">
        <f>+'Payroll Worksheet'!H30</f>
        <v>0</v>
      </c>
      <c r="I29" s="272"/>
      <c r="J29" s="290">
        <f t="shared" si="1"/>
        <v>0</v>
      </c>
      <c r="K29" s="275"/>
      <c r="L29" s="274"/>
    </row>
    <row r="30" spans="2:12">
      <c r="B30" s="231"/>
      <c r="C30" s="266" t="s">
        <v>506</v>
      </c>
      <c r="D30" s="267" t="str">
        <f>+'Payroll Worksheet'!D31</f>
        <v>[ Placeholder]</v>
      </c>
      <c r="E30" s="268" t="s">
        <v>81</v>
      </c>
      <c r="F30" s="269">
        <f>+'Payroll Worksheet'!F31</f>
        <v>0</v>
      </c>
      <c r="G30" s="271"/>
      <c r="H30" s="271">
        <f>+'Payroll Worksheet'!H31</f>
        <v>0</v>
      </c>
      <c r="I30" s="272"/>
      <c r="J30" s="290">
        <f t="shared" si="1"/>
        <v>0</v>
      </c>
      <c r="K30" s="275"/>
      <c r="L30" s="274"/>
    </row>
    <row r="31" spans="2:12">
      <c r="B31" s="231"/>
      <c r="C31" s="266" t="s">
        <v>506</v>
      </c>
      <c r="D31" s="267" t="str">
        <f>+'Payroll Worksheet'!D32</f>
        <v>[ Placeholder]</v>
      </c>
      <c r="E31" s="268" t="s">
        <v>81</v>
      </c>
      <c r="F31" s="269">
        <f>+'Payroll Worksheet'!F32</f>
        <v>0</v>
      </c>
      <c r="G31" s="271"/>
      <c r="H31" s="271">
        <f>+'Payroll Worksheet'!H32</f>
        <v>0</v>
      </c>
      <c r="I31" s="272"/>
      <c r="J31" s="290">
        <f t="shared" si="1"/>
        <v>0</v>
      </c>
      <c r="K31" s="275"/>
      <c r="L31" s="274"/>
    </row>
    <row r="32" spans="2:12">
      <c r="B32" s="231"/>
      <c r="C32" s="291" t="s">
        <v>506</v>
      </c>
      <c r="D32" s="292" t="str">
        <f>+'Payroll Worksheet'!D33</f>
        <v>[ Placeholder]</v>
      </c>
      <c r="E32" s="293" t="s">
        <v>81</v>
      </c>
      <c r="F32" s="294">
        <f>+'Payroll Worksheet'!F33</f>
        <v>0</v>
      </c>
      <c r="G32" s="295"/>
      <c r="H32" s="295">
        <f>+'Payroll Worksheet'!H33</f>
        <v>0</v>
      </c>
      <c r="I32" s="296"/>
      <c r="J32" s="297">
        <f t="shared" si="1"/>
        <v>0</v>
      </c>
      <c r="K32" s="298"/>
      <c r="L32" s="299"/>
    </row>
    <row r="33" spans="2:13">
      <c r="B33" s="231"/>
      <c r="C33" s="231"/>
      <c r="D33" s="300"/>
      <c r="E33" s="268"/>
      <c r="F33" s="301"/>
      <c r="G33" s="302"/>
      <c r="H33" s="303"/>
      <c r="I33" s="303"/>
      <c r="J33" s="232"/>
      <c r="K33" s="232"/>
    </row>
    <row r="34" spans="2:13">
      <c r="B34" s="231"/>
      <c r="C34" s="300"/>
      <c r="D34" s="300"/>
      <c r="E34" s="268"/>
      <c r="F34" s="301"/>
      <c r="G34" s="232"/>
      <c r="H34" s="303"/>
    </row>
    <row r="35" spans="2:13">
      <c r="B35" s="230" t="s">
        <v>84</v>
      </c>
      <c r="C35" s="230"/>
      <c r="D35" s="231"/>
      <c r="E35" s="232"/>
      <c r="F35" s="232"/>
      <c r="G35" s="259"/>
      <c r="H35" s="232"/>
    </row>
    <row r="36" spans="2:13">
      <c r="B36" s="230"/>
      <c r="C36" s="230"/>
      <c r="D36" s="231"/>
      <c r="E36" s="232"/>
      <c r="F36" s="232"/>
      <c r="G36" s="259"/>
      <c r="H36" s="232"/>
    </row>
    <row r="37" spans="2:13" hidden="1">
      <c r="B37" s="230"/>
      <c r="C37" s="230"/>
      <c r="D37" s="922" t="s">
        <v>1040</v>
      </c>
      <c r="E37" s="232" t="e">
        <f>+COUNTIF(#REF!,"&gt;0")+COUNTIF(#REF!,"&gt;0")</f>
        <v>#REF!</v>
      </c>
      <c r="F37" s="232" t="e">
        <f>+COUNTIF(#REF!,"&gt;0")+COUNTIF(#REF!,"&gt;0")</f>
        <v>#REF!</v>
      </c>
      <c r="G37" s="232">
        <f t="shared" ref="G37:M37" si="2">+COUNTIF(G43:G56,"&gt;0")+COUNTIF(G62:G71,"&gt;0")</f>
        <v>0</v>
      </c>
      <c r="H37" s="232">
        <f t="shared" si="2"/>
        <v>0</v>
      </c>
      <c r="I37" s="232">
        <f t="shared" si="2"/>
        <v>0</v>
      </c>
      <c r="J37" s="232">
        <f t="shared" si="2"/>
        <v>0</v>
      </c>
      <c r="K37" s="232">
        <f>+COUNTIF(E43:E56,"&gt;0")+COUNTIF(E62:E71,"&gt;0")</f>
        <v>0</v>
      </c>
      <c r="L37" s="232">
        <f t="shared" si="2"/>
        <v>0</v>
      </c>
      <c r="M37" s="232">
        <f t="shared" si="2"/>
        <v>0</v>
      </c>
    </row>
    <row r="38" spans="2:13" hidden="1">
      <c r="B38" s="231"/>
      <c r="C38" s="231"/>
      <c r="D38" s="923" t="s">
        <v>204</v>
      </c>
      <c r="E38" s="304" t="e">
        <f>+ROUNDUP(E37/2,0)</f>
        <v>#REF!</v>
      </c>
      <c r="F38" s="304" t="e">
        <f t="shared" ref="F38:M38" si="3">+ROUNDUP(F37/2,0)</f>
        <v>#REF!</v>
      </c>
      <c r="G38" s="304">
        <f t="shared" si="3"/>
        <v>0</v>
      </c>
      <c r="H38" s="304">
        <f t="shared" si="3"/>
        <v>0</v>
      </c>
      <c r="I38" s="304">
        <f t="shared" si="3"/>
        <v>0</v>
      </c>
      <c r="J38" s="304">
        <f t="shared" si="3"/>
        <v>0</v>
      </c>
      <c r="K38" s="304">
        <f t="shared" si="3"/>
        <v>0</v>
      </c>
      <c r="L38" s="304">
        <f t="shared" si="3"/>
        <v>0</v>
      </c>
      <c r="M38" s="304">
        <f t="shared" si="3"/>
        <v>0</v>
      </c>
    </row>
    <row r="39" spans="2:13">
      <c r="B39" s="238"/>
      <c r="C39" s="234" t="s">
        <v>78</v>
      </c>
      <c r="D39" s="235" t="s">
        <v>79</v>
      </c>
      <c r="E39" s="306">
        <f>+'Start Up Budget Detail'!C7</f>
        <v>45170</v>
      </c>
      <c r="F39" s="307" t="str">
        <f>'Operating Budget'!R4</f>
        <v>Year 1 Total</v>
      </c>
      <c r="G39"/>
      <c r="H39"/>
      <c r="I39"/>
      <c r="J39"/>
      <c r="L39"/>
      <c r="M39"/>
    </row>
    <row r="40" spans="2:13">
      <c r="B40" s="231"/>
      <c r="C40" s="231"/>
      <c r="D40" s="231"/>
      <c r="F40" s="308"/>
      <c r="G40"/>
      <c r="H40"/>
      <c r="I40"/>
      <c r="J40"/>
      <c r="L40"/>
      <c r="M40"/>
    </row>
    <row r="41" spans="2:13">
      <c r="B41" s="238" t="s">
        <v>85</v>
      </c>
      <c r="C41" s="238"/>
      <c r="D41" s="231"/>
      <c r="F41" s="308"/>
      <c r="G41"/>
      <c r="H41"/>
      <c r="I41"/>
      <c r="J41"/>
      <c r="L41"/>
      <c r="M41"/>
    </row>
    <row r="42" spans="2:13">
      <c r="B42" s="231"/>
      <c r="C42" s="239" t="str">
        <f>IF(+C5="","",C5)</f>
        <v>Salaried Employees</v>
      </c>
      <c r="D42" s="231" t="str">
        <f>IF(+D5="","",D5)</f>
        <v/>
      </c>
      <c r="F42" s="308"/>
      <c r="G42"/>
      <c r="H42"/>
      <c r="I42"/>
      <c r="J42"/>
      <c r="L42"/>
      <c r="M42"/>
    </row>
    <row r="43" spans="2:13">
      <c r="B43" s="231"/>
      <c r="C43" s="231" t="str">
        <f>IF(+C6="","",C6)</f>
        <v>TBD</v>
      </c>
      <c r="D43" s="231" t="str">
        <f>IF(+D6="","",D6)</f>
        <v>Property Manager</v>
      </c>
      <c r="E43" s="309">
        <f>IF(AND($K6&lt;=E$39,$L6&gt;=E$39),$E6,0)</f>
        <v>0</v>
      </c>
      <c r="F43" s="310">
        <f>+SUBTOTAL(9,E43)</f>
        <v>0</v>
      </c>
      <c r="G43"/>
      <c r="H43"/>
      <c r="I43"/>
      <c r="J43"/>
      <c r="L43"/>
      <c r="M43"/>
    </row>
    <row r="44" spans="2:13">
      <c r="B44" s="231"/>
      <c r="C44" s="239" t="str">
        <f t="shared" ref="C44:D56" si="4">IF(+C8="","",C8)</f>
        <v>Hourly Employees</v>
      </c>
      <c r="D44" s="231" t="str">
        <f t="shared" si="4"/>
        <v/>
      </c>
      <c r="E44" s="311"/>
      <c r="F44" s="312"/>
      <c r="G44"/>
      <c r="H44"/>
      <c r="I44"/>
      <c r="J44"/>
      <c r="L44"/>
      <c r="M44"/>
    </row>
    <row r="45" spans="2:13">
      <c r="B45" s="231"/>
      <c r="C45" s="231" t="str">
        <f t="shared" si="4"/>
        <v>TBD</v>
      </c>
      <c r="D45" s="231" t="str">
        <f t="shared" si="4"/>
        <v>[ Placeholder]</v>
      </c>
      <c r="E45" s="309">
        <f t="shared" ref="E45:E56" si="5">IF(AND($K9&lt;=E$39,$L9&gt;=E$39),$J9*$H9*52/12,0)</f>
        <v>0</v>
      </c>
      <c r="F45" s="310">
        <f>+SUBTOTAL(9,E45)</f>
        <v>0</v>
      </c>
      <c r="G45"/>
      <c r="H45"/>
      <c r="I45"/>
      <c r="J45"/>
      <c r="L45"/>
      <c r="M45"/>
    </row>
    <row r="46" spans="2:13">
      <c r="B46" s="231"/>
      <c r="C46" s="231" t="str">
        <f t="shared" si="4"/>
        <v>TBD</v>
      </c>
      <c r="D46" s="231" t="str">
        <f t="shared" si="4"/>
        <v>[ Placeholder]</v>
      </c>
      <c r="E46" s="309">
        <f t="shared" si="5"/>
        <v>0</v>
      </c>
      <c r="F46" s="310">
        <f t="shared" ref="F46:F56" si="6">+SUBTOTAL(9,E46)</f>
        <v>0</v>
      </c>
      <c r="G46"/>
      <c r="H46"/>
      <c r="I46"/>
      <c r="J46"/>
      <c r="L46"/>
      <c r="M46"/>
    </row>
    <row r="47" spans="2:13">
      <c r="B47" s="231"/>
      <c r="C47" s="231" t="str">
        <f t="shared" si="4"/>
        <v>TBD</v>
      </c>
      <c r="D47" s="231" t="str">
        <f t="shared" si="4"/>
        <v>[ Placeholder]</v>
      </c>
      <c r="E47" s="309">
        <f t="shared" si="5"/>
        <v>0</v>
      </c>
      <c r="F47" s="310">
        <f t="shared" si="6"/>
        <v>0</v>
      </c>
      <c r="G47"/>
      <c r="H47"/>
      <c r="I47"/>
      <c r="J47"/>
      <c r="L47"/>
      <c r="M47"/>
    </row>
    <row r="48" spans="2:13">
      <c r="B48" s="231"/>
      <c r="C48" s="231" t="str">
        <f t="shared" si="4"/>
        <v>TBD</v>
      </c>
      <c r="D48" s="231" t="str">
        <f t="shared" si="4"/>
        <v>[ Placeholder]</v>
      </c>
      <c r="E48" s="309">
        <f t="shared" si="5"/>
        <v>0</v>
      </c>
      <c r="F48" s="310">
        <f t="shared" si="6"/>
        <v>0</v>
      </c>
      <c r="G48"/>
      <c r="H48"/>
      <c r="I48"/>
      <c r="J48"/>
      <c r="L48"/>
      <c r="M48"/>
    </row>
    <row r="49" spans="2:13">
      <c r="B49" s="231"/>
      <c r="C49" s="231" t="str">
        <f t="shared" si="4"/>
        <v>TBD</v>
      </c>
      <c r="D49" s="231" t="str">
        <f t="shared" si="4"/>
        <v>[ Placeholder]</v>
      </c>
      <c r="E49" s="309">
        <f t="shared" si="5"/>
        <v>0</v>
      </c>
      <c r="F49" s="310">
        <f t="shared" si="6"/>
        <v>0</v>
      </c>
      <c r="G49"/>
      <c r="H49"/>
      <c r="I49"/>
      <c r="J49"/>
      <c r="L49"/>
      <c r="M49"/>
    </row>
    <row r="50" spans="2:13">
      <c r="B50" s="231"/>
      <c r="C50" s="231" t="str">
        <f t="shared" si="4"/>
        <v>TBD</v>
      </c>
      <c r="D50" s="231" t="str">
        <f t="shared" si="4"/>
        <v>[ Placeholder]</v>
      </c>
      <c r="E50" s="309">
        <f t="shared" si="5"/>
        <v>0</v>
      </c>
      <c r="F50" s="310">
        <f t="shared" si="6"/>
        <v>0</v>
      </c>
      <c r="G50"/>
      <c r="H50"/>
      <c r="I50"/>
      <c r="J50"/>
      <c r="L50"/>
      <c r="M50"/>
    </row>
    <row r="51" spans="2:13">
      <c r="B51" s="231"/>
      <c r="C51" s="231" t="str">
        <f t="shared" si="4"/>
        <v>TBD</v>
      </c>
      <c r="D51" s="231" t="str">
        <f t="shared" si="4"/>
        <v>[ Placeholder]</v>
      </c>
      <c r="E51" s="309">
        <f t="shared" si="5"/>
        <v>0</v>
      </c>
      <c r="F51" s="310">
        <f t="shared" si="6"/>
        <v>0</v>
      </c>
      <c r="G51"/>
      <c r="H51"/>
      <c r="I51"/>
      <c r="J51"/>
      <c r="L51"/>
      <c r="M51"/>
    </row>
    <row r="52" spans="2:13">
      <c r="B52" s="231"/>
      <c r="C52" s="231" t="str">
        <f t="shared" si="4"/>
        <v>TBD</v>
      </c>
      <c r="D52" s="231" t="str">
        <f t="shared" si="4"/>
        <v>[ Placeholder]</v>
      </c>
      <c r="E52" s="309">
        <f t="shared" si="5"/>
        <v>0</v>
      </c>
      <c r="F52" s="310">
        <f t="shared" si="6"/>
        <v>0</v>
      </c>
      <c r="G52"/>
      <c r="H52"/>
      <c r="I52"/>
      <c r="J52"/>
      <c r="L52"/>
      <c r="M52"/>
    </row>
    <row r="53" spans="2:13">
      <c r="B53" s="231"/>
      <c r="C53" s="231" t="str">
        <f t="shared" si="4"/>
        <v>TBD</v>
      </c>
      <c r="D53" s="231" t="str">
        <f t="shared" si="4"/>
        <v>[ Placeholder]</v>
      </c>
      <c r="E53" s="309">
        <f t="shared" si="5"/>
        <v>0</v>
      </c>
      <c r="F53" s="310">
        <f t="shared" si="6"/>
        <v>0</v>
      </c>
      <c r="G53"/>
      <c r="H53"/>
      <c r="I53"/>
      <c r="J53"/>
      <c r="L53"/>
      <c r="M53"/>
    </row>
    <row r="54" spans="2:13">
      <c r="B54" s="231"/>
      <c r="C54" s="231" t="str">
        <f t="shared" si="4"/>
        <v>TBD</v>
      </c>
      <c r="D54" s="231" t="str">
        <f t="shared" si="4"/>
        <v>[ Placeholder]</v>
      </c>
      <c r="E54" s="309">
        <f t="shared" si="5"/>
        <v>0</v>
      </c>
      <c r="F54" s="310">
        <f t="shared" si="6"/>
        <v>0</v>
      </c>
      <c r="G54"/>
      <c r="H54"/>
      <c r="I54"/>
      <c r="J54"/>
      <c r="L54"/>
      <c r="M54"/>
    </row>
    <row r="55" spans="2:13">
      <c r="B55" s="231"/>
      <c r="C55" s="231" t="str">
        <f t="shared" si="4"/>
        <v>TBD</v>
      </c>
      <c r="D55" s="231" t="str">
        <f t="shared" si="4"/>
        <v>[ Placeholder]</v>
      </c>
      <c r="E55" s="309">
        <f t="shared" si="5"/>
        <v>0</v>
      </c>
      <c r="F55" s="310">
        <f t="shared" si="6"/>
        <v>0</v>
      </c>
      <c r="G55"/>
      <c r="H55"/>
      <c r="I55"/>
      <c r="J55"/>
      <c r="L55"/>
      <c r="M55"/>
    </row>
    <row r="56" spans="2:13">
      <c r="B56" s="231"/>
      <c r="C56" s="231" t="str">
        <f t="shared" si="4"/>
        <v>TBD</v>
      </c>
      <c r="D56" s="231" t="str">
        <f t="shared" si="4"/>
        <v>[ Placeholder]</v>
      </c>
      <c r="E56" s="309">
        <f t="shared" si="5"/>
        <v>0</v>
      </c>
      <c r="F56" s="310">
        <f t="shared" si="6"/>
        <v>0</v>
      </c>
      <c r="G56"/>
      <c r="H56"/>
      <c r="I56"/>
      <c r="J56"/>
      <c r="L56"/>
      <c r="M56"/>
    </row>
    <row r="57" spans="2:13">
      <c r="B57" s="231"/>
      <c r="C57" s="231"/>
      <c r="D57" s="231"/>
      <c r="E57" s="313"/>
      <c r="F57" s="314"/>
      <c r="G57"/>
      <c r="H57"/>
      <c r="I57"/>
      <c r="J57"/>
      <c r="L57"/>
      <c r="M57"/>
    </row>
    <row r="58" spans="2:13">
      <c r="B58" s="315" t="s">
        <v>86</v>
      </c>
      <c r="C58" s="315"/>
      <c r="D58" s="316"/>
      <c r="E58" s="317">
        <f>SUM(E42:E57)</f>
        <v>0</v>
      </c>
      <c r="F58" s="318">
        <f>+SUBTOTAL(9,E58)</f>
        <v>0</v>
      </c>
      <c r="G58"/>
      <c r="H58"/>
      <c r="I58"/>
      <c r="J58"/>
      <c r="L58"/>
      <c r="M58"/>
    </row>
    <row r="59" spans="2:13">
      <c r="B59" s="231"/>
      <c r="C59" s="231"/>
      <c r="D59" s="231"/>
      <c r="E59" s="313"/>
      <c r="F59" s="314"/>
      <c r="G59"/>
      <c r="H59"/>
      <c r="I59"/>
      <c r="J59"/>
      <c r="L59"/>
      <c r="M59"/>
    </row>
    <row r="60" spans="2:13">
      <c r="B60" s="238" t="s">
        <v>87</v>
      </c>
      <c r="C60" s="238"/>
      <c r="D60" s="231"/>
      <c r="E60" s="313"/>
      <c r="F60" s="314"/>
      <c r="G60"/>
      <c r="H60"/>
      <c r="I60"/>
      <c r="J60"/>
      <c r="L60"/>
      <c r="M60"/>
    </row>
    <row r="61" spans="2:13">
      <c r="B61" s="231"/>
      <c r="C61" s="239" t="str">
        <f t="shared" ref="C61:D71" si="7">IF(C22="","",C22)</f>
        <v>Salaried Employees</v>
      </c>
      <c r="D61" s="231" t="str">
        <f t="shared" si="7"/>
        <v/>
      </c>
      <c r="E61" s="313"/>
      <c r="F61" s="314"/>
      <c r="G61"/>
      <c r="H61"/>
      <c r="I61"/>
      <c r="J61"/>
      <c r="L61"/>
      <c r="M61"/>
    </row>
    <row r="62" spans="2:13">
      <c r="B62" s="231"/>
      <c r="C62" s="231" t="str">
        <f t="shared" si="7"/>
        <v>TBD</v>
      </c>
      <c r="D62" s="231" t="str">
        <f t="shared" si="7"/>
        <v>Service Supervisor</v>
      </c>
      <c r="E62" s="309">
        <f t="shared" ref="E62:E71" si="8">IF(AND($K23&lt;=E$39,$L23&gt;=E$39),$J23*$H23*52/12,0)</f>
        <v>0</v>
      </c>
      <c r="F62" s="310">
        <f>+SUBTOTAL(9,E62)</f>
        <v>0</v>
      </c>
      <c r="G62"/>
      <c r="H62"/>
      <c r="I62"/>
      <c r="J62"/>
      <c r="L62"/>
      <c r="M62"/>
    </row>
    <row r="63" spans="2:13">
      <c r="B63" s="231"/>
      <c r="C63" s="231" t="str">
        <f t="shared" si="7"/>
        <v>TBD</v>
      </c>
      <c r="D63" s="231" t="str">
        <f t="shared" si="7"/>
        <v>[ Placeholder]</v>
      </c>
      <c r="E63" s="309">
        <f t="shared" si="8"/>
        <v>0</v>
      </c>
      <c r="F63" s="310">
        <f t="shared" ref="F63:F71" si="9">+SUBTOTAL(9,E63)</f>
        <v>0</v>
      </c>
      <c r="G63"/>
      <c r="H63"/>
      <c r="I63"/>
      <c r="J63"/>
      <c r="L63"/>
      <c r="M63"/>
    </row>
    <row r="64" spans="2:13">
      <c r="B64" s="231"/>
      <c r="C64" s="231" t="str">
        <f t="shared" si="7"/>
        <v>TBD</v>
      </c>
      <c r="D64" s="231" t="str">
        <f t="shared" si="7"/>
        <v>[ Placeholder]</v>
      </c>
      <c r="E64" s="309">
        <f t="shared" si="8"/>
        <v>0</v>
      </c>
      <c r="F64" s="310">
        <f t="shared" si="9"/>
        <v>0</v>
      </c>
      <c r="G64"/>
      <c r="H64"/>
      <c r="I64"/>
      <c r="J64"/>
      <c r="L64"/>
      <c r="M64"/>
    </row>
    <row r="65" spans="1:13">
      <c r="B65" s="231"/>
      <c r="C65" s="231" t="str">
        <f t="shared" si="7"/>
        <v>TBD</v>
      </c>
      <c r="D65" s="231" t="str">
        <f t="shared" si="7"/>
        <v>[ Placeholder]</v>
      </c>
      <c r="E65" s="309">
        <f t="shared" si="8"/>
        <v>0</v>
      </c>
      <c r="F65" s="310">
        <f t="shared" si="9"/>
        <v>0</v>
      </c>
      <c r="G65"/>
      <c r="H65"/>
      <c r="I65"/>
      <c r="J65"/>
      <c r="L65"/>
      <c r="M65"/>
    </row>
    <row r="66" spans="1:13">
      <c r="B66" s="231"/>
      <c r="C66" s="231" t="str">
        <f t="shared" si="7"/>
        <v>TBD</v>
      </c>
      <c r="D66" s="231" t="str">
        <f t="shared" si="7"/>
        <v>[ Placeholder]</v>
      </c>
      <c r="E66" s="309">
        <f t="shared" si="8"/>
        <v>0</v>
      </c>
      <c r="F66" s="310">
        <f t="shared" si="9"/>
        <v>0</v>
      </c>
      <c r="G66"/>
      <c r="H66"/>
      <c r="I66"/>
      <c r="J66"/>
      <c r="L66"/>
      <c r="M66"/>
    </row>
    <row r="67" spans="1:13">
      <c r="B67" s="231"/>
      <c r="C67" s="231" t="str">
        <f t="shared" si="7"/>
        <v>TBD</v>
      </c>
      <c r="D67" s="231" t="str">
        <f t="shared" si="7"/>
        <v>[ Placeholder]</v>
      </c>
      <c r="E67" s="309">
        <f t="shared" si="8"/>
        <v>0</v>
      </c>
      <c r="F67" s="310">
        <f t="shared" si="9"/>
        <v>0</v>
      </c>
      <c r="G67"/>
      <c r="H67"/>
      <c r="I67"/>
      <c r="J67"/>
      <c r="L67"/>
      <c r="M67"/>
    </row>
    <row r="68" spans="1:13">
      <c r="B68" s="231"/>
      <c r="C68" s="231" t="str">
        <f t="shared" si="7"/>
        <v>TBD</v>
      </c>
      <c r="D68" s="231" t="str">
        <f t="shared" si="7"/>
        <v>[ Placeholder]</v>
      </c>
      <c r="E68" s="309">
        <f t="shared" si="8"/>
        <v>0</v>
      </c>
      <c r="F68" s="310">
        <f t="shared" si="9"/>
        <v>0</v>
      </c>
      <c r="G68"/>
      <c r="H68"/>
      <c r="I68"/>
      <c r="J68"/>
      <c r="L68"/>
      <c r="M68"/>
    </row>
    <row r="69" spans="1:13">
      <c r="B69" s="231"/>
      <c r="C69" s="231" t="str">
        <f t="shared" si="7"/>
        <v>TBD</v>
      </c>
      <c r="D69" s="231" t="str">
        <f t="shared" si="7"/>
        <v>[ Placeholder]</v>
      </c>
      <c r="E69" s="309">
        <f t="shared" si="8"/>
        <v>0</v>
      </c>
      <c r="F69" s="310">
        <f t="shared" si="9"/>
        <v>0</v>
      </c>
      <c r="G69"/>
      <c r="H69"/>
      <c r="I69"/>
      <c r="J69"/>
      <c r="L69"/>
      <c r="M69"/>
    </row>
    <row r="70" spans="1:13">
      <c r="B70" s="231"/>
      <c r="C70" s="231" t="str">
        <f t="shared" si="7"/>
        <v>TBD</v>
      </c>
      <c r="D70" s="231" t="str">
        <f t="shared" si="7"/>
        <v>[ Placeholder]</v>
      </c>
      <c r="E70" s="309">
        <f t="shared" si="8"/>
        <v>0</v>
      </c>
      <c r="F70" s="310">
        <f t="shared" si="9"/>
        <v>0</v>
      </c>
      <c r="G70"/>
      <c r="H70"/>
      <c r="I70"/>
      <c r="J70"/>
      <c r="L70"/>
      <c r="M70"/>
    </row>
    <row r="71" spans="1:13">
      <c r="B71" s="231"/>
      <c r="C71" s="231" t="str">
        <f t="shared" si="7"/>
        <v>TBD</v>
      </c>
      <c r="D71" s="231" t="str">
        <f t="shared" si="7"/>
        <v>[ Placeholder]</v>
      </c>
      <c r="E71" s="309">
        <f t="shared" si="8"/>
        <v>0</v>
      </c>
      <c r="F71" s="310">
        <f t="shared" si="9"/>
        <v>0</v>
      </c>
      <c r="G71"/>
      <c r="H71"/>
      <c r="I71"/>
      <c r="J71"/>
      <c r="L71"/>
      <c r="M71"/>
    </row>
    <row r="72" spans="1:13">
      <c r="B72" s="231"/>
      <c r="C72" s="231" t="str">
        <f>IF(C34="","",C34)</f>
        <v/>
      </c>
      <c r="D72" s="231"/>
      <c r="E72" s="313"/>
      <c r="F72" s="314"/>
      <c r="G72"/>
      <c r="H72"/>
      <c r="I72"/>
      <c r="J72"/>
      <c r="L72"/>
      <c r="M72"/>
    </row>
    <row r="73" spans="1:13">
      <c r="B73" s="315" t="s">
        <v>88</v>
      </c>
      <c r="C73" s="315"/>
      <c r="D73" s="316"/>
      <c r="E73" s="317">
        <f>SUM(E61:E72)</f>
        <v>0</v>
      </c>
      <c r="F73" s="318">
        <f>+SUBTOTAL(9,E73)</f>
        <v>0</v>
      </c>
      <c r="G73"/>
      <c r="H73"/>
      <c r="I73"/>
      <c r="J73"/>
      <c r="L73"/>
      <c r="M73"/>
    </row>
    <row r="74" spans="1:13">
      <c r="B74" s="231"/>
      <c r="C74" s="231"/>
      <c r="D74" s="231"/>
      <c r="E74" s="313"/>
      <c r="F74" s="314"/>
      <c r="G74"/>
      <c r="H74"/>
      <c r="I74"/>
      <c r="J74"/>
      <c r="L74"/>
      <c r="M74"/>
    </row>
    <row r="75" spans="1:13">
      <c r="B75" s="238" t="s">
        <v>89</v>
      </c>
      <c r="C75" s="238"/>
      <c r="D75" s="231"/>
      <c r="E75" s="313"/>
      <c r="F75" s="314"/>
      <c r="G75"/>
      <c r="H75"/>
      <c r="I75"/>
      <c r="J75"/>
      <c r="L75"/>
      <c r="M75"/>
    </row>
    <row r="76" spans="1:13">
      <c r="A76" s="319">
        <f>INDEX(QS_Chart_Of_Accounts_Upload!$C:$O,MATCH(B76,QS_Chart_Of_Accounts_Upload!$E:$E,0),MATCH("ACCT_NO",QS_Chart_Of_Accounts_Upload!$C$1:$O$1,0))</f>
        <v>5020</v>
      </c>
      <c r="B76" s="320" t="s">
        <v>470</v>
      </c>
      <c r="C76" s="321"/>
      <c r="D76" s="231"/>
      <c r="E76" s="309">
        <f>+E58</f>
        <v>0</v>
      </c>
      <c r="F76" s="310">
        <f t="shared" ref="F76:F88" si="10">+SUBTOTAL(9,E76)</f>
        <v>0</v>
      </c>
      <c r="G76"/>
      <c r="H76"/>
      <c r="I76"/>
      <c r="J76"/>
      <c r="L76"/>
      <c r="M76"/>
    </row>
    <row r="77" spans="1:13">
      <c r="A77" s="319">
        <f>INDEX(QS_Chart_Of_Accounts_Upload!$C:$O,MATCH(B77,QS_Chart_Of_Accounts_Upload!$E:$E,0),MATCH("ACCT_NO",QS_Chart_Of_Accounts_Upload!$C$1:$O$1,0))</f>
        <v>5035</v>
      </c>
      <c r="B77" s="322" t="s">
        <v>288</v>
      </c>
      <c r="C77" s="321"/>
      <c r="D77" s="231"/>
      <c r="E77" s="309">
        <v>0</v>
      </c>
      <c r="F77" s="310">
        <f t="shared" si="10"/>
        <v>0</v>
      </c>
      <c r="G77"/>
      <c r="H77"/>
      <c r="I77"/>
      <c r="J77"/>
      <c r="L77"/>
      <c r="M77"/>
    </row>
    <row r="78" spans="1:13">
      <c r="A78" s="319">
        <f>INDEX(QS_Chart_Of_Accounts_Upload!$C:$O,MATCH(B78,QS_Chart_Of_Accounts_Upload!$E:$E,0),MATCH("ACCT_NO",QS_Chart_Of_Accounts_Upload!$C$1:$O$1,0))</f>
        <v>5040</v>
      </c>
      <c r="B78" s="320" t="s">
        <v>471</v>
      </c>
      <c r="C78" s="321"/>
      <c r="D78" s="231"/>
      <c r="E78" s="309">
        <f>E73</f>
        <v>0</v>
      </c>
      <c r="F78" s="310">
        <f t="shared" si="10"/>
        <v>0</v>
      </c>
      <c r="G78"/>
      <c r="H78"/>
      <c r="I78"/>
      <c r="J78"/>
      <c r="L78"/>
      <c r="M78"/>
    </row>
    <row r="79" spans="1:13">
      <c r="A79" s="319">
        <f>INDEX(QS_Chart_Of_Accounts_Upload!$C:$O,MATCH(B79,QS_Chart_Of_Accounts_Upload!$E:$E,0),MATCH("ACCT_NO",QS_Chart_Of_Accounts_Upload!$C$1:$O$1,0))</f>
        <v>5041</v>
      </c>
      <c r="B79" s="320" t="s">
        <v>472</v>
      </c>
      <c r="C79" s="321"/>
      <c r="D79" s="231"/>
      <c r="E79" s="323">
        <v>0</v>
      </c>
      <c r="F79" s="310">
        <f t="shared" si="10"/>
        <v>0</v>
      </c>
      <c r="G79"/>
      <c r="H79"/>
      <c r="I79"/>
      <c r="J79"/>
      <c r="L79"/>
      <c r="M79"/>
    </row>
    <row r="80" spans="1:13">
      <c r="A80" s="319">
        <f>INDEX(QS_Chart_Of_Accounts_Upload!$C:$O,MATCH(B80,QS_Chart_Of_Accounts_Upload!$E:$E,0),MATCH("ACCT_NO",QS_Chart_Of_Accounts_Upload!$C$1:$O$1,0))</f>
        <v>5045</v>
      </c>
      <c r="B80" s="230" t="s">
        <v>289</v>
      </c>
      <c r="C80" s="321"/>
      <c r="D80" s="324"/>
      <c r="E80" s="325">
        <v>0</v>
      </c>
      <c r="F80" s="310">
        <f t="shared" si="10"/>
        <v>0</v>
      </c>
      <c r="G80"/>
      <c r="H80"/>
      <c r="I80"/>
      <c r="J80"/>
      <c r="L80"/>
      <c r="M80"/>
    </row>
    <row r="81" spans="1:13">
      <c r="A81" s="319">
        <f>INDEX(QS_Chart_Of_Accounts_Upload!$C:$O,MATCH(B81,QS_Chart_Of_Accounts_Upload!$E:$E,0),MATCH("ACCT_NO",QS_Chart_Of_Accounts_Upload!$C$1:$O$1,0))</f>
        <v>5050</v>
      </c>
      <c r="B81" s="230" t="s">
        <v>290</v>
      </c>
      <c r="C81" s="321"/>
      <c r="D81" s="324"/>
      <c r="E81" s="325">
        <v>0</v>
      </c>
      <c r="F81" s="310">
        <f t="shared" si="10"/>
        <v>0</v>
      </c>
      <c r="G81"/>
      <c r="H81"/>
      <c r="I81"/>
      <c r="J81"/>
      <c r="L81"/>
      <c r="M81"/>
    </row>
    <row r="82" spans="1:13">
      <c r="A82" s="319">
        <f>INDEX(QS_Chart_Of_Accounts_Upload!$C:$O,MATCH(B82,QS_Chart_Of_Accounts_Upload!$E:$E,0),MATCH("ACCT_NO",QS_Chart_Of_Accounts_Upload!$C$1:$O$1,0))</f>
        <v>5110</v>
      </c>
      <c r="B82" s="322" t="s">
        <v>473</v>
      </c>
      <c r="C82" s="321"/>
      <c r="D82" s="231"/>
      <c r="E82" s="309">
        <f>+IF(AND($K6&lt;=E$39,$L6&gt;=E$39),$G$6,0)+IF(AND($K23&lt;=E$39,$L23&gt;=E$39),$G$23,0)</f>
        <v>0</v>
      </c>
      <c r="F82" s="310">
        <f t="shared" si="10"/>
        <v>0</v>
      </c>
      <c r="G82"/>
      <c r="H82"/>
      <c r="I82"/>
      <c r="J82"/>
      <c r="L82"/>
      <c r="M82"/>
    </row>
    <row r="83" spans="1:13">
      <c r="A83" s="319">
        <f>INDEX(QS_Chart_Of_Accounts_Upload!$C:$O,MATCH(B83,QS_Chart_Of_Accounts_Upload!$E:$E,0),MATCH("ACCT_NO",QS_Chart_Of_Accounts_Upload!$C$1:$O$1,0))</f>
        <v>5120</v>
      </c>
      <c r="B83" s="322" t="s">
        <v>474</v>
      </c>
      <c r="C83" s="321"/>
      <c r="D83" s="326"/>
      <c r="E83" s="309">
        <f>SUM(E76:E82)*$O$14</f>
        <v>0</v>
      </c>
      <c r="F83" s="310">
        <f t="shared" si="10"/>
        <v>0</v>
      </c>
      <c r="G83"/>
      <c r="H83"/>
      <c r="I83"/>
      <c r="J83"/>
      <c r="L83"/>
      <c r="M83"/>
    </row>
    <row r="84" spans="1:13">
      <c r="A84" s="319">
        <f>INDEX(QS_Chart_Of_Accounts_Upload!$C:$O,MATCH(B84,QS_Chart_Of_Accounts_Upload!$E:$E,0),MATCH("ACCT_NO",QS_Chart_Of_Accounts_Upload!$C$1:$O$1,0))</f>
        <v>5230</v>
      </c>
      <c r="B84" s="230" t="s">
        <v>291</v>
      </c>
      <c r="C84" s="321"/>
      <c r="D84" s="324"/>
      <c r="E84" s="309">
        <f>SUM($O$11*K38)</f>
        <v>0</v>
      </c>
      <c r="F84" s="310">
        <f t="shared" si="10"/>
        <v>0</v>
      </c>
      <c r="G84"/>
      <c r="H84"/>
      <c r="I84"/>
      <c r="J84"/>
      <c r="L84"/>
      <c r="M84"/>
    </row>
    <row r="85" spans="1:13">
      <c r="A85" s="319" t="e">
        <f>INDEX(QS_Chart_Of_Accounts_Upload!$C:$O,MATCH(B85,QS_Chart_Of_Accounts_Upload!$E:$E,0),MATCH("ACCT_NO",QS_Chart_Of_Accounts_Upload!$C$1:$O$1,0))</f>
        <v>#N/A</v>
      </c>
      <c r="B85" s="230" t="s">
        <v>499</v>
      </c>
      <c r="C85" s="321"/>
      <c r="D85" s="324"/>
      <c r="E85" s="309">
        <v>0</v>
      </c>
      <c r="F85" s="310">
        <f t="shared" si="10"/>
        <v>0</v>
      </c>
      <c r="G85"/>
      <c r="H85"/>
      <c r="I85"/>
      <c r="J85"/>
      <c r="L85"/>
      <c r="M85"/>
    </row>
    <row r="86" spans="1:13">
      <c r="A86" s="319" t="e">
        <f>INDEX(QS_Chart_Of_Accounts_Upload!$C:$O,MATCH(B86,QS_Chart_Of_Accounts_Upload!$E:$E,0),MATCH("ACCT_NO",QS_Chart_Of_Accounts_Upload!$C$1:$O$1,0))</f>
        <v>#N/A</v>
      </c>
      <c r="B86" s="230" t="s">
        <v>500</v>
      </c>
      <c r="C86" s="321"/>
      <c r="D86" s="324"/>
      <c r="E86" s="309">
        <v>0</v>
      </c>
      <c r="F86" s="310">
        <f t="shared" si="10"/>
        <v>0</v>
      </c>
      <c r="G86"/>
      <c r="H86"/>
      <c r="I86"/>
      <c r="J86"/>
      <c r="L86"/>
      <c r="M86"/>
    </row>
    <row r="87" spans="1:13">
      <c r="A87" s="319" t="e">
        <f>INDEX(QS_Chart_Of_Accounts_Upload!$C:$O,MATCH(B87,QS_Chart_Of_Accounts_Upload!$E:$E,0),MATCH("ACCT_NO",QS_Chart_Of_Accounts_Upload!$C$1:$O$1,0))</f>
        <v>#N/A</v>
      </c>
      <c r="B87" s="230" t="s">
        <v>501</v>
      </c>
      <c r="C87" s="321"/>
      <c r="D87" s="324"/>
      <c r="E87" s="309">
        <v>0</v>
      </c>
      <c r="F87" s="310">
        <f t="shared" si="10"/>
        <v>0</v>
      </c>
      <c r="G87"/>
      <c r="H87"/>
      <c r="I87"/>
      <c r="J87"/>
      <c r="L87"/>
      <c r="M87"/>
    </row>
    <row r="88" spans="1:13">
      <c r="A88" s="319">
        <f>INDEX(QS_Chart_Of_Accounts_Upload!$C:$O,MATCH(B88,QS_Chart_Of_Accounts_Upload!$E:$E,0),MATCH("ACCT_NO",QS_Chart_Of_Accounts_Upload!$C$1:$O$1,0))</f>
        <v>5265</v>
      </c>
      <c r="B88" s="230" t="s">
        <v>292</v>
      </c>
      <c r="C88" s="321"/>
      <c r="D88" s="324"/>
      <c r="E88" s="309">
        <f>IF(E83&lt;&gt;0,SUM($O$12*$O$15)*2,0)</f>
        <v>0</v>
      </c>
      <c r="F88" s="310">
        <f t="shared" si="10"/>
        <v>0</v>
      </c>
      <c r="G88"/>
      <c r="H88"/>
      <c r="I88"/>
      <c r="J88"/>
      <c r="L88"/>
      <c r="M88"/>
    </row>
    <row r="89" spans="1:13">
      <c r="B89" s="108" t="s">
        <v>505</v>
      </c>
      <c r="E89" s="327"/>
      <c r="F89" s="328"/>
      <c r="G89"/>
      <c r="H89"/>
      <c r="I89"/>
      <c r="J89"/>
      <c r="L89"/>
      <c r="M89"/>
    </row>
    <row r="90" spans="1:13">
      <c r="A90" s="319"/>
      <c r="B90" s="230"/>
      <c r="C90" s="321"/>
      <c r="D90" s="231"/>
      <c r="E90" s="313"/>
      <c r="F90" s="314"/>
      <c r="G90"/>
      <c r="H90"/>
      <c r="I90"/>
      <c r="J90"/>
      <c r="L90"/>
      <c r="M90"/>
    </row>
    <row r="91" spans="1:13" ht="14" thickBot="1">
      <c r="B91" s="315" t="s">
        <v>90</v>
      </c>
      <c r="C91" s="315"/>
      <c r="D91" s="329"/>
      <c r="E91" s="330">
        <f>SUM(E76:E89)</f>
        <v>0</v>
      </c>
      <c r="F91" s="331">
        <f>+SUBTOTAL(9,E91)</f>
        <v>0</v>
      </c>
      <c r="G91"/>
      <c r="H91"/>
      <c r="I91"/>
      <c r="J91"/>
      <c r="L91"/>
      <c r="M91"/>
    </row>
    <row r="92" spans="1:13" ht="14" thickTop="1">
      <c r="B92" s="231"/>
      <c r="C92" s="231"/>
      <c r="D92" s="231"/>
      <c r="E92" s="232"/>
      <c r="F92" s="232"/>
      <c r="G92" s="232"/>
    </row>
    <row r="93" spans="1:13" hidden="1">
      <c r="B93" s="239" t="s">
        <v>91</v>
      </c>
      <c r="C93" s="231"/>
      <c r="D93" s="231"/>
      <c r="E93" s="332"/>
      <c r="F93" s="332"/>
      <c r="G93" s="332"/>
      <c r="H93" s="332"/>
    </row>
    <row r="94" spans="1:13" hidden="1">
      <c r="B94" s="231" t="s">
        <v>80</v>
      </c>
      <c r="C94" s="231"/>
      <c r="D94" s="333"/>
      <c r="E94" s="334"/>
      <c r="F94" s="334"/>
      <c r="G94" s="334"/>
      <c r="H94" s="334"/>
    </row>
    <row r="95" spans="1:13" hidden="1">
      <c r="B95" s="231" t="s">
        <v>92</v>
      </c>
      <c r="C95" s="231"/>
      <c r="D95" s="334"/>
      <c r="E95" s="335"/>
      <c r="F95" s="335"/>
      <c r="G95" s="335"/>
      <c r="H95" s="335"/>
    </row>
    <row r="96" spans="1:13" hidden="1">
      <c r="B96" s="231" t="s">
        <v>93</v>
      </c>
      <c r="C96" s="231"/>
      <c r="D96" s="334"/>
      <c r="E96" s="334"/>
      <c r="F96" s="334"/>
      <c r="G96" s="334"/>
      <c r="H96" s="334"/>
    </row>
    <row r="97" spans="2:8" hidden="1">
      <c r="B97" s="231" t="s">
        <v>94</v>
      </c>
      <c r="C97" s="231"/>
      <c r="D97" s="336"/>
      <c r="E97" s="336"/>
      <c r="F97" s="336"/>
      <c r="G97" s="336"/>
      <c r="H97" s="336"/>
    </row>
    <row r="98" spans="2:8" hidden="1">
      <c r="B98" s="231" t="s">
        <v>95</v>
      </c>
      <c r="C98" s="231"/>
      <c r="D98" s="337"/>
      <c r="E98" s="337"/>
      <c r="F98" s="337"/>
      <c r="G98" s="337"/>
      <c r="H98" s="337"/>
    </row>
    <row r="99" spans="2:8" hidden="1">
      <c r="B99" s="231" t="s">
        <v>96</v>
      </c>
      <c r="C99" s="231"/>
      <c r="D99" s="337"/>
      <c r="E99" s="337"/>
      <c r="F99" s="337"/>
      <c r="G99" s="337"/>
      <c r="H99" s="337"/>
    </row>
    <row r="100" spans="2:8" hidden="1">
      <c r="B100" s="338" t="s">
        <v>97</v>
      </c>
      <c r="C100" s="339"/>
      <c r="D100" s="340"/>
      <c r="E100" s="341"/>
      <c r="F100" s="341"/>
      <c r="G100" s="341"/>
      <c r="H100" s="341"/>
    </row>
    <row r="101" spans="2:8" hidden="1">
      <c r="B101" s="231"/>
      <c r="C101" s="231"/>
      <c r="D101" s="336"/>
      <c r="E101" s="300"/>
      <c r="F101" s="336"/>
      <c r="G101" s="336"/>
      <c r="H101" s="336"/>
    </row>
    <row r="102" spans="2:8" hidden="1">
      <c r="B102" s="231"/>
      <c r="C102" s="231"/>
      <c r="D102" s="231"/>
      <c r="E102" s="232"/>
      <c r="F102" s="232"/>
      <c r="G102" s="232"/>
      <c r="H102" s="232"/>
    </row>
    <row r="103" spans="2:8" hidden="1">
      <c r="B103" s="231" t="s">
        <v>82</v>
      </c>
      <c r="C103" s="231"/>
      <c r="D103" s="333"/>
      <c r="E103" s="334"/>
      <c r="F103" s="334"/>
      <c r="G103" s="334"/>
      <c r="H103" s="334"/>
    </row>
    <row r="104" spans="2:8" hidden="1">
      <c r="B104" s="231" t="s">
        <v>92</v>
      </c>
      <c r="C104" s="231"/>
      <c r="D104" s="334"/>
      <c r="E104" s="335"/>
      <c r="F104" s="335"/>
      <c r="G104" s="335"/>
      <c r="H104" s="335"/>
    </row>
    <row r="105" spans="2:8" hidden="1">
      <c r="B105" s="231" t="s">
        <v>98</v>
      </c>
      <c r="C105" s="231"/>
      <c r="D105" s="334"/>
      <c r="E105" s="334"/>
      <c r="F105" s="334"/>
      <c r="G105" s="334"/>
      <c r="H105" s="334"/>
    </row>
    <row r="106" spans="2:8" hidden="1">
      <c r="B106" s="231" t="s">
        <v>94</v>
      </c>
      <c r="C106" s="231"/>
      <c r="D106" s="336"/>
      <c r="E106" s="336"/>
      <c r="F106" s="336"/>
      <c r="G106" s="336"/>
      <c r="H106" s="336"/>
    </row>
    <row r="107" spans="2:8" hidden="1">
      <c r="B107" s="231" t="s">
        <v>95</v>
      </c>
      <c r="C107" s="231"/>
      <c r="D107" s="337"/>
      <c r="E107" s="337"/>
      <c r="F107" s="337"/>
      <c r="G107" s="337"/>
      <c r="H107" s="337"/>
    </row>
    <row r="108" spans="2:8" hidden="1">
      <c r="B108" s="231" t="s">
        <v>96</v>
      </c>
      <c r="C108" s="231"/>
      <c r="D108" s="337"/>
      <c r="E108" s="337"/>
      <c r="F108" s="337"/>
      <c r="G108" s="337"/>
      <c r="H108" s="337"/>
    </row>
    <row r="109" spans="2:8" hidden="1">
      <c r="B109" s="338" t="s">
        <v>99</v>
      </c>
      <c r="C109" s="339"/>
      <c r="D109" s="340"/>
      <c r="E109" s="341"/>
      <c r="F109" s="341"/>
      <c r="G109" s="341"/>
      <c r="H109" s="341"/>
    </row>
    <row r="110" spans="2:8" hidden="1">
      <c r="B110" s="231"/>
      <c r="C110" s="231"/>
      <c r="D110" s="231"/>
      <c r="E110" s="232"/>
      <c r="F110" s="232"/>
      <c r="G110" s="232"/>
      <c r="H110" s="232"/>
    </row>
    <row r="111" spans="2:8" hidden="1">
      <c r="B111" s="338" t="s">
        <v>100</v>
      </c>
      <c r="C111" s="339"/>
      <c r="D111" s="339"/>
      <c r="E111" s="341">
        <f t="shared" ref="E111:H111" si="11">E100+E109</f>
        <v>0</v>
      </c>
      <c r="F111" s="341">
        <f t="shared" si="11"/>
        <v>0</v>
      </c>
      <c r="G111" s="341">
        <f t="shared" si="11"/>
        <v>0</v>
      </c>
      <c r="H111" s="341">
        <f t="shared" si="11"/>
        <v>0</v>
      </c>
    </row>
    <row r="112" spans="2:8">
      <c r="B112" s="231"/>
      <c r="C112" s="231"/>
      <c r="D112" s="231"/>
      <c r="E112" s="232"/>
      <c r="F112" s="232"/>
      <c r="G112" s="232"/>
      <c r="H112" s="232"/>
    </row>
  </sheetData>
  <mergeCells count="1">
    <mergeCell ref="N4:O4"/>
  </mergeCells>
  <dataValidations count="2">
    <dataValidation type="list" allowBlank="1" showInputMessage="1" showErrorMessage="1" sqref="K13:L20 K26:L32" xr:uid="{8B77A3C5-8A3E-412D-92CA-75374E0CB835}">
      <formula1>$E$39:$H$39</formula1>
    </dataValidation>
    <dataValidation type="list" allowBlank="1" showInputMessage="1" showErrorMessage="1" sqref="K6:L6 K9:L12 K23:L25" xr:uid="{4F63BB48-AF1F-451C-AD7A-32EC4A81F4F7}">
      <formula1>$E$39:$M$39</formula1>
    </dataValidation>
  </dataValidations>
  <printOptions horizontalCentered="1"/>
  <pageMargins left="0.2" right="0.2" top="1" bottom="0.25" header="0.3" footer="0.3"/>
  <pageSetup scale="66" fitToHeight="0" orientation="landscape" r:id="rId1"/>
  <headerFooter>
    <oddHeader>&amp;L&amp;G&amp;C&amp;"Calibri,Regular"&amp;12 BUDGET&amp;R&amp;D</oddHeader>
  </headerFooter>
  <rowBreaks count="2" manualBreakCount="2">
    <brk id="33" max="16383" man="1"/>
    <brk id="73" max="16383" man="1"/>
  </rowBreaks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35"/>
  <sheetViews>
    <sheetView showGridLines="0" zoomScaleNormal="80" workbookViewId="0">
      <selection activeCell="H31" sqref="H31"/>
    </sheetView>
  </sheetViews>
  <sheetFormatPr baseColWidth="10" defaultColWidth="9.1640625" defaultRowHeight="13"/>
  <cols>
    <col min="1" max="1" width="12.1640625" style="108" bestFit="1" customWidth="1"/>
    <col min="2" max="2" width="9.83203125" style="108" bestFit="1" customWidth="1"/>
    <col min="3" max="3" width="9.1640625" style="108"/>
    <col min="4" max="4" width="10.83203125" style="108" customWidth="1"/>
    <col min="5" max="5" width="11.1640625" style="108" customWidth="1"/>
    <col min="6" max="6" width="12.83203125" style="108" customWidth="1"/>
    <col min="7" max="7" width="9.1640625" style="108"/>
    <col min="8" max="8" width="15.83203125" style="108" bestFit="1" customWidth="1"/>
    <col min="9" max="9" width="9.1640625" style="108"/>
    <col min="10" max="10" width="11.1640625" style="108" customWidth="1"/>
    <col min="11" max="11" width="35.83203125" style="108" bestFit="1" customWidth="1"/>
    <col min="12" max="16384" width="9.1640625" style="108"/>
  </cols>
  <sheetData>
    <row r="1" spans="1:11">
      <c r="A1" s="908" t="str">
        <f ca="1">+"RKW Residential "&amp;" // "&amp;Cover!A23&amp;" // "&amp;Cover!A19&amp;" // "&amp;MID(CELL("filename",A1),FIND("]",CELL("filename",A1))+1,255)</f>
        <v>RKW Residential  // Abraham Ng'hwani // NOVA RTP 2680 // GPR Worksheet</v>
      </c>
      <c r="B1" s="101"/>
      <c r="C1" s="101"/>
      <c r="D1" s="101"/>
      <c r="E1" s="101"/>
      <c r="F1" s="101"/>
      <c r="G1" s="101"/>
      <c r="H1" s="101"/>
    </row>
    <row r="2" spans="1:11">
      <c r="A2" s="483"/>
    </row>
    <row r="3" spans="1:11">
      <c r="A3" s="483"/>
      <c r="B3" s="1008" t="s">
        <v>32</v>
      </c>
      <c r="C3" s="1009" t="s">
        <v>26</v>
      </c>
      <c r="D3" s="1009" t="s">
        <v>494</v>
      </c>
      <c r="E3" s="1009" t="s">
        <v>1136</v>
      </c>
      <c r="F3" s="1009" t="s">
        <v>1137</v>
      </c>
      <c r="G3" s="1009" t="s">
        <v>1138</v>
      </c>
      <c r="H3" s="1010" t="s">
        <v>495</v>
      </c>
    </row>
    <row r="4" spans="1:11">
      <c r="A4" s="483"/>
      <c r="B4" s="131" t="s">
        <v>1139</v>
      </c>
      <c r="C4" s="111">
        <f t="shared" ref="C4:C9" si="0">+SUMIF($B$15:$B$20,B4,$C$15:$C$20)</f>
        <v>0</v>
      </c>
      <c r="D4" s="120" cm="1">
        <f t="array" ref="D4">+IFERROR(SUMPRODUCT(--($B$15:$B$20=$B4),$C$15:$C$20,$D$15:$D$20)/SUMIF($B$15:$B$20,$B4,$C$15:$C$20),0)</f>
        <v>0</v>
      </c>
      <c r="E4" s="1011">
        <f t="shared" ref="E4:E9" si="1">+IFERROR(C4/$C$10,"")</f>
        <v>0</v>
      </c>
      <c r="F4" s="1012" cm="1">
        <f t="array" ref="F4">+IFERROR(SUMPRODUCT(--($B$15:$B$20=$B4),$C$15:$C$20,$E$15:$E$20)/SUMIF($B$15:$B$20,$B4,$C$15:$C$20),0)</f>
        <v>0</v>
      </c>
      <c r="G4" s="1013">
        <f>IFERROR(F4/D4,0)</f>
        <v>0</v>
      </c>
      <c r="H4" s="1014">
        <f t="shared" ref="H4:H9" si="2">+SUMIF($B$15:$B$20,$B4,$H$15:$H$21)</f>
        <v>0</v>
      </c>
    </row>
    <row r="5" spans="1:11">
      <c r="A5" s="483"/>
      <c r="B5" s="131" t="s">
        <v>1140</v>
      </c>
      <c r="C5" s="111">
        <f t="shared" si="0"/>
        <v>24</v>
      </c>
      <c r="D5" s="120" cm="1">
        <f t="array" ref="D5">+IFERROR(SUMPRODUCT(--($B$15:$B$20=$B5),$C$15:$C$20,$D$15:$D$20)/SUMIF($B$15:$B$20,$B5,$C$15:$C$20),0)</f>
        <v>830</v>
      </c>
      <c r="E5" s="1011">
        <f t="shared" si="1"/>
        <v>0.28915662650602408</v>
      </c>
      <c r="F5" s="1012" cm="1">
        <f t="array" ref="F5">+IFERROR(SUMPRODUCT(--($B$15:$B$20=$B5),$C$15:$C$20,$E$15:$E$20)/SUMIF($B$15:$B$20,$B5,$C$15:$C$20),0)</f>
        <v>1569</v>
      </c>
      <c r="G5" s="1013">
        <f t="shared" ref="G5:G9" si="3">IFERROR(F5/D5,0)</f>
        <v>1.8903614457831326</v>
      </c>
      <c r="H5" s="1014">
        <f t="shared" si="2"/>
        <v>19920</v>
      </c>
    </row>
    <row r="6" spans="1:11">
      <c r="A6" s="483"/>
      <c r="B6" s="131" t="s">
        <v>1141</v>
      </c>
      <c r="C6" s="111">
        <f t="shared" si="0"/>
        <v>47</v>
      </c>
      <c r="D6" s="120" cm="1">
        <f t="array" ref="D6">+IFERROR(SUMPRODUCT(--($B$15:$B$21=$B6),$C$15:$C$21,$D$15:$D$21)/SUMIF($B$15:$B$21,$B6,$C$15:$C$21),0)</f>
        <v>1149.8297872340424</v>
      </c>
      <c r="E6" s="1011">
        <f t="shared" si="1"/>
        <v>0.5662650602409639</v>
      </c>
      <c r="F6" s="1012" cm="1">
        <f t="array" ref="F6">+IFERROR(SUMPRODUCT(--($B$15:$B$20=$B6),$C$15:$C$20,$E$15:$E$20)/SUMIF($B$15:$B$20,$B6,$C$15:$C$20),0)</f>
        <v>1845.3191489361702</v>
      </c>
      <c r="G6" s="1013">
        <f>IFERROR(F6/D6,0)</f>
        <v>1.6048628844232264</v>
      </c>
      <c r="H6" s="1014">
        <f t="shared" si="2"/>
        <v>54042</v>
      </c>
    </row>
    <row r="7" spans="1:11">
      <c r="A7" s="483"/>
      <c r="B7" s="131" t="s">
        <v>1158</v>
      </c>
      <c r="C7" s="111">
        <f t="shared" si="0"/>
        <v>12</v>
      </c>
      <c r="D7" s="120" cm="1">
        <f t="array" ref="D7">+IFERROR(SUMPRODUCT(--($B$15:$B$21=$B7),$C$15:$C$21,$D$15:$D$21)/SUMIF($B$15:$B$21,$B7,$C$15:$C$21),0)</f>
        <v>1341</v>
      </c>
      <c r="E7" s="1011">
        <f t="shared" si="1"/>
        <v>0.14457831325301204</v>
      </c>
      <c r="F7" s="1012" cm="1">
        <f t="array" ref="F7">+IFERROR(SUMPRODUCT(--($B$15:$B$20=$B7),$C$15:$C$20,$E$15:$E$20)/SUMIF($B$15:$B$20,$B7,$C$15:$C$20),0)</f>
        <v>2355</v>
      </c>
      <c r="G7" s="1013">
        <f t="shared" si="3"/>
        <v>1.7561521252796422</v>
      </c>
      <c r="H7" s="1014">
        <f t="shared" si="2"/>
        <v>16092</v>
      </c>
    </row>
    <row r="8" spans="1:11">
      <c r="A8" s="483"/>
      <c r="B8" s="131" t="s">
        <v>1142</v>
      </c>
      <c r="C8" s="111">
        <f t="shared" si="0"/>
        <v>0</v>
      </c>
      <c r="D8" s="120" cm="1">
        <f t="array" ref="D8">+IFERROR(SUMPRODUCT(--($B$15:$B$21=$B8),$C$15:$C$21,$D$15:$D$21)/SUMIF($B$15:$B$21,$B8,$C$15:$C$21),0)</f>
        <v>0</v>
      </c>
      <c r="E8" s="1011">
        <f t="shared" si="1"/>
        <v>0</v>
      </c>
      <c r="F8" s="1012" cm="1">
        <f t="array" ref="F8">+IFERROR(SUMPRODUCT(--($B$15:$B$20=$B8),$C$15:$C$20,$E$15:$E$20)/SUMIF($B$15:$B$20,$B8,$C$15:$C$20),0)</f>
        <v>0</v>
      </c>
      <c r="G8" s="1013">
        <f t="shared" si="3"/>
        <v>0</v>
      </c>
      <c r="H8" s="1014">
        <f t="shared" si="2"/>
        <v>0</v>
      </c>
    </row>
    <row r="9" spans="1:11">
      <c r="A9" s="483"/>
      <c r="B9" s="639" t="s">
        <v>1143</v>
      </c>
      <c r="C9" s="111">
        <f t="shared" si="0"/>
        <v>0</v>
      </c>
      <c r="D9" s="120" cm="1">
        <f t="array" ref="D9">+IFERROR(SUMPRODUCT(--($B$15:$B$21=$B9),$C$15:$C$21,$D$15:$D$21)/SUMIF($B$15:$B$21,$B9,$C$15:$C$21),0)</f>
        <v>0</v>
      </c>
      <c r="E9" s="1011">
        <f t="shared" si="1"/>
        <v>0</v>
      </c>
      <c r="F9" s="1012" cm="1">
        <f t="array" ref="F9">+IFERROR(SUMPRODUCT(--($B$15:$B$20=$B9),$C$15:$C$20,$E$15:$E$20)/SUMIF($B$15:$B$20,$B9,$C$15:$C$20),0)</f>
        <v>0</v>
      </c>
      <c r="G9" s="1013">
        <f t="shared" si="3"/>
        <v>0</v>
      </c>
      <c r="H9" s="1014">
        <f t="shared" si="2"/>
        <v>0</v>
      </c>
    </row>
    <row r="10" spans="1:11">
      <c r="A10" s="483"/>
      <c r="B10" s="1015" t="s">
        <v>1157</v>
      </c>
      <c r="C10" s="1016">
        <f>+SUM(C4:C9)</f>
        <v>83</v>
      </c>
      <c r="D10" s="1017">
        <f>+IFERROR(H10/C10,0)</f>
        <v>1084.9879518072289</v>
      </c>
      <c r="E10" s="1018"/>
      <c r="F10" s="1019">
        <f>IFERROR(SUMPRODUCT($C$4:$C$9,$F$4:$F$9)/C10,0)</f>
        <v>1839.1084337349398</v>
      </c>
      <c r="G10" s="1020">
        <f>+IFERROR(F10/D10,"")</f>
        <v>1.695049636884536</v>
      </c>
      <c r="H10" s="1021">
        <f>SUM(H4:H9)</f>
        <v>90054</v>
      </c>
    </row>
    <row r="11" spans="1:11">
      <c r="A11" s="483"/>
    </row>
    <row r="13" spans="1:11">
      <c r="F13" s="494"/>
      <c r="H13" s="128"/>
    </row>
    <row r="14" spans="1:11" ht="34.5" customHeight="1">
      <c r="B14" s="1008" t="s">
        <v>32</v>
      </c>
      <c r="C14" s="1009" t="s">
        <v>26</v>
      </c>
      <c r="D14" s="1022" t="s">
        <v>494</v>
      </c>
      <c r="E14" s="1009" t="s">
        <v>33</v>
      </c>
      <c r="F14" s="1023" t="s">
        <v>27</v>
      </c>
      <c r="G14" s="1024" t="s">
        <v>31</v>
      </c>
      <c r="H14" s="1025" t="s">
        <v>495</v>
      </c>
      <c r="I14" s="495"/>
    </row>
    <row r="15" spans="1:11">
      <c r="B15" s="496" t="s">
        <v>1140</v>
      </c>
      <c r="C15" s="496">
        <v>12</v>
      </c>
      <c r="D15" s="496">
        <v>757</v>
      </c>
      <c r="E15" s="497">
        <v>1555</v>
      </c>
      <c r="F15" s="498">
        <f>C15*E15</f>
        <v>18660</v>
      </c>
      <c r="G15" s="499">
        <f>IFERROR(SUM(E15/D15),"-")</f>
        <v>2.0541611624834872</v>
      </c>
      <c r="H15" s="500">
        <f t="shared" ref="H15:H20" si="4">C15*D15</f>
        <v>9084</v>
      </c>
      <c r="I15" s="462"/>
      <c r="J15" s="462"/>
      <c r="K15" s="482"/>
    </row>
    <row r="16" spans="1:11">
      <c r="B16" s="496" t="s">
        <v>1140</v>
      </c>
      <c r="C16" s="496">
        <v>12</v>
      </c>
      <c r="D16" s="496">
        <v>903</v>
      </c>
      <c r="E16" s="497">
        <v>1583</v>
      </c>
      <c r="F16" s="498">
        <f t="shared" ref="F16:F20" si="5">C16*E16</f>
        <v>18996</v>
      </c>
      <c r="G16" s="499">
        <f t="shared" ref="G16:G20" si="6">IFERROR(SUM(E16/D16),"-")</f>
        <v>1.7530454042081949</v>
      </c>
      <c r="H16" s="500">
        <f t="shared" si="4"/>
        <v>10836</v>
      </c>
      <c r="I16" s="495"/>
      <c r="K16" s="495"/>
    </row>
    <row r="17" spans="1:11">
      <c r="B17" s="496" t="s">
        <v>1141</v>
      </c>
      <c r="C17" s="496">
        <v>12</v>
      </c>
      <c r="D17" s="496">
        <v>1094</v>
      </c>
      <c r="E17" s="497">
        <v>1755</v>
      </c>
      <c r="F17" s="498">
        <f t="shared" si="5"/>
        <v>21060</v>
      </c>
      <c r="G17" s="499">
        <f t="shared" si="6"/>
        <v>1.6042047531992687</v>
      </c>
      <c r="H17" s="500">
        <f t="shared" si="4"/>
        <v>13128</v>
      </c>
      <c r="I17" s="495"/>
      <c r="K17" s="495"/>
    </row>
    <row r="18" spans="1:11">
      <c r="B18" s="496" t="s">
        <v>1141</v>
      </c>
      <c r="C18" s="496">
        <v>23</v>
      </c>
      <c r="D18" s="496">
        <v>1170</v>
      </c>
      <c r="E18" s="497">
        <v>1890</v>
      </c>
      <c r="F18" s="498">
        <f t="shared" si="5"/>
        <v>43470</v>
      </c>
      <c r="G18" s="499">
        <f t="shared" si="6"/>
        <v>1.6153846153846154</v>
      </c>
      <c r="H18" s="500">
        <f t="shared" si="4"/>
        <v>26910</v>
      </c>
      <c r="I18" s="495"/>
      <c r="K18" s="495"/>
    </row>
    <row r="19" spans="1:11">
      <c r="B19" s="496" t="s">
        <v>1141</v>
      </c>
      <c r="C19" s="496">
        <v>12</v>
      </c>
      <c r="D19" s="496">
        <v>1167</v>
      </c>
      <c r="E19" s="497">
        <v>1850</v>
      </c>
      <c r="F19" s="498">
        <f t="shared" si="5"/>
        <v>22200</v>
      </c>
      <c r="G19" s="499">
        <f t="shared" si="6"/>
        <v>1.585261353898886</v>
      </c>
      <c r="H19" s="500">
        <f t="shared" si="4"/>
        <v>14004</v>
      </c>
      <c r="I19" s="495"/>
      <c r="K19" s="495"/>
    </row>
    <row r="20" spans="1:11" ht="14" thickBot="1">
      <c r="B20" s="496" t="s">
        <v>1158</v>
      </c>
      <c r="C20" s="496">
        <v>12</v>
      </c>
      <c r="D20" s="496">
        <v>1341</v>
      </c>
      <c r="E20" s="497">
        <v>2355</v>
      </c>
      <c r="F20" s="498">
        <f t="shared" si="5"/>
        <v>28260</v>
      </c>
      <c r="G20" s="499">
        <f t="shared" si="6"/>
        <v>1.7561521252796422</v>
      </c>
      <c r="H20" s="500">
        <f t="shared" si="4"/>
        <v>16092</v>
      </c>
      <c r="I20" s="495"/>
      <c r="K20" s="495"/>
    </row>
    <row r="21" spans="1:11" ht="14" hidden="1" thickBot="1">
      <c r="B21" s="496"/>
      <c r="C21" s="496"/>
      <c r="D21" s="496"/>
      <c r="E21" s="501"/>
      <c r="F21" s="502"/>
      <c r="G21" s="503"/>
      <c r="H21" s="504"/>
    </row>
    <row r="22" spans="1:11">
      <c r="B22" s="505" t="s">
        <v>219</v>
      </c>
      <c r="C22" s="506">
        <f>SUM(C15:C21)</f>
        <v>83</v>
      </c>
      <c r="D22" s="506">
        <f>IFERROR(SUM(H22/C22),0)</f>
        <v>1084.9879518072289</v>
      </c>
      <c r="E22" s="1006">
        <f>+IFERROR(F22/C22,0)</f>
        <v>1839.1084337349398</v>
      </c>
      <c r="F22" s="507">
        <f>SUM(F15:F21)</f>
        <v>152646</v>
      </c>
      <c r="G22" s="508">
        <f>IFERROR(SUM(F22/H22),0)</f>
        <v>1.695049636884536</v>
      </c>
      <c r="H22" s="509">
        <f>SUM(H15:H21)</f>
        <v>90054</v>
      </c>
    </row>
    <row r="23" spans="1:11">
      <c r="F23" s="494"/>
      <c r="H23" s="128"/>
    </row>
    <row r="24" spans="1:11">
      <c r="A24" s="510"/>
      <c r="F24" s="327"/>
      <c r="H24" s="128"/>
    </row>
    <row r="25" spans="1:11">
      <c r="F25" s="327"/>
      <c r="H25" s="128"/>
    </row>
    <row r="26" spans="1:11">
      <c r="F26" s="327"/>
      <c r="H26" s="128"/>
    </row>
    <row r="34" spans="5:5">
      <c r="E34" s="462"/>
    </row>
    <row r="35" spans="5:5">
      <c r="E35" s="462"/>
    </row>
  </sheetData>
  <sortState xmlns:xlrd2="http://schemas.microsoft.com/office/spreadsheetml/2017/richdata2" ref="B15:E20">
    <sortCondition ref="D15:D20"/>
  </sortState>
  <pageMargins left="0.7" right="0.7" top="0.75" bottom="0.75" header="0.3" footer="0.3"/>
  <pageSetup scale="74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N379"/>
  <sheetViews>
    <sheetView showGridLines="0" zoomScale="80" zoomScaleNormal="80" zoomScaleSheetLayoutView="80" workbookViewId="0">
      <selection activeCell="D53" sqref="D53"/>
    </sheetView>
  </sheetViews>
  <sheetFormatPr baseColWidth="10" defaultColWidth="9.1640625" defaultRowHeight="13" outlineLevelRow="1" outlineLevelCol="1"/>
  <cols>
    <col min="1" max="1" width="14.5" style="2" customWidth="1"/>
    <col min="2" max="3" width="27" style="2" customWidth="1"/>
    <col min="4" max="4" width="13.83203125" style="2" customWidth="1"/>
    <col min="5" max="5" width="8.5" style="2" customWidth="1"/>
    <col min="6" max="13" width="12" style="2" customWidth="1" outlineLevel="1"/>
    <col min="14" max="14" width="12.83203125" style="2" customWidth="1" outlineLevel="1"/>
    <col min="15" max="17" width="12" style="2" customWidth="1" outlineLevel="1"/>
    <col min="18" max="18" width="13.33203125" style="2" customWidth="1"/>
    <col min="19" max="19" width="3.83203125" style="2" customWidth="1"/>
    <col min="20" max="20" width="63.5" style="2" customWidth="1"/>
    <col min="21" max="21" width="17.83203125" style="2" customWidth="1"/>
    <col min="22" max="22" width="9.1640625" style="2" customWidth="1"/>
    <col min="23" max="23" width="14.6640625" style="2" customWidth="1"/>
    <col min="24" max="24" width="13.83203125" style="2" customWidth="1"/>
    <col min="25" max="16384" width="9.1640625" style="2"/>
  </cols>
  <sheetData>
    <row r="1" spans="1:66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Operating Budget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3" spans="1:66" ht="14" thickBot="1">
      <c r="A3" s="420"/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20"/>
      <c r="P3" s="420"/>
      <c r="Q3" s="420"/>
      <c r="R3" s="420"/>
    </row>
    <row r="4" spans="1:66" s="108" customFormat="1" ht="28">
      <c r="A4" s="421" t="s">
        <v>206</v>
      </c>
      <c r="B4" s="422" t="s">
        <v>0</v>
      </c>
      <c r="C4" s="422"/>
      <c r="D4" s="423" t="s">
        <v>20</v>
      </c>
      <c r="E4" s="424"/>
      <c r="F4" s="425">
        <f>+Summary!C5</f>
        <v>45901</v>
      </c>
      <c r="G4" s="425">
        <f>EOMONTH(F4,1)</f>
        <v>45961</v>
      </c>
      <c r="H4" s="425">
        <f t="shared" ref="H4:Q4" si="0">EOMONTH(G4,1)</f>
        <v>45991</v>
      </c>
      <c r="I4" s="425">
        <f t="shared" si="0"/>
        <v>46022</v>
      </c>
      <c r="J4" s="425">
        <f t="shared" si="0"/>
        <v>46053</v>
      </c>
      <c r="K4" s="425">
        <f t="shared" si="0"/>
        <v>46081</v>
      </c>
      <c r="L4" s="425">
        <f t="shared" si="0"/>
        <v>46112</v>
      </c>
      <c r="M4" s="425">
        <f t="shared" si="0"/>
        <v>46142</v>
      </c>
      <c r="N4" s="425">
        <f t="shared" si="0"/>
        <v>46173</v>
      </c>
      <c r="O4" s="425">
        <f t="shared" si="0"/>
        <v>46203</v>
      </c>
      <c r="P4" s="425">
        <f t="shared" si="0"/>
        <v>46234</v>
      </c>
      <c r="Q4" s="425">
        <f t="shared" si="0"/>
        <v>46265</v>
      </c>
      <c r="R4" s="423" t="s">
        <v>516</v>
      </c>
      <c r="S4" s="2"/>
      <c r="T4" s="426"/>
      <c r="U4" s="426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4"/>
      <c r="BI4" s="4"/>
      <c r="BJ4" s="4"/>
      <c r="BK4" s="4"/>
      <c r="BL4" s="4"/>
      <c r="BM4" s="4"/>
      <c r="BN4" s="4"/>
    </row>
    <row r="5" spans="1:66" s="108" customFormat="1">
      <c r="A5" s="2"/>
      <c r="B5" s="427"/>
      <c r="C5" s="427"/>
      <c r="D5" s="428"/>
      <c r="E5" s="42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60"/>
      <c r="S5" s="2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</row>
    <row r="6" spans="1:66" s="108" customFormat="1">
      <c r="A6" s="2"/>
      <c r="B6" s="427"/>
      <c r="C6" s="427"/>
      <c r="D6" s="60"/>
      <c r="E6" s="427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60"/>
      <c r="S6" s="2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</row>
    <row r="7" spans="1:66" s="108" customFormat="1">
      <c r="A7" s="319">
        <f>INDEX(QS_Chart_Of_Accounts_Upload!$C:$O,MATCH(B7,QS_Chart_Of_Accounts_Upload!$E:$E,0),MATCH("ACCT_NO",QS_Chart_Of_Accounts_Upload!$C$1:$O$1,0))</f>
        <v>4010</v>
      </c>
      <c r="B7" s="430" t="s">
        <v>70</v>
      </c>
      <c r="C7" s="430"/>
      <c r="D7" s="431">
        <f t="shared" ref="D7:D16" si="1">+SUBTOTAL(9,F7:R7)</f>
        <v>1831752</v>
      </c>
      <c r="E7" s="430"/>
      <c r="F7" s="432">
        <f>+'Revenue Worksheet'!D24</f>
        <v>152646</v>
      </c>
      <c r="G7" s="432">
        <f>+'Revenue Worksheet'!E24</f>
        <v>152646</v>
      </c>
      <c r="H7" s="432">
        <f>+'Revenue Worksheet'!F24</f>
        <v>152646</v>
      </c>
      <c r="I7" s="432">
        <f>+'Revenue Worksheet'!G24</f>
        <v>152646</v>
      </c>
      <c r="J7" s="432">
        <f>+'Revenue Worksheet'!H24</f>
        <v>152646</v>
      </c>
      <c r="K7" s="432">
        <f>+'Revenue Worksheet'!I24</f>
        <v>152646</v>
      </c>
      <c r="L7" s="432">
        <f>+'Revenue Worksheet'!J24</f>
        <v>152646</v>
      </c>
      <c r="M7" s="432">
        <f>+'Revenue Worksheet'!K24</f>
        <v>152646</v>
      </c>
      <c r="N7" s="432">
        <f>+'Revenue Worksheet'!L24</f>
        <v>152646</v>
      </c>
      <c r="O7" s="432">
        <f>+'Revenue Worksheet'!M24</f>
        <v>152646</v>
      </c>
      <c r="P7" s="432">
        <f>+'Revenue Worksheet'!N24</f>
        <v>152646</v>
      </c>
      <c r="Q7" s="432">
        <f>+'Revenue Worksheet'!O24</f>
        <v>152646</v>
      </c>
      <c r="R7" s="431">
        <f t="shared" ref="R7:R16" si="2">+SUBTOTAL(9,F7:Q7)</f>
        <v>1831752</v>
      </c>
      <c r="S7" s="2"/>
      <c r="T7" s="2"/>
      <c r="U7" s="2"/>
      <c r="V7" s="2"/>
      <c r="W7" s="61"/>
      <c r="X7" s="61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</row>
    <row r="8" spans="1:66" s="108" customFormat="1">
      <c r="A8" s="319">
        <v>4010</v>
      </c>
      <c r="B8" s="430" t="s">
        <v>39</v>
      </c>
      <c r="C8" s="430"/>
      <c r="D8" s="431">
        <f t="shared" si="1"/>
        <v>0</v>
      </c>
      <c r="E8" s="430"/>
      <c r="F8" s="432">
        <f>+'Revenue Worksheet'!D25</f>
        <v>0</v>
      </c>
      <c r="G8" s="432">
        <f>+'Revenue Worksheet'!E25</f>
        <v>0</v>
      </c>
      <c r="H8" s="432">
        <f>+'Revenue Worksheet'!F25</f>
        <v>0</v>
      </c>
      <c r="I8" s="432">
        <f>+'Revenue Worksheet'!G25</f>
        <v>0</v>
      </c>
      <c r="J8" s="432">
        <f>+'Revenue Worksheet'!H25</f>
        <v>0</v>
      </c>
      <c r="K8" s="432">
        <f>+'Revenue Worksheet'!I25</f>
        <v>0</v>
      </c>
      <c r="L8" s="432">
        <f>+'Revenue Worksheet'!J25</f>
        <v>0</v>
      </c>
      <c r="M8" s="432">
        <f>+'Revenue Worksheet'!K25</f>
        <v>0</v>
      </c>
      <c r="N8" s="432">
        <f>+'Revenue Worksheet'!L25</f>
        <v>0</v>
      </c>
      <c r="O8" s="432">
        <f>+'Revenue Worksheet'!M25</f>
        <v>0</v>
      </c>
      <c r="P8" s="432">
        <f>+'Revenue Worksheet'!N25</f>
        <v>0</v>
      </c>
      <c r="Q8" s="432">
        <f>+'Revenue Worksheet'!O25</f>
        <v>0</v>
      </c>
      <c r="R8" s="431">
        <f t="shared" si="2"/>
        <v>0</v>
      </c>
      <c r="S8" s="2"/>
      <c r="T8" s="2"/>
      <c r="U8" s="2"/>
      <c r="V8" s="1029"/>
      <c r="W8" s="61"/>
      <c r="X8" s="61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</row>
    <row r="9" spans="1:66" s="108" customFormat="1">
      <c r="A9" s="319">
        <f>INDEX(QS_Chart_Of_Accounts_Upload!$C:$O,MATCH(B9,QS_Chart_Of_Accounts_Upload!$E:$E,0),MATCH("ACCT_NO",QS_Chart_Of_Accounts_Upload!$C$1:$O$1,0))</f>
        <v>4410</v>
      </c>
      <c r="B9" s="433" t="str">
        <f>'Revenue Worksheet'!B38</f>
        <v>Gain/Loss to Lease in Force</v>
      </c>
      <c r="C9" s="433"/>
      <c r="D9" s="431">
        <f t="shared" si="1"/>
        <v>0</v>
      </c>
      <c r="E9" s="433"/>
      <c r="F9" s="432">
        <f>'Revenue Worksheet'!D38</f>
        <v>0</v>
      </c>
      <c r="G9" s="432">
        <f>'Revenue Worksheet'!E38</f>
        <v>0</v>
      </c>
      <c r="H9" s="432">
        <f>'Revenue Worksheet'!F38</f>
        <v>0</v>
      </c>
      <c r="I9" s="432">
        <f>'Revenue Worksheet'!G38</f>
        <v>0</v>
      </c>
      <c r="J9" s="432">
        <f>'Revenue Worksheet'!H38</f>
        <v>0</v>
      </c>
      <c r="K9" s="432">
        <f>'Revenue Worksheet'!I38</f>
        <v>0</v>
      </c>
      <c r="L9" s="432">
        <f>'Revenue Worksheet'!J38</f>
        <v>0</v>
      </c>
      <c r="M9" s="432">
        <f>'Revenue Worksheet'!K38</f>
        <v>0</v>
      </c>
      <c r="N9" s="432">
        <f>'Revenue Worksheet'!L38</f>
        <v>0</v>
      </c>
      <c r="O9" s="432">
        <f>'Revenue Worksheet'!M38</f>
        <v>0</v>
      </c>
      <c r="P9" s="432">
        <f>'Revenue Worksheet'!N38</f>
        <v>0</v>
      </c>
      <c r="Q9" s="432">
        <f>'Revenue Worksheet'!O38</f>
        <v>0</v>
      </c>
      <c r="R9" s="431">
        <f t="shared" si="2"/>
        <v>0</v>
      </c>
      <c r="S9" s="2"/>
      <c r="T9" s="2"/>
      <c r="U9" s="2"/>
      <c r="V9" s="2"/>
      <c r="W9" s="2"/>
      <c r="X9" s="61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 s="108" customFormat="1">
      <c r="A10" s="319">
        <f>INDEX(QS_Chart_Of_Accounts_Upload!$C:$O,MATCH(B10,QS_Chart_Of_Accounts_Upload!$E:$E,0),MATCH("ACCT_NO",QS_Chart_Of_Accounts_Upload!$C$1:$O$1,0))</f>
        <v>4400</v>
      </c>
      <c r="B10" s="430" t="s">
        <v>237</v>
      </c>
      <c r="C10" s="430"/>
      <c r="D10" s="431">
        <f t="shared" si="1"/>
        <v>-5544.911927710843</v>
      </c>
      <c r="E10" s="430"/>
      <c r="F10" s="432">
        <f>'Revenue Worksheet'!D59</f>
        <v>0</v>
      </c>
      <c r="G10" s="432">
        <f>'Revenue Worksheet'!E59</f>
        <v>0</v>
      </c>
      <c r="H10" s="432">
        <f>'Revenue Worksheet'!F59</f>
        <v>0</v>
      </c>
      <c r="I10" s="432">
        <f>'Revenue Worksheet'!G59</f>
        <v>0</v>
      </c>
      <c r="J10" s="432">
        <f>'Revenue Worksheet'!H59</f>
        <v>-395.40831325301201</v>
      </c>
      <c r="K10" s="432">
        <f>'Revenue Worksheet'!I59</f>
        <v>-625.29686746987954</v>
      </c>
      <c r="L10" s="432">
        <f>'Revenue Worksheet'!J59</f>
        <v>-754.03445783132531</v>
      </c>
      <c r="M10" s="432">
        <f>'Revenue Worksheet'!K59</f>
        <v>-754.03445783132531</v>
      </c>
      <c r="N10" s="432">
        <f>'Revenue Worksheet'!L59</f>
        <v>-754.03445783132531</v>
      </c>
      <c r="O10" s="432">
        <f>'Revenue Worksheet'!M59</f>
        <v>-754.03445783132531</v>
      </c>
      <c r="P10" s="432">
        <f>'Revenue Worksheet'!N59</f>
        <v>-754.03445783132531</v>
      </c>
      <c r="Q10" s="432">
        <f>'Revenue Worksheet'!O59</f>
        <v>-754.03445783132531</v>
      </c>
      <c r="R10" s="431">
        <f t="shared" si="2"/>
        <v>-5544.911927710843</v>
      </c>
      <c r="S10" s="2"/>
      <c r="T10" s="2"/>
      <c r="U10" s="2"/>
      <c r="V10" s="2"/>
      <c r="W10" s="2"/>
      <c r="X10" s="6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 s="108" customFormat="1">
      <c r="A11" s="319">
        <f>INDEX(QS_Chart_Of_Accounts_Upload!$C:$O,MATCH(B11,QS_Chart_Of_Accounts_Upload!$E:$E,0),MATCH("ACCT_NO",QS_Chart_Of_Accounts_Upload!$C$1:$O$1,0))</f>
        <v>4405</v>
      </c>
      <c r="B11" s="430" t="s">
        <v>238</v>
      </c>
      <c r="C11" s="430"/>
      <c r="D11" s="431">
        <f t="shared" si="1"/>
        <v>1386.2279819277107</v>
      </c>
      <c r="E11" s="430"/>
      <c r="F11" s="432">
        <f>'Revenue Worksheet'!D60</f>
        <v>0</v>
      </c>
      <c r="G11" s="432">
        <f>'Revenue Worksheet'!E60</f>
        <v>0</v>
      </c>
      <c r="H11" s="432">
        <f>'Revenue Worksheet'!F60</f>
        <v>0</v>
      </c>
      <c r="I11" s="432">
        <f>'Revenue Worksheet'!G60</f>
        <v>0</v>
      </c>
      <c r="J11" s="432">
        <f>'Revenue Worksheet'!H60</f>
        <v>98.852078313253003</v>
      </c>
      <c r="K11" s="432">
        <f>'Revenue Worksheet'!I60</f>
        <v>156.32421686746989</v>
      </c>
      <c r="L11" s="432">
        <f>'Revenue Worksheet'!J60</f>
        <v>188.50861445783133</v>
      </c>
      <c r="M11" s="432">
        <f>'Revenue Worksheet'!K60</f>
        <v>188.50861445783133</v>
      </c>
      <c r="N11" s="432">
        <f>'Revenue Worksheet'!L60</f>
        <v>188.50861445783133</v>
      </c>
      <c r="O11" s="432">
        <f>'Revenue Worksheet'!M60</f>
        <v>188.50861445783133</v>
      </c>
      <c r="P11" s="432">
        <f>'Revenue Worksheet'!N60</f>
        <v>188.50861445783133</v>
      </c>
      <c r="Q11" s="432">
        <f>'Revenue Worksheet'!O60</f>
        <v>188.50861445783133</v>
      </c>
      <c r="R11" s="431">
        <f t="shared" si="2"/>
        <v>1386.2279819277107</v>
      </c>
      <c r="S11" s="2"/>
      <c r="T11" s="2"/>
      <c r="U11" s="2"/>
      <c r="V11" s="2"/>
      <c r="W11" s="2"/>
      <c r="X11" s="6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 s="108" customFormat="1">
      <c r="A12" s="319">
        <f>INDEX(QS_Chart_Of_Accounts_Upload!$C:$O,MATCH(B12,QS_Chart_Of_Accounts_Upload!$E:$E,0),MATCH("ACCT_NO",QS_Chart_Of_Accounts_Upload!$C$1:$O$1,0))</f>
        <v>4515</v>
      </c>
      <c r="B12" s="430" t="s">
        <v>241</v>
      </c>
      <c r="C12" s="430"/>
      <c r="D12" s="431">
        <f t="shared" si="1"/>
        <v>0</v>
      </c>
      <c r="E12" s="430"/>
      <c r="F12" s="432">
        <f>'Revenue Worksheet'!D56</f>
        <v>0</v>
      </c>
      <c r="G12" s="432">
        <f>'Revenue Worksheet'!E56</f>
        <v>0</v>
      </c>
      <c r="H12" s="432">
        <f>'Revenue Worksheet'!F56</f>
        <v>0</v>
      </c>
      <c r="I12" s="432">
        <f>'Revenue Worksheet'!G56</f>
        <v>0</v>
      </c>
      <c r="J12" s="432">
        <f>'Revenue Worksheet'!H56</f>
        <v>0</v>
      </c>
      <c r="K12" s="432">
        <f>'Revenue Worksheet'!I56</f>
        <v>0</v>
      </c>
      <c r="L12" s="432">
        <f>'Revenue Worksheet'!J56</f>
        <v>0</v>
      </c>
      <c r="M12" s="432">
        <f>'Revenue Worksheet'!K56</f>
        <v>0</v>
      </c>
      <c r="N12" s="432">
        <f>'Revenue Worksheet'!L56</f>
        <v>0</v>
      </c>
      <c r="O12" s="432">
        <f>'Revenue Worksheet'!M56</f>
        <v>0</v>
      </c>
      <c r="P12" s="432">
        <f>'Revenue Worksheet'!N56</f>
        <v>0</v>
      </c>
      <c r="Q12" s="432">
        <f>'Revenue Worksheet'!O56</f>
        <v>0</v>
      </c>
      <c r="R12" s="431">
        <f t="shared" si="2"/>
        <v>0</v>
      </c>
      <c r="S12" s="2"/>
      <c r="T12" s="2"/>
      <c r="U12" s="2"/>
      <c r="V12" s="2"/>
      <c r="W12" s="2"/>
      <c r="X12" s="6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 s="108" customFormat="1">
      <c r="A13" s="319">
        <f>INDEX(QS_Chart_Of_Accounts_Upload!$C:$O,MATCH(B13,QS_Chart_Of_Accounts_Upload!$E:$E,0),MATCH("ACCT_NO",QS_Chart_Of_Accounts_Upload!$C$1:$O$1,0))</f>
        <v>4525</v>
      </c>
      <c r="B13" s="430" t="s">
        <v>243</v>
      </c>
      <c r="C13" s="430"/>
      <c r="D13" s="431">
        <f t="shared" si="1"/>
        <v>0</v>
      </c>
      <c r="E13" s="430"/>
      <c r="F13" s="432">
        <f>'Revenue Worksheet'!D55</f>
        <v>0</v>
      </c>
      <c r="G13" s="432">
        <f>'Revenue Worksheet'!E55</f>
        <v>0</v>
      </c>
      <c r="H13" s="432">
        <f>'Revenue Worksheet'!F55</f>
        <v>0</v>
      </c>
      <c r="I13" s="432">
        <f>'Revenue Worksheet'!G55</f>
        <v>0</v>
      </c>
      <c r="J13" s="432">
        <f>'Revenue Worksheet'!H55</f>
        <v>0</v>
      </c>
      <c r="K13" s="432">
        <f>'Revenue Worksheet'!I55</f>
        <v>0</v>
      </c>
      <c r="L13" s="432">
        <f>'Revenue Worksheet'!J55</f>
        <v>0</v>
      </c>
      <c r="M13" s="432">
        <f>'Revenue Worksheet'!K55</f>
        <v>0</v>
      </c>
      <c r="N13" s="432">
        <f>'Revenue Worksheet'!L55</f>
        <v>0</v>
      </c>
      <c r="O13" s="432">
        <f>'Revenue Worksheet'!M55</f>
        <v>0</v>
      </c>
      <c r="P13" s="432">
        <f>'Revenue Worksheet'!N55</f>
        <v>0</v>
      </c>
      <c r="Q13" s="432">
        <f>'Revenue Worksheet'!O55</f>
        <v>0</v>
      </c>
      <c r="R13" s="431">
        <f t="shared" si="2"/>
        <v>0</v>
      </c>
      <c r="S13" s="2"/>
      <c r="T13" s="2"/>
      <c r="U13" s="2"/>
      <c r="V13" s="2"/>
      <c r="W13" s="2"/>
      <c r="X13" s="6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 s="108" customFormat="1">
      <c r="A14" s="319">
        <f>INDEX(QS_Chart_Of_Accounts_Upload!$C:$O,MATCH(B14,QS_Chart_Of_Accounts_Upload!$E:$E,0),MATCH("ACCT_NO",QS_Chart_Of_Accounts_Upload!$C$1:$O$1,0))</f>
        <v>4510</v>
      </c>
      <c r="B14" s="430" t="s">
        <v>47</v>
      </c>
      <c r="C14" s="430"/>
      <c r="D14" s="431">
        <f t="shared" si="1"/>
        <v>-559088.96385542199</v>
      </c>
      <c r="E14" s="430"/>
      <c r="F14" s="432">
        <f>'Revenue Worksheet'!D54</f>
        <v>-115863.8313253012</v>
      </c>
      <c r="G14" s="432">
        <f>'Revenue Worksheet'!E54</f>
        <v>-110346.50602409638</v>
      </c>
      <c r="H14" s="432">
        <f>'Revenue Worksheet'!F54</f>
        <v>-110346.50602409638</v>
      </c>
      <c r="I14" s="432">
        <f>'Revenue Worksheet'!G54</f>
        <v>-110346.50602409638</v>
      </c>
      <c r="J14" s="432">
        <f>'Revenue Worksheet'!H54</f>
        <v>-73564.337349397596</v>
      </c>
      <c r="K14" s="432">
        <f>'Revenue Worksheet'!I54</f>
        <v>-27586.626506024102</v>
      </c>
      <c r="L14" s="432">
        <f>'Revenue Worksheet'!J54</f>
        <v>-1839.1084337349457</v>
      </c>
      <c r="M14" s="432">
        <f>'Revenue Worksheet'!K54</f>
        <v>-1839.1084337349457</v>
      </c>
      <c r="N14" s="432">
        <f>'Revenue Worksheet'!L54</f>
        <v>-1839.1084337349457</v>
      </c>
      <c r="O14" s="432">
        <f>'Revenue Worksheet'!M54</f>
        <v>-1839.1084337349457</v>
      </c>
      <c r="P14" s="432">
        <f>'Revenue Worksheet'!N54</f>
        <v>-1839.1084337349457</v>
      </c>
      <c r="Q14" s="432">
        <f>'Revenue Worksheet'!O54</f>
        <v>-1839.1084337349457</v>
      </c>
      <c r="R14" s="431">
        <f t="shared" si="2"/>
        <v>-559088.96385542199</v>
      </c>
      <c r="S14" s="2"/>
      <c r="T14" s="434"/>
      <c r="U14" s="2"/>
      <c r="V14" s="2"/>
      <c r="W14" s="2"/>
      <c r="X14" s="61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 s="108" customFormat="1">
      <c r="A15" s="319">
        <f>INDEX(QS_Chart_Of_Accounts_Upload!$C:$O,MATCH(B15,QS_Chart_Of_Accounts_Upload!$E:$E,0),MATCH("ACCT_NO",QS_Chart_Of_Accounts_Upload!$C$1:$O$1,0))</f>
        <v>4540</v>
      </c>
      <c r="B15" s="430" t="s">
        <v>245</v>
      </c>
      <c r="C15" s="430"/>
      <c r="D15" s="431">
        <f t="shared" si="1"/>
        <v>0</v>
      </c>
      <c r="E15" s="430"/>
      <c r="F15" s="432">
        <f>'Revenue Worksheet'!D52</f>
        <v>0</v>
      </c>
      <c r="G15" s="432">
        <f>'Revenue Worksheet'!E52</f>
        <v>0</v>
      </c>
      <c r="H15" s="432">
        <f>'Revenue Worksheet'!F52</f>
        <v>0</v>
      </c>
      <c r="I15" s="432">
        <f>'Revenue Worksheet'!G52</f>
        <v>0</v>
      </c>
      <c r="J15" s="432">
        <f>'Revenue Worksheet'!H52</f>
        <v>0</v>
      </c>
      <c r="K15" s="432">
        <f>'Revenue Worksheet'!I52</f>
        <v>0</v>
      </c>
      <c r="L15" s="432">
        <f>'Revenue Worksheet'!J52</f>
        <v>0</v>
      </c>
      <c r="M15" s="432">
        <f>'Revenue Worksheet'!K52</f>
        <v>0</v>
      </c>
      <c r="N15" s="432">
        <f>'Revenue Worksheet'!L52</f>
        <v>0</v>
      </c>
      <c r="O15" s="432">
        <f>'Revenue Worksheet'!M52</f>
        <v>0</v>
      </c>
      <c r="P15" s="432">
        <f>'Revenue Worksheet'!N52</f>
        <v>0</v>
      </c>
      <c r="Q15" s="432">
        <f>'Revenue Worksheet'!O52</f>
        <v>0</v>
      </c>
      <c r="R15" s="431">
        <f t="shared" si="2"/>
        <v>0</v>
      </c>
      <c r="S15" s="2"/>
      <c r="T15" s="2"/>
      <c r="U15" s="2"/>
      <c r="V15" s="2"/>
      <c r="W15" s="2"/>
      <c r="X15" s="61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 s="108" customFormat="1">
      <c r="A16" s="319">
        <f>INDEX(QS_Chart_Of_Accounts_Upload!$C:$O,MATCH(B16,QS_Chart_Of_Accounts_Upload!$E:$E,0),MATCH("ACCT_NO",QS_Chart_Of_Accounts_Upload!$C$1:$O$1,0))</f>
        <v>4011</v>
      </c>
      <c r="B16" s="430" t="s">
        <v>233</v>
      </c>
      <c r="C16" s="430"/>
      <c r="D16" s="435">
        <f t="shared" si="1"/>
        <v>0</v>
      </c>
      <c r="E16" s="430"/>
      <c r="F16" s="436">
        <f>'Revenue Worksheet'!D57</f>
        <v>0</v>
      </c>
      <c r="G16" s="436">
        <f>'Revenue Worksheet'!E57</f>
        <v>0</v>
      </c>
      <c r="H16" s="436">
        <f>'Revenue Worksheet'!F57</f>
        <v>0</v>
      </c>
      <c r="I16" s="436">
        <f>'Revenue Worksheet'!G57</f>
        <v>0</v>
      </c>
      <c r="J16" s="436">
        <f>'Revenue Worksheet'!H57</f>
        <v>0</v>
      </c>
      <c r="K16" s="436">
        <f>'Revenue Worksheet'!I57</f>
        <v>0</v>
      </c>
      <c r="L16" s="436">
        <f>'Revenue Worksheet'!J57</f>
        <v>0</v>
      </c>
      <c r="M16" s="436">
        <f>'Revenue Worksheet'!K57</f>
        <v>0</v>
      </c>
      <c r="N16" s="436">
        <f>'Revenue Worksheet'!L57</f>
        <v>0</v>
      </c>
      <c r="O16" s="436">
        <f>'Revenue Worksheet'!M57</f>
        <v>0</v>
      </c>
      <c r="P16" s="436">
        <f>'Revenue Worksheet'!N57</f>
        <v>0</v>
      </c>
      <c r="Q16" s="436">
        <f>'Revenue Worksheet'!O57</f>
        <v>0</v>
      </c>
      <c r="R16" s="435">
        <f t="shared" si="2"/>
        <v>0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s="108" customFormat="1" ht="13.5" customHeight="1">
      <c r="A17" s="438"/>
      <c r="B17" s="439"/>
      <c r="C17" s="439"/>
      <c r="D17" s="440"/>
      <c r="E17" s="439"/>
      <c r="F17" s="441"/>
      <c r="G17" s="441"/>
      <c r="H17" s="441"/>
      <c r="I17" s="441"/>
      <c r="J17" s="441"/>
      <c r="K17" s="441"/>
      <c r="L17" s="441"/>
      <c r="M17" s="441"/>
      <c r="N17" s="441"/>
      <c r="O17" s="441"/>
      <c r="P17" s="441"/>
      <c r="Q17" s="441"/>
      <c r="R17" s="440"/>
      <c r="S17" s="2"/>
    </row>
    <row r="18" spans="1:66" s="108" customFormat="1">
      <c r="A18" s="319"/>
      <c r="B18" s="430" t="s">
        <v>1</v>
      </c>
      <c r="C18" s="430"/>
      <c r="D18" s="431">
        <f>+SUBTOTAL(9,F18:R18)</f>
        <v>1268504.3521987952</v>
      </c>
      <c r="E18" s="430"/>
      <c r="F18" s="442">
        <f t="shared" ref="F18" si="3">SUM(F6:F16)</f>
        <v>36782.168674698798</v>
      </c>
      <c r="G18" s="442">
        <f t="shared" ref="G18:Q18" si="4">SUM(G6:G16)</f>
        <v>42299.493975903621</v>
      </c>
      <c r="H18" s="442">
        <f t="shared" si="4"/>
        <v>42299.493975903621</v>
      </c>
      <c r="I18" s="442">
        <f t="shared" si="4"/>
        <v>42299.493975903621</v>
      </c>
      <c r="J18" s="442">
        <f t="shared" si="4"/>
        <v>78785.106415662623</v>
      </c>
      <c r="K18" s="442">
        <f t="shared" si="4"/>
        <v>124590.4008433735</v>
      </c>
      <c r="L18" s="442">
        <f t="shared" si="4"/>
        <v>150241.36572289155</v>
      </c>
      <c r="M18" s="442">
        <f t="shared" si="4"/>
        <v>150241.36572289155</v>
      </c>
      <c r="N18" s="442">
        <f t="shared" si="4"/>
        <v>150241.36572289155</v>
      </c>
      <c r="O18" s="442">
        <f t="shared" si="4"/>
        <v>150241.36572289155</v>
      </c>
      <c r="P18" s="442">
        <f t="shared" si="4"/>
        <v>150241.36572289155</v>
      </c>
      <c r="Q18" s="442">
        <f t="shared" si="4"/>
        <v>150241.36572289155</v>
      </c>
      <c r="R18" s="431">
        <f>+SUBTOTAL(9,F18:Q18)</f>
        <v>1268504.3521987952</v>
      </c>
      <c r="S18" s="2"/>
      <c r="T18" s="2"/>
      <c r="U18" s="2"/>
      <c r="V18" s="2"/>
      <c r="W18" s="61"/>
      <c r="X18" s="61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s="108" customFormat="1">
      <c r="A19" s="319"/>
      <c r="B19" s="430" t="s">
        <v>2</v>
      </c>
      <c r="C19" s="430"/>
      <c r="D19" s="443"/>
      <c r="E19" s="430"/>
      <c r="F19" s="444"/>
      <c r="G19" s="444"/>
      <c r="H19" s="444"/>
      <c r="I19" s="444"/>
      <c r="J19" s="444"/>
      <c r="K19" s="444"/>
      <c r="L19" s="444"/>
      <c r="M19" s="444"/>
      <c r="N19" s="444"/>
      <c r="O19" s="444"/>
      <c r="P19" s="444"/>
      <c r="Q19" s="444"/>
      <c r="R19" s="443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s="108" customFormat="1" ht="13.5" customHeight="1">
      <c r="A20" s="319"/>
      <c r="B20" s="427" t="s">
        <v>3</v>
      </c>
      <c r="C20" s="427"/>
      <c r="D20" s="445"/>
      <c r="E20" s="427"/>
      <c r="F20" s="446"/>
      <c r="G20" s="446"/>
      <c r="H20" s="446"/>
      <c r="I20" s="446"/>
      <c r="J20" s="446"/>
      <c r="K20" s="446"/>
      <c r="L20" s="446"/>
      <c r="M20" s="446"/>
      <c r="N20" s="446"/>
      <c r="O20" s="446"/>
      <c r="P20" s="446"/>
      <c r="Q20" s="446"/>
      <c r="R20" s="44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s="108" customFormat="1" ht="13.5" customHeight="1" outlineLevel="1">
      <c r="A21" s="319">
        <f>INDEX(QS_Chart_Of_Accounts_Upload!$C:$O,MATCH(B21,QS_Chart_Of_Accounts_Upload!$E:$E,0),MATCH("ACCT_NO",QS_Chart_Of_Accounts_Upload!$C$1:$O$1,0))</f>
        <v>4020</v>
      </c>
      <c r="B21" s="319" t="str">
        <f>+'Other Income'!B7</f>
        <v>Corporate/Guest Suite Income</v>
      </c>
      <c r="C21" s="430"/>
      <c r="D21" s="431">
        <f t="shared" ref="D21:D50" si="5">+SUBTOTAL(9,F21:R21)</f>
        <v>0</v>
      </c>
      <c r="E21" s="430"/>
      <c r="F21" s="446">
        <f>+'Other Income'!C7</f>
        <v>0</v>
      </c>
      <c r="G21" s="446">
        <f>+'Other Income'!D7</f>
        <v>0</v>
      </c>
      <c r="H21" s="446">
        <f>+'Other Income'!E7</f>
        <v>0</v>
      </c>
      <c r="I21" s="446">
        <f>+'Other Income'!F7</f>
        <v>0</v>
      </c>
      <c r="J21" s="446">
        <f>+'Other Income'!G7</f>
        <v>0</v>
      </c>
      <c r="K21" s="446">
        <f>+'Other Income'!H7</f>
        <v>0</v>
      </c>
      <c r="L21" s="446">
        <f>+'Other Income'!I7</f>
        <v>0</v>
      </c>
      <c r="M21" s="446">
        <f>+'Other Income'!J7</f>
        <v>0</v>
      </c>
      <c r="N21" s="446">
        <f>+'Other Income'!K7</f>
        <v>0</v>
      </c>
      <c r="O21" s="446">
        <f>+'Other Income'!L7</f>
        <v>0</v>
      </c>
      <c r="P21" s="446">
        <f>+'Other Income'!M7</f>
        <v>0</v>
      </c>
      <c r="Q21" s="446">
        <f>+'Other Income'!N7</f>
        <v>0</v>
      </c>
      <c r="R21" s="431">
        <f t="shared" ref="R21:R50" si="6">+SUBTOTAL(9,F21:Q21)</f>
        <v>0</v>
      </c>
      <c r="S21" s="2"/>
      <c r="T21" s="447" t="str">
        <f>+IF('Other Income'!Q7="","",'Other Income'!Q7)</f>
        <v/>
      </c>
      <c r="V21" s="128"/>
      <c r="X21" s="128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s="108" customFormat="1" ht="13.5" customHeight="1" outlineLevel="1">
      <c r="A22" s="319">
        <f>INDEX(QS_Chart_Of_Accounts_Upload!$C:$O,MATCH(B22,QS_Chart_Of_Accounts_Upload!$E:$E,0),MATCH("ACCT_NO",QS_Chart_Of_Accounts_Upload!$C$1:$O$1,0))</f>
        <v>4710</v>
      </c>
      <c r="B22" s="319" t="str">
        <f>+'Other Income'!B8</f>
        <v>Access Gate Remote Income</v>
      </c>
      <c r="C22" s="430"/>
      <c r="D22" s="431">
        <f t="shared" si="5"/>
        <v>0</v>
      </c>
      <c r="E22" s="430"/>
      <c r="F22" s="446">
        <f>+'Other Income'!C8</f>
        <v>0</v>
      </c>
      <c r="G22" s="446">
        <f>+'Other Income'!D8</f>
        <v>0</v>
      </c>
      <c r="H22" s="446">
        <f>+'Other Income'!E8</f>
        <v>0</v>
      </c>
      <c r="I22" s="446">
        <f>+'Other Income'!F8</f>
        <v>0</v>
      </c>
      <c r="J22" s="446">
        <f>+'Other Income'!G8</f>
        <v>0</v>
      </c>
      <c r="K22" s="446">
        <f>+'Other Income'!H8</f>
        <v>0</v>
      </c>
      <c r="L22" s="446">
        <f>+'Other Income'!I8</f>
        <v>0</v>
      </c>
      <c r="M22" s="446">
        <f>+'Other Income'!J8</f>
        <v>0</v>
      </c>
      <c r="N22" s="446">
        <f>+'Other Income'!K8</f>
        <v>0</v>
      </c>
      <c r="O22" s="446">
        <f>+'Other Income'!L8</f>
        <v>0</v>
      </c>
      <c r="P22" s="446">
        <f>+'Other Income'!M8</f>
        <v>0</v>
      </c>
      <c r="Q22" s="446">
        <f>+'Other Income'!N8</f>
        <v>0</v>
      </c>
      <c r="R22" s="431">
        <f t="shared" si="6"/>
        <v>0</v>
      </c>
      <c r="S22" s="2"/>
      <c r="T22" s="447" t="str">
        <f>+IF('Other Income'!Q8="","",'Other Income'!Q8)</f>
        <v/>
      </c>
      <c r="V22" s="128"/>
      <c r="X22" s="128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s="108" customFormat="1" ht="14" outlineLevel="1">
      <c r="A23" s="319">
        <f>INDEX(QS_Chart_Of_Accounts_Upload!$C:$O,MATCH(B23,QS_Chart_Of_Accounts_Upload!$E:$E,0),MATCH("ACCT_NO",QS_Chart_Of_Accounts_Upload!$C$1:$O$1,0))</f>
        <v>4810</v>
      </c>
      <c r="B23" s="319" t="str">
        <f>+'Other Income'!B9</f>
        <v>Administrative Fees</v>
      </c>
      <c r="C23" s="430"/>
      <c r="D23" s="431">
        <f t="shared" si="5"/>
        <v>12300</v>
      </c>
      <c r="E23" s="430"/>
      <c r="F23" s="446">
        <f>+'Other Income'!C9</f>
        <v>3000</v>
      </c>
      <c r="G23" s="446">
        <f>+'Other Income'!D9</f>
        <v>450</v>
      </c>
      <c r="H23" s="446">
        <f>+'Other Income'!E9</f>
        <v>0</v>
      </c>
      <c r="I23" s="446">
        <f>+'Other Income'!F9</f>
        <v>0</v>
      </c>
      <c r="J23" s="446">
        <f>+'Other Income'!G9</f>
        <v>3000</v>
      </c>
      <c r="K23" s="446">
        <f>+'Other Income'!H9</f>
        <v>3750</v>
      </c>
      <c r="L23" s="446">
        <f>+'Other Income'!I9</f>
        <v>2100</v>
      </c>
      <c r="M23" s="446">
        <f>+'Other Income'!J9</f>
        <v>0</v>
      </c>
      <c r="N23" s="446">
        <f>+'Other Income'!K9</f>
        <v>0</v>
      </c>
      <c r="O23" s="446">
        <f>+'Other Income'!L9</f>
        <v>0</v>
      </c>
      <c r="P23" s="446">
        <f>+'Other Income'!M9</f>
        <v>0</v>
      </c>
      <c r="Q23" s="446">
        <f>+'Other Income'!N9</f>
        <v>0</v>
      </c>
      <c r="R23" s="431">
        <f t="shared" si="6"/>
        <v>12300</v>
      </c>
      <c r="S23" s="2"/>
      <c r="T23" s="448" t="str">
        <f>+IF('Other Income'!Q9="","",'Other Income'!Q9)</f>
        <v/>
      </c>
      <c r="U23" s="108" t="s">
        <v>483</v>
      </c>
      <c r="V23" s="449">
        <f>+IF('Other Income'!T9="","",'Other Income'!T9)</f>
        <v>150</v>
      </c>
      <c r="W23" s="450"/>
      <c r="X23" s="45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ht="14" outlineLevel="1">
      <c r="A24" s="319">
        <f>INDEX(QS_Chart_Of_Accounts_Upload!$C:$O,MATCH(B24,QS_Chart_Of_Accounts_Upload!$E:$E,0),MATCH("ACCT_NO",QS_Chart_Of_Accounts_Upload!$C$1:$O$1,0))</f>
        <v>4811</v>
      </c>
      <c r="B24" s="319" t="str">
        <f>+'Other Income'!B10</f>
        <v>Administration Fees Concession</v>
      </c>
      <c r="C24" s="430"/>
      <c r="D24" s="431">
        <f t="shared" si="5"/>
        <v>0</v>
      </c>
      <c r="E24" s="430"/>
      <c r="F24" s="446">
        <f>+'Other Income'!C10</f>
        <v>0</v>
      </c>
      <c r="G24" s="446">
        <f>+'Other Income'!D10</f>
        <v>0</v>
      </c>
      <c r="H24" s="446">
        <f>+'Other Income'!E10</f>
        <v>0</v>
      </c>
      <c r="I24" s="446">
        <f>+'Other Income'!F10</f>
        <v>0</v>
      </c>
      <c r="J24" s="446">
        <f>+'Other Income'!G10</f>
        <v>0</v>
      </c>
      <c r="K24" s="446">
        <f>+'Other Income'!H10</f>
        <v>0</v>
      </c>
      <c r="L24" s="446">
        <f>+'Other Income'!I10</f>
        <v>0</v>
      </c>
      <c r="M24" s="446">
        <f>+'Other Income'!J10</f>
        <v>0</v>
      </c>
      <c r="N24" s="446">
        <f>+'Other Income'!K10</f>
        <v>0</v>
      </c>
      <c r="O24" s="446">
        <f>+'Other Income'!L10</f>
        <v>0</v>
      </c>
      <c r="P24" s="446">
        <f>+'Other Income'!M10</f>
        <v>0</v>
      </c>
      <c r="Q24" s="446">
        <f>+'Other Income'!N10</f>
        <v>0</v>
      </c>
      <c r="R24" s="431">
        <f t="shared" si="6"/>
        <v>0</v>
      </c>
      <c r="T24" s="448" t="str">
        <f>+IF('Other Income'!Q10="","",'Other Income'!Q10)</f>
        <v/>
      </c>
      <c r="U24" s="108"/>
      <c r="V24" s="128"/>
      <c r="W24" s="108"/>
      <c r="X24" s="128"/>
    </row>
    <row r="25" spans="1:66" ht="14" outlineLevel="1">
      <c r="A25" s="319">
        <f>INDEX(QS_Chart_Of_Accounts_Upload!$C:$O,MATCH(B25,QS_Chart_Of_Accounts_Upload!$E:$E,0),MATCH("ACCT_NO",QS_Chart_Of_Accounts_Upload!$C$1:$O$1,0))</f>
        <v>4813</v>
      </c>
      <c r="B25" s="319" t="str">
        <f>+'Other Income'!B11</f>
        <v>Alarm Fees</v>
      </c>
      <c r="C25" s="430"/>
      <c r="D25" s="431">
        <f t="shared" si="5"/>
        <v>0</v>
      </c>
      <c r="E25" s="430"/>
      <c r="F25" s="446">
        <f>+'Other Income'!C11</f>
        <v>0</v>
      </c>
      <c r="G25" s="446">
        <f>+'Other Income'!D11</f>
        <v>0</v>
      </c>
      <c r="H25" s="446">
        <f>+'Other Income'!E11</f>
        <v>0</v>
      </c>
      <c r="I25" s="446">
        <f>+'Other Income'!F11</f>
        <v>0</v>
      </c>
      <c r="J25" s="446">
        <f>+'Other Income'!G11</f>
        <v>0</v>
      </c>
      <c r="K25" s="446">
        <f>+'Other Income'!H11</f>
        <v>0</v>
      </c>
      <c r="L25" s="446">
        <f>+'Other Income'!I11</f>
        <v>0</v>
      </c>
      <c r="M25" s="446">
        <f>+'Other Income'!J11</f>
        <v>0</v>
      </c>
      <c r="N25" s="446">
        <f>+'Other Income'!K11</f>
        <v>0</v>
      </c>
      <c r="O25" s="446">
        <f>+'Other Income'!L11</f>
        <v>0</v>
      </c>
      <c r="P25" s="446">
        <f>+'Other Income'!M11</f>
        <v>0</v>
      </c>
      <c r="Q25" s="446">
        <f>+'Other Income'!N11</f>
        <v>0</v>
      </c>
      <c r="R25" s="431">
        <f t="shared" si="6"/>
        <v>0</v>
      </c>
      <c r="T25" s="448" t="str">
        <f>+IF('Other Income'!Q11="","",'Other Income'!Q11)</f>
        <v/>
      </c>
      <c r="U25" s="108"/>
      <c r="V25" s="128"/>
      <c r="W25" s="108"/>
      <c r="X25" s="128"/>
    </row>
    <row r="26" spans="1:66" ht="14" outlineLevel="1">
      <c r="A26" s="319">
        <f>INDEX(QS_Chart_Of_Accounts_Upload!$C:$O,MATCH(B26,QS_Chart_Of_Accounts_Upload!$E:$E,0),MATCH("ACCT_NO",QS_Chart_Of_Accounts_Upload!$C$1:$O$1,0))</f>
        <v>4815</v>
      </c>
      <c r="B26" s="319" t="str">
        <f>+'Other Income'!B12</f>
        <v>Amenity Fees</v>
      </c>
      <c r="C26" s="430"/>
      <c r="D26" s="431">
        <f t="shared" si="5"/>
        <v>13840</v>
      </c>
      <c r="E26" s="430"/>
      <c r="F26" s="446">
        <f>+'Other Income'!C12</f>
        <v>400</v>
      </c>
      <c r="G26" s="446">
        <f>+'Other Income'!D12</f>
        <v>460</v>
      </c>
      <c r="H26" s="446">
        <f>+'Other Income'!E12</f>
        <v>460</v>
      </c>
      <c r="I26" s="446">
        <f>+'Other Income'!F12</f>
        <v>460</v>
      </c>
      <c r="J26" s="446">
        <f>+'Other Income'!G12</f>
        <v>860</v>
      </c>
      <c r="K26" s="446">
        <f>+'Other Income'!H12</f>
        <v>1360</v>
      </c>
      <c r="L26" s="446">
        <f>+'Other Income'!I12</f>
        <v>1640</v>
      </c>
      <c r="M26" s="446">
        <f>+'Other Income'!J12</f>
        <v>1640</v>
      </c>
      <c r="N26" s="446">
        <f>+'Other Income'!K12</f>
        <v>1640</v>
      </c>
      <c r="O26" s="446">
        <f>+'Other Income'!L12</f>
        <v>1640</v>
      </c>
      <c r="P26" s="446">
        <f>+'Other Income'!M12</f>
        <v>1640</v>
      </c>
      <c r="Q26" s="446">
        <f>+'Other Income'!N12</f>
        <v>1640</v>
      </c>
      <c r="R26" s="431">
        <f t="shared" si="6"/>
        <v>13840</v>
      </c>
      <c r="T26" s="448" t="str">
        <f>+IF('Other Income'!Q12="","",'Other Income'!Q12)</f>
        <v/>
      </c>
      <c r="U26" s="108" t="s">
        <v>61</v>
      </c>
      <c r="V26" s="449">
        <f>+IF('Other Income'!T12="","",'Other Income'!T12)</f>
        <v>20</v>
      </c>
      <c r="W26" s="450"/>
      <c r="X26" s="451"/>
    </row>
    <row r="27" spans="1:66" ht="14" outlineLevel="1">
      <c r="A27" s="319">
        <f>INDEX(QS_Chart_Of_Accounts_Upload!$C:$O,MATCH(B27,QS_Chart_Of_Accounts_Upload!$E:$E,0),MATCH("ACCT_NO",QS_Chart_Of_Accounts_Upload!$C$1:$O$1,0))</f>
        <v>4816</v>
      </c>
      <c r="B27" s="319" t="str">
        <f>+'Other Income'!B13</f>
        <v>Account Set-Up Fee</v>
      </c>
      <c r="C27" s="430"/>
      <c r="D27" s="431">
        <f t="shared" si="5"/>
        <v>0</v>
      </c>
      <c r="E27" s="430"/>
      <c r="F27" s="446">
        <f>+'Other Income'!C13</f>
        <v>0</v>
      </c>
      <c r="G27" s="446">
        <f>+'Other Income'!D13</f>
        <v>0</v>
      </c>
      <c r="H27" s="446">
        <f>+'Other Income'!E13</f>
        <v>0</v>
      </c>
      <c r="I27" s="446">
        <f>+'Other Income'!F13</f>
        <v>0</v>
      </c>
      <c r="J27" s="446">
        <f>+'Other Income'!G13</f>
        <v>0</v>
      </c>
      <c r="K27" s="446">
        <f>+'Other Income'!H13</f>
        <v>0</v>
      </c>
      <c r="L27" s="446">
        <f>+'Other Income'!I13</f>
        <v>0</v>
      </c>
      <c r="M27" s="446">
        <f>+'Other Income'!J13</f>
        <v>0</v>
      </c>
      <c r="N27" s="446">
        <f>+'Other Income'!K13</f>
        <v>0</v>
      </c>
      <c r="O27" s="446">
        <f>+'Other Income'!L13</f>
        <v>0</v>
      </c>
      <c r="P27" s="446">
        <f>+'Other Income'!M13</f>
        <v>0</v>
      </c>
      <c r="Q27" s="446">
        <f>+'Other Income'!N13</f>
        <v>0</v>
      </c>
      <c r="R27" s="431">
        <f t="shared" si="6"/>
        <v>0</v>
      </c>
      <c r="T27" s="448" t="str">
        <f>+IF('Other Income'!Q13="","",'Other Income'!Q13)</f>
        <v/>
      </c>
      <c r="U27" s="108" t="s">
        <v>504</v>
      </c>
      <c r="V27" s="449" t="str">
        <f>+IF('Other Income'!T13="","",'Other Income'!T13)</f>
        <v/>
      </c>
      <c r="W27" s="450"/>
      <c r="X27" s="451"/>
    </row>
    <row r="28" spans="1:66" ht="14" outlineLevel="1">
      <c r="A28" s="319">
        <f>INDEX(QS_Chart_Of_Accounts_Upload!$C:$O,MATCH(B28,QS_Chart_Of_Accounts_Upload!$E:$E,0),MATCH("ACCT_NO",QS_Chart_Of_Accounts_Upload!$C$1:$O$1,0))</f>
        <v>4817</v>
      </c>
      <c r="B28" s="319" t="str">
        <f>+'Other Income'!B14</f>
        <v>Move-Out Fee</v>
      </c>
      <c r="C28" s="430"/>
      <c r="D28" s="431">
        <f t="shared" si="5"/>
        <v>0</v>
      </c>
      <c r="E28" s="430"/>
      <c r="F28" s="446">
        <f>+'Other Income'!C14</f>
        <v>0</v>
      </c>
      <c r="G28" s="446">
        <f>+'Other Income'!D14</f>
        <v>0</v>
      </c>
      <c r="H28" s="446">
        <f>+'Other Income'!E14</f>
        <v>0</v>
      </c>
      <c r="I28" s="446">
        <f>+'Other Income'!F14</f>
        <v>0</v>
      </c>
      <c r="J28" s="446">
        <f>+'Other Income'!G14</f>
        <v>0</v>
      </c>
      <c r="K28" s="446">
        <f>+'Other Income'!H14</f>
        <v>0</v>
      </c>
      <c r="L28" s="446">
        <f>+'Other Income'!I14</f>
        <v>0</v>
      </c>
      <c r="M28" s="446">
        <f>+'Other Income'!J14</f>
        <v>0</v>
      </c>
      <c r="N28" s="446">
        <f>+'Other Income'!K14</f>
        <v>0</v>
      </c>
      <c r="O28" s="446">
        <f>+'Other Income'!L14</f>
        <v>0</v>
      </c>
      <c r="P28" s="446">
        <f>+'Other Income'!M14</f>
        <v>0</v>
      </c>
      <c r="Q28" s="446">
        <f>+'Other Income'!N14</f>
        <v>0</v>
      </c>
      <c r="R28" s="431">
        <f t="shared" si="6"/>
        <v>0</v>
      </c>
      <c r="T28" s="448" t="str">
        <f>+IF('Other Income'!Q14="","",'Other Income'!Q14)</f>
        <v/>
      </c>
      <c r="U28" s="108"/>
      <c r="V28" s="128"/>
      <c r="W28" s="108"/>
      <c r="X28" s="128"/>
    </row>
    <row r="29" spans="1:66" ht="14" outlineLevel="1">
      <c r="A29" s="319">
        <f>INDEX(QS_Chart_Of_Accounts_Upload!$C:$O,MATCH(B29,QS_Chart_Of_Accounts_Upload!$E:$E,0),MATCH("ACCT_NO",QS_Chart_Of_Accounts_Upload!$C$1:$O$1,0))</f>
        <v>4825</v>
      </c>
      <c r="B29" s="319" t="str">
        <f>+'Other Income'!B15</f>
        <v>Application Fee Income</v>
      </c>
      <c r="C29" s="430"/>
      <c r="D29" s="431">
        <f t="shared" si="5"/>
        <v>6150</v>
      </c>
      <c r="E29" s="430"/>
      <c r="F29" s="446">
        <f>+'Other Income'!C15</f>
        <v>1500</v>
      </c>
      <c r="G29" s="446">
        <f>+'Other Income'!D15</f>
        <v>225</v>
      </c>
      <c r="H29" s="446">
        <f>+'Other Income'!E15</f>
        <v>0</v>
      </c>
      <c r="I29" s="446">
        <f>+'Other Income'!F15</f>
        <v>0</v>
      </c>
      <c r="J29" s="446">
        <f>+'Other Income'!G15</f>
        <v>1500</v>
      </c>
      <c r="K29" s="446">
        <f>+'Other Income'!H15</f>
        <v>1875</v>
      </c>
      <c r="L29" s="446">
        <f>+'Other Income'!I15</f>
        <v>1050</v>
      </c>
      <c r="M29" s="446">
        <f>+'Other Income'!J15</f>
        <v>0</v>
      </c>
      <c r="N29" s="446">
        <f>+'Other Income'!K15</f>
        <v>0</v>
      </c>
      <c r="O29" s="446">
        <f>+'Other Income'!L15</f>
        <v>0</v>
      </c>
      <c r="P29" s="446">
        <f>+'Other Income'!M15</f>
        <v>0</v>
      </c>
      <c r="Q29" s="446">
        <f>+'Other Income'!N15</f>
        <v>0</v>
      </c>
      <c r="R29" s="431">
        <f t="shared" si="6"/>
        <v>6150</v>
      </c>
      <c r="T29" s="448" t="str">
        <f>+IF('Other Income'!Q15="","",'Other Income'!Q15)</f>
        <v/>
      </c>
      <c r="U29" s="108" t="s">
        <v>161</v>
      </c>
      <c r="V29" s="449">
        <f>+IF('Other Income'!T15="","",'Other Income'!T15)</f>
        <v>75</v>
      </c>
      <c r="W29" s="450"/>
      <c r="X29" s="451"/>
    </row>
    <row r="30" spans="1:66" ht="14" outlineLevel="1">
      <c r="A30" s="319">
        <f>INDEX(QS_Chart_Of_Accounts_Upload!$C:$O,MATCH(B30,QS_Chart_Of_Accounts_Upload!$E:$E,0),MATCH("ACCT_NO",QS_Chart_Of_Accounts_Upload!$C$1:$O$1,0))</f>
        <v>4826</v>
      </c>
      <c r="B30" s="319" t="str">
        <f>+'Other Income'!B16</f>
        <v>Application Fee Concessions</v>
      </c>
      <c r="C30" s="430"/>
      <c r="D30" s="431">
        <f t="shared" si="5"/>
        <v>0</v>
      </c>
      <c r="E30" s="430"/>
      <c r="F30" s="446">
        <f>+'Other Income'!C16</f>
        <v>0</v>
      </c>
      <c r="G30" s="446">
        <f>+'Other Income'!D16</f>
        <v>0</v>
      </c>
      <c r="H30" s="446">
        <f>+'Other Income'!E16</f>
        <v>0</v>
      </c>
      <c r="I30" s="446">
        <f>+'Other Income'!F16</f>
        <v>0</v>
      </c>
      <c r="J30" s="446">
        <f>+'Other Income'!G16</f>
        <v>0</v>
      </c>
      <c r="K30" s="446">
        <f>+'Other Income'!H16</f>
        <v>0</v>
      </c>
      <c r="L30" s="446">
        <f>+'Other Income'!I16</f>
        <v>0</v>
      </c>
      <c r="M30" s="446">
        <f>+'Other Income'!J16</f>
        <v>0</v>
      </c>
      <c r="N30" s="446">
        <f>+'Other Income'!K16</f>
        <v>0</v>
      </c>
      <c r="O30" s="446">
        <f>+'Other Income'!L16</f>
        <v>0</v>
      </c>
      <c r="P30" s="446">
        <f>+'Other Income'!M16</f>
        <v>0</v>
      </c>
      <c r="Q30" s="446">
        <f>+'Other Income'!N16</f>
        <v>0</v>
      </c>
      <c r="R30" s="431">
        <f t="shared" si="6"/>
        <v>0</v>
      </c>
      <c r="T30" s="448" t="str">
        <f>+IF('Other Income'!Q16="","",'Other Income'!Q16)</f>
        <v/>
      </c>
      <c r="U30" s="108"/>
      <c r="V30" s="452"/>
      <c r="W30" s="108"/>
      <c r="X30" s="128"/>
    </row>
    <row r="31" spans="1:66" ht="14" outlineLevel="1">
      <c r="A31" s="319">
        <f>INDEX(QS_Chart_Of_Accounts_Upload!$C:$O,MATCH(B31,QS_Chart_Of_Accounts_Upload!$E:$E,0),MATCH("ACCT_NO",QS_Chart_Of_Accounts_Upload!$C$1:$O$1,0))</f>
        <v>4830</v>
      </c>
      <c r="B31" s="319" t="str">
        <f>+'Other Income'!B17</f>
        <v>Cable TV Bulk Income</v>
      </c>
      <c r="C31" s="430"/>
      <c r="D31" s="431">
        <f t="shared" si="5"/>
        <v>55360</v>
      </c>
      <c r="E31" s="430"/>
      <c r="F31" s="446">
        <f>+'Other Income'!C17</f>
        <v>1600</v>
      </c>
      <c r="G31" s="446">
        <f>+'Other Income'!D17</f>
        <v>1840</v>
      </c>
      <c r="H31" s="446">
        <f>+'Other Income'!E17</f>
        <v>1840</v>
      </c>
      <c r="I31" s="446">
        <f>+'Other Income'!F17</f>
        <v>1840</v>
      </c>
      <c r="J31" s="446">
        <f>+'Other Income'!G17</f>
        <v>3440</v>
      </c>
      <c r="K31" s="446">
        <f>+'Other Income'!H17</f>
        <v>5440</v>
      </c>
      <c r="L31" s="446">
        <f>+'Other Income'!I17</f>
        <v>6560</v>
      </c>
      <c r="M31" s="446">
        <f>+'Other Income'!J17</f>
        <v>6560</v>
      </c>
      <c r="N31" s="446">
        <f>+'Other Income'!K17</f>
        <v>6560</v>
      </c>
      <c r="O31" s="446">
        <f>+'Other Income'!L17</f>
        <v>6560</v>
      </c>
      <c r="P31" s="446">
        <f>+'Other Income'!M17</f>
        <v>6560</v>
      </c>
      <c r="Q31" s="446">
        <f>+'Other Income'!N17</f>
        <v>6560</v>
      </c>
      <c r="R31" s="431">
        <f t="shared" si="6"/>
        <v>55360</v>
      </c>
      <c r="T31" s="448" t="str">
        <f>+IF('Other Income'!Q17="","",'Other Income'!Q17)</f>
        <v/>
      </c>
      <c r="U31" s="108"/>
      <c r="V31" s="128"/>
      <c r="W31" s="108"/>
      <c r="X31" s="128"/>
    </row>
    <row r="32" spans="1:66" ht="14" outlineLevel="1">
      <c r="A32" s="319">
        <f>INDEX(QS_Chart_Of_Accounts_Upload!$C:$O,MATCH(B32,QS_Chart_Of_Accounts_Upload!$E:$E,0),MATCH("ACCT_NO",QS_Chart_Of_Accounts_Upload!$C$1:$O$1,0))</f>
        <v>4835</v>
      </c>
      <c r="B32" s="319" t="str">
        <f>+'Other Income'!B18</f>
        <v>Cable TV Commissions</v>
      </c>
      <c r="C32" s="430"/>
      <c r="D32" s="431">
        <f t="shared" si="5"/>
        <v>0</v>
      </c>
      <c r="E32" s="430"/>
      <c r="F32" s="446">
        <f>+'Other Income'!C18</f>
        <v>0</v>
      </c>
      <c r="G32" s="446">
        <f>+'Other Income'!D18</f>
        <v>0</v>
      </c>
      <c r="H32" s="446">
        <f>+'Other Income'!E18</f>
        <v>0</v>
      </c>
      <c r="I32" s="446">
        <f>+'Other Income'!F18</f>
        <v>0</v>
      </c>
      <c r="J32" s="446">
        <f>+'Other Income'!G18</f>
        <v>0</v>
      </c>
      <c r="K32" s="446">
        <f>+'Other Income'!H18</f>
        <v>0</v>
      </c>
      <c r="L32" s="446">
        <f>+'Other Income'!I18</f>
        <v>0</v>
      </c>
      <c r="M32" s="446">
        <f>+'Other Income'!J18</f>
        <v>0</v>
      </c>
      <c r="N32" s="446">
        <f>+'Other Income'!K18</f>
        <v>0</v>
      </c>
      <c r="O32" s="446">
        <f>+'Other Income'!L18</f>
        <v>0</v>
      </c>
      <c r="P32" s="446">
        <f>+'Other Income'!M18</f>
        <v>0</v>
      </c>
      <c r="Q32" s="446">
        <f>+'Other Income'!N18</f>
        <v>0</v>
      </c>
      <c r="R32" s="431">
        <f t="shared" si="6"/>
        <v>0</v>
      </c>
      <c r="T32" s="448" t="str">
        <f>+IF('Other Income'!Q18="","",'Other Income'!Q18)</f>
        <v/>
      </c>
      <c r="U32" s="108"/>
      <c r="V32" s="128"/>
      <c r="W32" s="108"/>
      <c r="X32" s="128"/>
    </row>
    <row r="33" spans="1:66" ht="14" outlineLevel="1">
      <c r="A33" s="319">
        <f>INDEX(QS_Chart_Of_Accounts_Upload!$C:$O,MATCH(B33,QS_Chart_Of_Accounts_Upload!$E:$E,0),MATCH("ACCT_NO",QS_Chart_Of_Accounts_Upload!$C$1:$O$1,0))</f>
        <v>4840</v>
      </c>
      <c r="B33" s="319" t="str">
        <f>+'Other Income'!B19</f>
        <v>Damages Charged to Residents</v>
      </c>
      <c r="C33" s="430"/>
      <c r="D33" s="431">
        <f t="shared" si="5"/>
        <v>0</v>
      </c>
      <c r="E33" s="430"/>
      <c r="F33" s="446">
        <f>+'Other Income'!C19</f>
        <v>0</v>
      </c>
      <c r="G33" s="446">
        <f>+'Other Income'!D19</f>
        <v>0</v>
      </c>
      <c r="H33" s="446">
        <f>+'Other Income'!E19</f>
        <v>0</v>
      </c>
      <c r="I33" s="446">
        <f>+'Other Income'!F19</f>
        <v>0</v>
      </c>
      <c r="J33" s="446">
        <f>+'Other Income'!G19</f>
        <v>0</v>
      </c>
      <c r="K33" s="446">
        <f>+'Other Income'!H19</f>
        <v>0</v>
      </c>
      <c r="L33" s="446">
        <f>+'Other Income'!I19</f>
        <v>0</v>
      </c>
      <c r="M33" s="446">
        <f>+'Other Income'!J19</f>
        <v>0</v>
      </c>
      <c r="N33" s="446">
        <f>+'Other Income'!K19</f>
        <v>0</v>
      </c>
      <c r="O33" s="446">
        <f>+'Other Income'!L19</f>
        <v>0</v>
      </c>
      <c r="P33" s="446">
        <f>+'Other Income'!M19</f>
        <v>0</v>
      </c>
      <c r="Q33" s="446">
        <f>+'Other Income'!N19</f>
        <v>0</v>
      </c>
      <c r="R33" s="431">
        <f t="shared" si="6"/>
        <v>0</v>
      </c>
      <c r="T33" s="448" t="str">
        <f>+IF('Other Income'!Q19="","",'Other Income'!Q19)</f>
        <v/>
      </c>
      <c r="U33" s="108"/>
      <c r="V33" s="128"/>
      <c r="W33" s="108"/>
      <c r="X33" s="128"/>
    </row>
    <row r="34" spans="1:66" ht="14" outlineLevel="1">
      <c r="A34" s="319">
        <f>INDEX(QS_Chart_Of_Accounts_Upload!$C:$O,MATCH(B34,QS_Chart_Of_Accounts_Upload!$E:$E,0),MATCH("ACCT_NO",QS_Chart_Of_Accounts_Upload!$C$1:$O$1,0))</f>
        <v>4845</v>
      </c>
      <c r="B34" s="319" t="str">
        <f>+'Other Income'!B20</f>
        <v>Electric Reimbursement</v>
      </c>
      <c r="C34" s="430"/>
      <c r="D34" s="431">
        <f t="shared" si="5"/>
        <v>0</v>
      </c>
      <c r="E34" s="430"/>
      <c r="F34" s="446">
        <f>+'Other Income'!C20</f>
        <v>0</v>
      </c>
      <c r="G34" s="446">
        <f>+'Other Income'!D20</f>
        <v>0</v>
      </c>
      <c r="H34" s="446">
        <f>+'Other Income'!E20</f>
        <v>0</v>
      </c>
      <c r="I34" s="446">
        <f>+'Other Income'!F20</f>
        <v>0</v>
      </c>
      <c r="J34" s="446">
        <f>+'Other Income'!G20</f>
        <v>0</v>
      </c>
      <c r="K34" s="446">
        <f>+'Other Income'!H20</f>
        <v>0</v>
      </c>
      <c r="L34" s="446">
        <f>+'Other Income'!I20</f>
        <v>0</v>
      </c>
      <c r="M34" s="446">
        <f>+'Other Income'!J20</f>
        <v>0</v>
      </c>
      <c r="N34" s="446">
        <f>+'Other Income'!K20</f>
        <v>0</v>
      </c>
      <c r="O34" s="446">
        <f>+'Other Income'!L20</f>
        <v>0</v>
      </c>
      <c r="P34" s="446">
        <f>+'Other Income'!M20</f>
        <v>0</v>
      </c>
      <c r="Q34" s="446">
        <f>+'Other Income'!N20</f>
        <v>0</v>
      </c>
      <c r="R34" s="431">
        <f t="shared" si="6"/>
        <v>0</v>
      </c>
      <c r="T34" s="448" t="str">
        <f>+IF('Other Income'!Q20="","",'Other Income'!Q20)</f>
        <v/>
      </c>
      <c r="U34" s="108"/>
      <c r="V34" s="128"/>
      <c r="W34" s="108"/>
      <c r="X34" s="128"/>
    </row>
    <row r="35" spans="1:66" ht="14" outlineLevel="1">
      <c r="A35" s="319">
        <f>INDEX(QS_Chart_Of_Accounts_Upload!$C:$O,MATCH(B35,QS_Chart_Of_Accounts_Upload!$E:$E,0),MATCH("ACCT_NO",QS_Chart_Of_Accounts_Upload!$C$1:$O$1,0))</f>
        <v>4853</v>
      </c>
      <c r="B35" s="319" t="str">
        <f>+'Other Income'!B21</f>
        <v>Forfeited Deposit</v>
      </c>
      <c r="C35" s="430"/>
      <c r="D35" s="431">
        <f t="shared" si="5"/>
        <v>0</v>
      </c>
      <c r="E35" s="430"/>
      <c r="F35" s="446">
        <f>+'Other Income'!C21</f>
        <v>0</v>
      </c>
      <c r="G35" s="446">
        <f>+'Other Income'!D21</f>
        <v>0</v>
      </c>
      <c r="H35" s="446">
        <f>+'Other Income'!E21</f>
        <v>0</v>
      </c>
      <c r="I35" s="446">
        <f>+'Other Income'!F21</f>
        <v>0</v>
      </c>
      <c r="J35" s="446">
        <f>+'Other Income'!G21</f>
        <v>0</v>
      </c>
      <c r="K35" s="446">
        <f>+'Other Income'!H21</f>
        <v>0</v>
      </c>
      <c r="L35" s="446">
        <f>+'Other Income'!I21</f>
        <v>0</v>
      </c>
      <c r="M35" s="446">
        <f>+'Other Income'!J21</f>
        <v>0</v>
      </c>
      <c r="N35" s="446">
        <f>+'Other Income'!K21</f>
        <v>0</v>
      </c>
      <c r="O35" s="446">
        <f>+'Other Income'!L21</f>
        <v>0</v>
      </c>
      <c r="P35" s="446">
        <f>+'Other Income'!M21</f>
        <v>0</v>
      </c>
      <c r="Q35" s="446">
        <f>+'Other Income'!N21</f>
        <v>0</v>
      </c>
      <c r="R35" s="431">
        <f t="shared" si="6"/>
        <v>0</v>
      </c>
      <c r="T35" s="448" t="str">
        <f>+IF('Other Income'!Q21="","",'Other Income'!Q21)</f>
        <v/>
      </c>
      <c r="U35" s="108"/>
      <c r="V35" s="128"/>
      <c r="W35" s="108"/>
      <c r="X35" s="128"/>
    </row>
    <row r="36" spans="1:66" ht="14" outlineLevel="1">
      <c r="A36" s="319">
        <f>INDEX(QS_Chart_Of_Accounts_Upload!$C:$O,MATCH(B36,QS_Chart_Of_Accounts_Upload!$E:$E,0),MATCH("ACCT_NO",QS_Chart_Of_Accounts_Upload!$C$1:$O$1,0))</f>
        <v>4854</v>
      </c>
      <c r="B36" s="319" t="str">
        <f>+'Other Income'!B22</f>
        <v>Furniture Rental Income</v>
      </c>
      <c r="C36" s="430"/>
      <c r="D36" s="431">
        <f t="shared" si="5"/>
        <v>0</v>
      </c>
      <c r="E36" s="430"/>
      <c r="F36" s="446">
        <f>+'Other Income'!C22</f>
        <v>0</v>
      </c>
      <c r="G36" s="446">
        <f>+'Other Income'!D22</f>
        <v>0</v>
      </c>
      <c r="H36" s="446">
        <f>+'Other Income'!E22</f>
        <v>0</v>
      </c>
      <c r="I36" s="446">
        <f>+'Other Income'!F22</f>
        <v>0</v>
      </c>
      <c r="J36" s="446">
        <f>+'Other Income'!G22</f>
        <v>0</v>
      </c>
      <c r="K36" s="446">
        <f>+'Other Income'!H22</f>
        <v>0</v>
      </c>
      <c r="L36" s="446">
        <f>+'Other Income'!I22</f>
        <v>0</v>
      </c>
      <c r="M36" s="446">
        <f>+'Other Income'!J22</f>
        <v>0</v>
      </c>
      <c r="N36" s="446">
        <f>+'Other Income'!K22</f>
        <v>0</v>
      </c>
      <c r="O36" s="446">
        <f>+'Other Income'!L22</f>
        <v>0</v>
      </c>
      <c r="P36" s="446">
        <f>+'Other Income'!M22</f>
        <v>0</v>
      </c>
      <c r="Q36" s="446">
        <f>+'Other Income'!N22</f>
        <v>0</v>
      </c>
      <c r="R36" s="431">
        <f t="shared" si="6"/>
        <v>0</v>
      </c>
      <c r="T36" s="448" t="str">
        <f>+IF('Other Income'!Q22="","",'Other Income'!Q22)</f>
        <v/>
      </c>
      <c r="U36" s="108"/>
      <c r="V36" s="128"/>
      <c r="W36" s="108"/>
      <c r="X36" s="128"/>
    </row>
    <row r="37" spans="1:66" ht="14" outlineLevel="1">
      <c r="A37" s="319">
        <f>INDEX(QS_Chart_Of_Accounts_Upload!$C:$O,MATCH(B37,QS_Chart_Of_Accounts_Upload!$E:$E,0),MATCH("ACCT_NO",QS_Chart_Of_Accounts_Upload!$C$1:$O$1,0))</f>
        <v>4855</v>
      </c>
      <c r="B37" s="319" t="str">
        <f>+'Other Income'!B23</f>
        <v>Garage or Tower Parking Permit</v>
      </c>
      <c r="C37" s="430"/>
      <c r="D37" s="431">
        <f t="shared" si="5"/>
        <v>0</v>
      </c>
      <c r="E37" s="430"/>
      <c r="F37" s="446">
        <f>+'Other Income'!C23</f>
        <v>0</v>
      </c>
      <c r="G37" s="446">
        <f>+'Other Income'!D23</f>
        <v>0</v>
      </c>
      <c r="H37" s="446">
        <f>+'Other Income'!E23</f>
        <v>0</v>
      </c>
      <c r="I37" s="446">
        <f>+'Other Income'!F23</f>
        <v>0</v>
      </c>
      <c r="J37" s="446">
        <f>+'Other Income'!G23</f>
        <v>0</v>
      </c>
      <c r="K37" s="446">
        <f>+'Other Income'!H23</f>
        <v>0</v>
      </c>
      <c r="L37" s="446">
        <f>+'Other Income'!I23</f>
        <v>0</v>
      </c>
      <c r="M37" s="446">
        <f>+'Other Income'!J23</f>
        <v>0</v>
      </c>
      <c r="N37" s="446">
        <f>+'Other Income'!K23</f>
        <v>0</v>
      </c>
      <c r="O37" s="446">
        <f>+'Other Income'!L23</f>
        <v>0</v>
      </c>
      <c r="P37" s="446">
        <f>+'Other Income'!M23</f>
        <v>0</v>
      </c>
      <c r="Q37" s="446">
        <f>+'Other Income'!N23</f>
        <v>0</v>
      </c>
      <c r="R37" s="431">
        <f t="shared" si="6"/>
        <v>0</v>
      </c>
      <c r="T37" s="448" t="str">
        <f>+IF('Other Income'!Q23="","",'Other Income'!Q23)</f>
        <v/>
      </c>
      <c r="U37" s="108"/>
      <c r="V37" s="128"/>
      <c r="W37" s="108"/>
      <c r="X37" s="128"/>
    </row>
    <row r="38" spans="1:66" ht="14" outlineLevel="1">
      <c r="A38" s="319">
        <f>INDEX(QS_Chart_Of_Accounts_Upload!$C:$O,MATCH(B38,QS_Chart_Of_Accounts_Upload!$E:$E,0),MATCH("ACCT_NO",QS_Chart_Of_Accounts_Upload!$C$1:$O$1,0))</f>
        <v>4856</v>
      </c>
      <c r="B38" s="319" t="str">
        <f>+'Other Income'!B24</f>
        <v>Interest Income</v>
      </c>
      <c r="C38" s="430"/>
      <c r="D38" s="431">
        <f t="shared" si="5"/>
        <v>0</v>
      </c>
      <c r="E38" s="430"/>
      <c r="F38" s="446">
        <f>+'Other Income'!C24</f>
        <v>0</v>
      </c>
      <c r="G38" s="446">
        <f>+'Other Income'!D24</f>
        <v>0</v>
      </c>
      <c r="H38" s="446">
        <f>+'Other Income'!E24</f>
        <v>0</v>
      </c>
      <c r="I38" s="446">
        <f>+'Other Income'!F24</f>
        <v>0</v>
      </c>
      <c r="J38" s="446">
        <f>+'Other Income'!G24</f>
        <v>0</v>
      </c>
      <c r="K38" s="446">
        <f>+'Other Income'!H24</f>
        <v>0</v>
      </c>
      <c r="L38" s="446">
        <f>+'Other Income'!I24</f>
        <v>0</v>
      </c>
      <c r="M38" s="446">
        <f>+'Other Income'!J24</f>
        <v>0</v>
      </c>
      <c r="N38" s="446">
        <f>+'Other Income'!K24</f>
        <v>0</v>
      </c>
      <c r="O38" s="446">
        <f>+'Other Income'!L24</f>
        <v>0</v>
      </c>
      <c r="P38" s="446">
        <f>+'Other Income'!M24</f>
        <v>0</v>
      </c>
      <c r="Q38" s="446">
        <f>+'Other Income'!N24</f>
        <v>0</v>
      </c>
      <c r="R38" s="431">
        <f t="shared" si="6"/>
        <v>0</v>
      </c>
      <c r="T38" s="448" t="str">
        <f>+IF('Other Income'!Q24="","",'Other Income'!Q24)</f>
        <v/>
      </c>
      <c r="U38" s="108"/>
      <c r="V38" s="128"/>
      <c r="W38" s="108"/>
      <c r="X38" s="128"/>
    </row>
    <row r="39" spans="1:66" ht="13.5" customHeight="1" outlineLevel="1">
      <c r="A39" s="319">
        <f>INDEX(QS_Chart_Of_Accounts_Upload!$C:$O,MATCH(B39,QS_Chart_Of_Accounts_Upload!$E:$E,0),MATCH("ACCT_NO",QS_Chart_Of_Accounts_Upload!$C$1:$O$1,0))</f>
        <v>4857</v>
      </c>
      <c r="B39" s="319" t="str">
        <f>+'Other Income'!B25</f>
        <v>Keys, Locks, Lock Changes</v>
      </c>
      <c r="C39" s="430"/>
      <c r="D39" s="431">
        <f t="shared" si="5"/>
        <v>0</v>
      </c>
      <c r="E39" s="430"/>
      <c r="F39" s="446">
        <f>+'Other Income'!C25</f>
        <v>0</v>
      </c>
      <c r="G39" s="446">
        <f>+'Other Income'!D25</f>
        <v>0</v>
      </c>
      <c r="H39" s="446">
        <f>+'Other Income'!E25</f>
        <v>0</v>
      </c>
      <c r="I39" s="446">
        <f>+'Other Income'!F25</f>
        <v>0</v>
      </c>
      <c r="J39" s="446">
        <f>+'Other Income'!G25</f>
        <v>0</v>
      </c>
      <c r="K39" s="446">
        <f>+'Other Income'!H25</f>
        <v>0</v>
      </c>
      <c r="L39" s="446">
        <f>+'Other Income'!I25</f>
        <v>0</v>
      </c>
      <c r="M39" s="446">
        <f>+'Other Income'!J25</f>
        <v>0</v>
      </c>
      <c r="N39" s="446">
        <f>+'Other Income'!K25</f>
        <v>0</v>
      </c>
      <c r="O39" s="446">
        <f>+'Other Income'!L25</f>
        <v>0</v>
      </c>
      <c r="P39" s="446">
        <f>+'Other Income'!M25</f>
        <v>0</v>
      </c>
      <c r="Q39" s="446">
        <f>+'Other Income'!N25</f>
        <v>0</v>
      </c>
      <c r="R39" s="431">
        <f t="shared" si="6"/>
        <v>0</v>
      </c>
      <c r="T39" s="448" t="str">
        <f>+IF('Other Income'!Q25="","",'Other Income'!Q25)</f>
        <v/>
      </c>
      <c r="U39" s="108"/>
      <c r="V39" s="128"/>
      <c r="W39" s="108"/>
      <c r="X39" s="128"/>
    </row>
    <row r="40" spans="1:66" ht="14" outlineLevel="1">
      <c r="A40" s="319">
        <f>INDEX(QS_Chart_Of_Accounts_Upload!$C:$O,MATCH(B40,QS_Chart_Of_Accounts_Upload!$E:$E,0),MATCH("ACCT_NO",QS_Chart_Of_Accounts_Upload!$C$1:$O$1,0))</f>
        <v>4858</v>
      </c>
      <c r="B40" s="319" t="str">
        <f>+'Other Income'!B26</f>
        <v>Late Charges</v>
      </c>
      <c r="C40" s="430"/>
      <c r="D40" s="431">
        <f t="shared" si="5"/>
        <v>3181.6575903614462</v>
      </c>
      <c r="E40" s="430"/>
      <c r="F40" s="446">
        <f>+'Other Income'!C26</f>
        <v>91.955421686747002</v>
      </c>
      <c r="G40" s="446">
        <f>+'Other Income'!D26</f>
        <v>105.74873493975906</v>
      </c>
      <c r="H40" s="446">
        <f>+'Other Income'!E26</f>
        <v>105.74873493975906</v>
      </c>
      <c r="I40" s="446">
        <f>+'Other Income'!F26</f>
        <v>105.74873493975906</v>
      </c>
      <c r="J40" s="446">
        <f>+'Other Income'!G26</f>
        <v>197.70415662650603</v>
      </c>
      <c r="K40" s="446">
        <f>+'Other Income'!H26</f>
        <v>312.64843373493983</v>
      </c>
      <c r="L40" s="446">
        <f>+'Other Income'!I26</f>
        <v>377.01722891566277</v>
      </c>
      <c r="M40" s="446">
        <f>+'Other Income'!J26</f>
        <v>377.01722891566277</v>
      </c>
      <c r="N40" s="446">
        <f>+'Other Income'!K26</f>
        <v>377.01722891566277</v>
      </c>
      <c r="O40" s="446">
        <f>+'Other Income'!L26</f>
        <v>377.01722891566277</v>
      </c>
      <c r="P40" s="446">
        <f>+'Other Income'!M26</f>
        <v>377.01722891566277</v>
      </c>
      <c r="Q40" s="446">
        <f>+'Other Income'!N26</f>
        <v>377.01722891566277</v>
      </c>
      <c r="R40" s="431">
        <f t="shared" si="6"/>
        <v>3181.6575903614462</v>
      </c>
      <c r="T40" s="448" t="str">
        <f>+IF('Other Income'!Q26="","",'Other Income'!Q26)</f>
        <v/>
      </c>
      <c r="U40" s="108" t="s">
        <v>502</v>
      </c>
      <c r="V40" s="453">
        <f>+IF('Other Income'!T26="","",'Other Income'!T26)</f>
        <v>0.05</v>
      </c>
      <c r="W40" s="108" t="s">
        <v>503</v>
      </c>
      <c r="X40" s="453">
        <f>+IF('Other Income'!V26="","",'Other Income'!V26)</f>
        <v>0.05</v>
      </c>
      <c r="Z40" s="454" t="str">
        <f>+IF('Other Income'!X26="","",'Other Income'!X26)</f>
        <v/>
      </c>
    </row>
    <row r="41" spans="1:66" ht="14" outlineLevel="1">
      <c r="A41" s="319">
        <f>INDEX(QS_Chart_Of_Accounts_Upload!$C:$O,MATCH(B41,QS_Chart_Of_Accounts_Upload!$E:$E,0),MATCH("ACCT_NO",QS_Chart_Of_Accounts_Upload!$C$1:$O$1,0))</f>
        <v>4859</v>
      </c>
      <c r="B41" s="319" t="str">
        <f>+'Other Income'!B27</f>
        <v>Concession of Late Charges</v>
      </c>
      <c r="C41" s="430"/>
      <c r="D41" s="431">
        <f t="shared" si="5"/>
        <v>0</v>
      </c>
      <c r="E41" s="430"/>
      <c r="F41" s="446">
        <f>+'Other Income'!C27</f>
        <v>0</v>
      </c>
      <c r="G41" s="446">
        <f>+'Other Income'!D27</f>
        <v>0</v>
      </c>
      <c r="H41" s="446">
        <f>+'Other Income'!E27</f>
        <v>0</v>
      </c>
      <c r="I41" s="446">
        <f>+'Other Income'!F27</f>
        <v>0</v>
      </c>
      <c r="J41" s="446">
        <f>+'Other Income'!G27</f>
        <v>0</v>
      </c>
      <c r="K41" s="446">
        <f>+'Other Income'!H27</f>
        <v>0</v>
      </c>
      <c r="L41" s="446">
        <f>+'Other Income'!I27</f>
        <v>0</v>
      </c>
      <c r="M41" s="446">
        <f>+'Other Income'!J27</f>
        <v>0</v>
      </c>
      <c r="N41" s="446">
        <f>+'Other Income'!K27</f>
        <v>0</v>
      </c>
      <c r="O41" s="446">
        <f>+'Other Income'!L27</f>
        <v>0</v>
      </c>
      <c r="P41" s="446">
        <f>+'Other Income'!M27</f>
        <v>0</v>
      </c>
      <c r="Q41" s="446">
        <f>+'Other Income'!N27</f>
        <v>0</v>
      </c>
      <c r="R41" s="431">
        <f t="shared" si="6"/>
        <v>0</v>
      </c>
      <c r="T41" s="448" t="str">
        <f>+IF('Other Income'!Q27="","",'Other Income'!Q27)</f>
        <v/>
      </c>
      <c r="U41" s="108"/>
      <c r="V41" s="128"/>
      <c r="W41" s="108"/>
      <c r="X41" s="128"/>
    </row>
    <row r="42" spans="1:66" ht="14" outlineLevel="1">
      <c r="A42" s="319">
        <f>INDEX(QS_Chart_Of_Accounts_Upload!$C:$O,MATCH(B42,QS_Chart_Of_Accounts_Upload!$E:$E,0),MATCH("ACCT_NO",QS_Chart_Of_Accounts_Upload!$C$1:$O$1,0))</f>
        <v>4860</v>
      </c>
      <c r="B42" s="319" t="str">
        <f>+'Other Income'!B28</f>
        <v>Laundry Room Income</v>
      </c>
      <c r="C42" s="430"/>
      <c r="D42" s="431">
        <f t="shared" si="5"/>
        <v>0</v>
      </c>
      <c r="E42" s="430"/>
      <c r="F42" s="446">
        <f>+'Other Income'!C28</f>
        <v>0</v>
      </c>
      <c r="G42" s="446">
        <f>+'Other Income'!D28</f>
        <v>0</v>
      </c>
      <c r="H42" s="446">
        <f>+'Other Income'!E28</f>
        <v>0</v>
      </c>
      <c r="I42" s="446">
        <f>+'Other Income'!F28</f>
        <v>0</v>
      </c>
      <c r="J42" s="446">
        <f>+'Other Income'!G28</f>
        <v>0</v>
      </c>
      <c r="K42" s="446">
        <f>+'Other Income'!H28</f>
        <v>0</v>
      </c>
      <c r="L42" s="446">
        <f>+'Other Income'!I28</f>
        <v>0</v>
      </c>
      <c r="M42" s="446">
        <f>+'Other Income'!J28</f>
        <v>0</v>
      </c>
      <c r="N42" s="446">
        <f>+'Other Income'!K28</f>
        <v>0</v>
      </c>
      <c r="O42" s="446">
        <f>+'Other Income'!L28</f>
        <v>0</v>
      </c>
      <c r="P42" s="446">
        <f>+'Other Income'!M28</f>
        <v>0</v>
      </c>
      <c r="Q42" s="446">
        <f>+'Other Income'!N28</f>
        <v>0</v>
      </c>
      <c r="R42" s="431">
        <f t="shared" si="6"/>
        <v>0</v>
      </c>
      <c r="T42" s="448" t="str">
        <f>+IF('Other Income'!Q28="","",'Other Income'!Q28)</f>
        <v/>
      </c>
      <c r="U42" s="108"/>
      <c r="V42" s="128"/>
      <c r="W42" s="108"/>
      <c r="X42" s="128"/>
    </row>
    <row r="43" spans="1:66" ht="15.75" customHeight="1" outlineLevel="1">
      <c r="A43" s="319">
        <f>INDEX(QS_Chart_Of_Accounts_Upload!$C:$O,MATCH(B43,QS_Chart_Of_Accounts_Upload!$E:$E,0),MATCH("ACCT_NO",QS_Chart_Of_Accounts_Upload!$C$1:$O$1,0))</f>
        <v>4865</v>
      </c>
      <c r="B43" s="319" t="str">
        <f>+'Other Income'!B29</f>
        <v>Lease Termination Fee Income</v>
      </c>
      <c r="C43" s="430"/>
      <c r="D43" s="431">
        <f t="shared" si="5"/>
        <v>0</v>
      </c>
      <c r="E43" s="430"/>
      <c r="F43" s="446">
        <f>+'Other Income'!C29</f>
        <v>0</v>
      </c>
      <c r="G43" s="446">
        <f>+'Other Income'!D29</f>
        <v>0</v>
      </c>
      <c r="H43" s="446">
        <f>+'Other Income'!E29</f>
        <v>0</v>
      </c>
      <c r="I43" s="446">
        <f>+'Other Income'!F29</f>
        <v>0</v>
      </c>
      <c r="J43" s="446">
        <f>+'Other Income'!G29</f>
        <v>0</v>
      </c>
      <c r="K43" s="446">
        <f>+'Other Income'!H29</f>
        <v>0</v>
      </c>
      <c r="L43" s="446">
        <f>+'Other Income'!I29</f>
        <v>0</v>
      </c>
      <c r="M43" s="446">
        <f>+'Other Income'!J29</f>
        <v>0</v>
      </c>
      <c r="N43" s="446">
        <f>+'Other Income'!K29</f>
        <v>0</v>
      </c>
      <c r="O43" s="446">
        <f>+'Other Income'!L29</f>
        <v>0</v>
      </c>
      <c r="P43" s="446">
        <f>+'Other Income'!M29</f>
        <v>0</v>
      </c>
      <c r="Q43" s="446">
        <f>+'Other Income'!N29</f>
        <v>0</v>
      </c>
      <c r="R43" s="431">
        <f t="shared" si="6"/>
        <v>0</v>
      </c>
      <c r="T43" s="448" t="str">
        <f>+IF('Other Income'!Q29="","",'Other Income'!Q29)</f>
        <v/>
      </c>
      <c r="U43" s="108"/>
      <c r="V43" s="128"/>
      <c r="W43" s="108"/>
      <c r="X43" s="128"/>
    </row>
    <row r="44" spans="1:66" s="6" customFormat="1" ht="14">
      <c r="A44" s="319">
        <f>INDEX(QS_Chart_Of_Accounts_Upload!$C:$O,MATCH(B44,QS_Chart_Of_Accounts_Upload!$E:$E,0),MATCH("ACCT_NO",QS_Chart_Of_Accounts_Upload!$C$1:$O$1,0))</f>
        <v>4870</v>
      </c>
      <c r="B44" s="319" t="str">
        <f>+'Other Income'!B30</f>
        <v>Legal &amp; Collection Fee Income</v>
      </c>
      <c r="C44" s="430"/>
      <c r="D44" s="431">
        <f t="shared" si="5"/>
        <v>0</v>
      </c>
      <c r="E44" s="430"/>
      <c r="F44" s="446">
        <f>+'Other Income'!C30</f>
        <v>0</v>
      </c>
      <c r="G44" s="446">
        <f>+'Other Income'!D30</f>
        <v>0</v>
      </c>
      <c r="H44" s="446">
        <f>+'Other Income'!E30</f>
        <v>0</v>
      </c>
      <c r="I44" s="446">
        <f>+'Other Income'!F30</f>
        <v>0</v>
      </c>
      <c r="J44" s="446">
        <f>+'Other Income'!G30</f>
        <v>0</v>
      </c>
      <c r="K44" s="446">
        <f>+'Other Income'!H30</f>
        <v>0</v>
      </c>
      <c r="L44" s="446">
        <f>+'Other Income'!I30</f>
        <v>0</v>
      </c>
      <c r="M44" s="446">
        <f>+'Other Income'!J30</f>
        <v>0</v>
      </c>
      <c r="N44" s="446">
        <f>+'Other Income'!K30</f>
        <v>0</v>
      </c>
      <c r="O44" s="446">
        <f>+'Other Income'!L30</f>
        <v>0</v>
      </c>
      <c r="P44" s="446">
        <f>+'Other Income'!M30</f>
        <v>0</v>
      </c>
      <c r="Q44" s="446">
        <f>+'Other Income'!N30</f>
        <v>0</v>
      </c>
      <c r="R44" s="431">
        <f t="shared" si="6"/>
        <v>0</v>
      </c>
      <c r="S44" s="2"/>
      <c r="T44" s="448" t="str">
        <f>+IF('Other Income'!Q30="","",'Other Income'!Q30)</f>
        <v/>
      </c>
      <c r="U44" s="108"/>
      <c r="V44" s="128"/>
      <c r="W44" s="108"/>
      <c r="X44" s="128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</row>
    <row r="45" spans="1:66" s="6" customFormat="1" ht="14">
      <c r="A45" s="319">
        <f>INDEX(QS_Chart_Of_Accounts_Upload!$C:$O,MATCH(B45,QS_Chart_Of_Accounts_Upload!$E:$E,0),MATCH("ACCT_NO",QS_Chart_Of_Accounts_Upload!$C$1:$O$1,0))</f>
        <v>4862</v>
      </c>
      <c r="B45" s="319" t="str">
        <f>+'Other Income'!B31</f>
        <v>Lease Lock Fee Income</v>
      </c>
      <c r="C45" s="430"/>
      <c r="D45" s="431">
        <f t="shared" ref="D45" si="7">+SUBTOTAL(9,F45:R45)</f>
        <v>28372</v>
      </c>
      <c r="E45" s="430"/>
      <c r="F45" s="446">
        <f>+'Other Income'!C31</f>
        <v>820</v>
      </c>
      <c r="G45" s="446">
        <f>+'Other Income'!D31</f>
        <v>943</v>
      </c>
      <c r="H45" s="446">
        <f>+'Other Income'!E31</f>
        <v>943</v>
      </c>
      <c r="I45" s="446">
        <f>+'Other Income'!F31</f>
        <v>943</v>
      </c>
      <c r="J45" s="446">
        <f>+'Other Income'!G31</f>
        <v>1763</v>
      </c>
      <c r="K45" s="446">
        <f>+'Other Income'!H31</f>
        <v>2788</v>
      </c>
      <c r="L45" s="446">
        <f>+'Other Income'!I31</f>
        <v>3362</v>
      </c>
      <c r="M45" s="446">
        <f>+'Other Income'!J31</f>
        <v>3362</v>
      </c>
      <c r="N45" s="446">
        <f>+'Other Income'!K31</f>
        <v>3362</v>
      </c>
      <c r="O45" s="446">
        <f>+'Other Income'!L31</f>
        <v>3362</v>
      </c>
      <c r="P45" s="446">
        <f>+'Other Income'!M31</f>
        <v>3362</v>
      </c>
      <c r="Q45" s="446">
        <f>+'Other Income'!N31</f>
        <v>3362</v>
      </c>
      <c r="R45" s="431">
        <f t="shared" ref="R45" si="8">+SUBTOTAL(9,F45:Q45)</f>
        <v>28372</v>
      </c>
      <c r="S45" s="2"/>
      <c r="T45" s="448" t="str">
        <f>+IF('Other Income'!Q31="","",'Other Income'!Q31)</f>
        <v/>
      </c>
      <c r="U45" s="108"/>
      <c r="V45" s="128"/>
      <c r="W45" s="108"/>
      <c r="X45" s="128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</row>
    <row r="46" spans="1:66" ht="14" outlineLevel="1">
      <c r="A46" s="319">
        <f>INDEX(QS_Chart_Of_Accounts_Upload!$C:$O,MATCH(B46,QS_Chart_Of_Accounts_Upload!$E:$E,0),MATCH("ACCT_NO",QS_Chart_Of_Accounts_Upload!$C$1:$O$1,0))</f>
        <v>4875</v>
      </c>
      <c r="B46" s="319" t="str">
        <f>+'Other Income'!B32</f>
        <v>Miscellaneous Income</v>
      </c>
      <c r="C46" s="430"/>
      <c r="D46" s="431">
        <f t="shared" si="5"/>
        <v>0</v>
      </c>
      <c r="E46" s="430"/>
      <c r="F46" s="446">
        <f>+'Other Income'!C32</f>
        <v>0</v>
      </c>
      <c r="G46" s="446">
        <f>+'Other Income'!D32</f>
        <v>0</v>
      </c>
      <c r="H46" s="446">
        <f>+'Other Income'!E32</f>
        <v>0</v>
      </c>
      <c r="I46" s="446">
        <f>+'Other Income'!F32</f>
        <v>0</v>
      </c>
      <c r="J46" s="446">
        <f>+'Other Income'!G32</f>
        <v>0</v>
      </c>
      <c r="K46" s="446">
        <f>+'Other Income'!H32</f>
        <v>0</v>
      </c>
      <c r="L46" s="446">
        <f>+'Other Income'!I32</f>
        <v>0</v>
      </c>
      <c r="M46" s="446">
        <f>+'Other Income'!J32</f>
        <v>0</v>
      </c>
      <c r="N46" s="446">
        <f>+'Other Income'!K32</f>
        <v>0</v>
      </c>
      <c r="O46" s="446">
        <f>+'Other Income'!L32</f>
        <v>0</v>
      </c>
      <c r="P46" s="446">
        <f>+'Other Income'!M32</f>
        <v>0</v>
      </c>
      <c r="Q46" s="446">
        <f>+'Other Income'!N32</f>
        <v>0</v>
      </c>
      <c r="R46" s="431">
        <f t="shared" si="6"/>
        <v>0</v>
      </c>
      <c r="T46" s="448" t="str">
        <f>+IF('Other Income'!Q32="","",'Other Income'!Q32)</f>
        <v/>
      </c>
      <c r="U46" s="108"/>
      <c r="V46" s="128"/>
      <c r="W46" s="108"/>
      <c r="X46" s="128"/>
    </row>
    <row r="47" spans="1:66" ht="14" outlineLevel="1">
      <c r="A47" s="319">
        <f>INDEX(QS_Chart_Of_Accounts_Upload!$C:$O,MATCH(B47,QS_Chart_Of_Accounts_Upload!$E:$E,0),MATCH("ACCT_NO",QS_Chart_Of_Accounts_Upload!$C$1:$O$1,0))</f>
        <v>4876</v>
      </c>
      <c r="B47" s="319" t="str">
        <f>+'Other Income'!B33</f>
        <v>Renters Insurance Reimbursement</v>
      </c>
      <c r="C47" s="430"/>
      <c r="D47" s="431">
        <f t="shared" si="5"/>
        <v>332</v>
      </c>
      <c r="E47" s="430"/>
      <c r="F47" s="446">
        <f>+'Other Income'!C33</f>
        <v>83</v>
      </c>
      <c r="G47" s="446">
        <f>+'Other Income'!D33</f>
        <v>0</v>
      </c>
      <c r="H47" s="446">
        <f>+'Other Income'!E33</f>
        <v>0</v>
      </c>
      <c r="I47" s="446">
        <f>+'Other Income'!F33</f>
        <v>83</v>
      </c>
      <c r="J47" s="446">
        <f>+'Other Income'!G33</f>
        <v>0</v>
      </c>
      <c r="K47" s="446">
        <f>+'Other Income'!H33</f>
        <v>0</v>
      </c>
      <c r="L47" s="446">
        <f>+'Other Income'!I33</f>
        <v>83</v>
      </c>
      <c r="M47" s="446">
        <f>+'Other Income'!J33</f>
        <v>0</v>
      </c>
      <c r="N47" s="446">
        <f>+'Other Income'!K33</f>
        <v>0</v>
      </c>
      <c r="O47" s="446">
        <f>+'Other Income'!L33</f>
        <v>83</v>
      </c>
      <c r="P47" s="446">
        <f>+'Other Income'!M33</f>
        <v>0</v>
      </c>
      <c r="Q47" s="446">
        <f>+'Other Income'!N33</f>
        <v>0</v>
      </c>
      <c r="R47" s="431">
        <f t="shared" si="6"/>
        <v>332</v>
      </c>
      <c r="T47" s="448" t="str">
        <f>+IF('Other Income'!Q33="","",'Other Income'!Q33)</f>
        <v/>
      </c>
      <c r="U47" s="108"/>
      <c r="V47" s="128"/>
      <c r="W47" s="108"/>
      <c r="X47" s="128"/>
    </row>
    <row r="48" spans="1:66" ht="14" outlineLevel="1">
      <c r="A48" s="319">
        <f>INDEX(QS_Chart_Of_Accounts_Upload!$C:$O,MATCH(B48,QS_Chart_Of_Accounts_Upload!$E:$E,0),MATCH("ACCT_NO",QS_Chart_Of_Accounts_Upload!$C$1:$O$1,0))</f>
        <v>4880</v>
      </c>
      <c r="B48" s="319" t="str">
        <f>+'Other Income'!B34</f>
        <v>Month to Month Fees</v>
      </c>
      <c r="C48" s="430"/>
      <c r="D48" s="431">
        <f t="shared" si="5"/>
        <v>0</v>
      </c>
      <c r="E48" s="430"/>
      <c r="F48" s="446">
        <f>+'Other Income'!C34</f>
        <v>0</v>
      </c>
      <c r="G48" s="446">
        <f>+'Other Income'!D34</f>
        <v>0</v>
      </c>
      <c r="H48" s="446">
        <f>+'Other Income'!E34</f>
        <v>0</v>
      </c>
      <c r="I48" s="446">
        <f>+'Other Income'!F34</f>
        <v>0</v>
      </c>
      <c r="J48" s="446">
        <f>+'Other Income'!G34</f>
        <v>0</v>
      </c>
      <c r="K48" s="446">
        <f>+'Other Income'!H34</f>
        <v>0</v>
      </c>
      <c r="L48" s="446">
        <f>+'Other Income'!I34</f>
        <v>0</v>
      </c>
      <c r="M48" s="446">
        <f>+'Other Income'!J34</f>
        <v>0</v>
      </c>
      <c r="N48" s="446">
        <f>+'Other Income'!K34</f>
        <v>0</v>
      </c>
      <c r="O48" s="446">
        <f>+'Other Income'!L34</f>
        <v>0</v>
      </c>
      <c r="P48" s="446">
        <f>+'Other Income'!M34</f>
        <v>0</v>
      </c>
      <c r="Q48" s="446">
        <f>+'Other Income'!N34</f>
        <v>0</v>
      </c>
      <c r="R48" s="431">
        <f t="shared" si="6"/>
        <v>0</v>
      </c>
      <c r="T48" s="448" t="str">
        <f>+IF('Other Income'!Q34="","",'Other Income'!Q34)</f>
        <v/>
      </c>
      <c r="U48" s="108"/>
      <c r="V48" s="128"/>
      <c r="W48" s="108"/>
      <c r="X48" s="128"/>
    </row>
    <row r="49" spans="1:24" ht="15.75" customHeight="1" outlineLevel="1">
      <c r="A49" s="319">
        <f>INDEX(QS_Chart_Of_Accounts_Upload!$C:$O,MATCH(B49,QS_Chart_Of_Accounts_Upload!$E:$E,0),MATCH("ACCT_NO",QS_Chart_Of_Accounts_Upload!$C$1:$O$1,0))</f>
        <v>4885</v>
      </c>
      <c r="B49" s="319" t="str">
        <f>+'Other Income'!B35</f>
        <v>NSF Fee Income</v>
      </c>
      <c r="C49" s="430"/>
      <c r="D49" s="431">
        <f t="shared" si="5"/>
        <v>0</v>
      </c>
      <c r="E49" s="430"/>
      <c r="F49" s="446">
        <f>+'Other Income'!C35</f>
        <v>0</v>
      </c>
      <c r="G49" s="446">
        <f>+'Other Income'!D35</f>
        <v>0</v>
      </c>
      <c r="H49" s="446">
        <f>+'Other Income'!E35</f>
        <v>0</v>
      </c>
      <c r="I49" s="446">
        <f>+'Other Income'!F35</f>
        <v>0</v>
      </c>
      <c r="J49" s="446">
        <f>+'Other Income'!G35</f>
        <v>0</v>
      </c>
      <c r="K49" s="446">
        <f>+'Other Income'!H35</f>
        <v>0</v>
      </c>
      <c r="L49" s="446">
        <f>+'Other Income'!I35</f>
        <v>0</v>
      </c>
      <c r="M49" s="446">
        <f>+'Other Income'!J35</f>
        <v>0</v>
      </c>
      <c r="N49" s="446">
        <f>+'Other Income'!K35</f>
        <v>0</v>
      </c>
      <c r="O49" s="446">
        <f>+'Other Income'!L35</f>
        <v>0</v>
      </c>
      <c r="P49" s="446">
        <f>+'Other Income'!M35</f>
        <v>0</v>
      </c>
      <c r="Q49" s="446">
        <f>+'Other Income'!N35</f>
        <v>0</v>
      </c>
      <c r="R49" s="431">
        <f t="shared" si="6"/>
        <v>0</v>
      </c>
      <c r="T49" s="448" t="str">
        <f>+IF('Other Income'!Q35="","",'Other Income'!Q35)</f>
        <v/>
      </c>
      <c r="U49" s="108"/>
      <c r="V49" s="128"/>
      <c r="W49" s="108"/>
      <c r="X49" s="128"/>
    </row>
    <row r="50" spans="1:24" ht="16.5" customHeight="1" outlineLevel="1">
      <c r="A50" s="319">
        <f>INDEX(QS_Chart_Of_Accounts_Upload!$C:$O,MATCH(B50,QS_Chart_Of_Accounts_Upload!$E:$E,0),MATCH("ACCT_NO",QS_Chart_Of_Accounts_Upload!$C$1:$O$1,0))</f>
        <v>4890</v>
      </c>
      <c r="B50" s="319" t="str">
        <f>+'Other Income'!B36</f>
        <v>Reserved Parking</v>
      </c>
      <c r="C50" s="430"/>
      <c r="D50" s="431">
        <f t="shared" si="5"/>
        <v>0</v>
      </c>
      <c r="E50" s="430"/>
      <c r="F50" s="446">
        <f>+'Other Income'!C36</f>
        <v>0</v>
      </c>
      <c r="G50" s="446">
        <f>+'Other Income'!D36</f>
        <v>0</v>
      </c>
      <c r="H50" s="446">
        <f>+'Other Income'!E36</f>
        <v>0</v>
      </c>
      <c r="I50" s="446">
        <f>+'Other Income'!F36</f>
        <v>0</v>
      </c>
      <c r="J50" s="446">
        <f>+'Other Income'!G36</f>
        <v>0</v>
      </c>
      <c r="K50" s="446">
        <f>+'Other Income'!H36</f>
        <v>0</v>
      </c>
      <c r="L50" s="446">
        <f>+'Other Income'!I36</f>
        <v>0</v>
      </c>
      <c r="M50" s="446">
        <f>+'Other Income'!J36</f>
        <v>0</v>
      </c>
      <c r="N50" s="446">
        <f>+'Other Income'!K36</f>
        <v>0</v>
      </c>
      <c r="O50" s="446">
        <f>+'Other Income'!L36</f>
        <v>0</v>
      </c>
      <c r="P50" s="446">
        <f>+'Other Income'!M36</f>
        <v>0</v>
      </c>
      <c r="Q50" s="446">
        <f>+'Other Income'!N36</f>
        <v>0</v>
      </c>
      <c r="R50" s="431">
        <f t="shared" si="6"/>
        <v>0</v>
      </c>
      <c r="T50" s="448" t="str">
        <f>+IF('Other Income'!Q36="","",'Other Income'!Q36)</f>
        <v>Reserved Parking</v>
      </c>
      <c r="U50" s="108" t="s">
        <v>163</v>
      </c>
      <c r="V50" s="448">
        <f>+IF('Other Income'!T36="","",'Other Income'!T36)</f>
        <v>0</v>
      </c>
      <c r="W50" s="108" t="s">
        <v>164</v>
      </c>
      <c r="X50" s="448">
        <f>+IF('Other Income'!V36="","",'Other Income'!V36)</f>
        <v>0</v>
      </c>
    </row>
    <row r="51" spans="1:24" ht="14" outlineLevel="1">
      <c r="A51" s="319"/>
      <c r="B51" s="319"/>
      <c r="C51" s="430"/>
      <c r="D51" s="431"/>
      <c r="E51" s="430"/>
      <c r="F51" s="446"/>
      <c r="G51" s="446"/>
      <c r="H51" s="446"/>
      <c r="I51" s="446"/>
      <c r="J51" s="446"/>
      <c r="K51" s="446"/>
      <c r="L51" s="446"/>
      <c r="M51" s="446"/>
      <c r="N51" s="446"/>
      <c r="O51" s="446"/>
      <c r="P51" s="446"/>
      <c r="Q51" s="446"/>
      <c r="R51" s="431"/>
      <c r="T51" s="448" t="str">
        <f>+IF('Other Income'!Q37="","",'Other Income'!Q37)</f>
        <v/>
      </c>
      <c r="U51" s="108"/>
      <c r="V51" s="128"/>
      <c r="W51" s="108"/>
      <c r="X51" s="128"/>
    </row>
    <row r="52" spans="1:24" ht="14" outlineLevel="1">
      <c r="A52" s="319">
        <f>INDEX(QS_Chart_Of_Accounts_Upload!$C:$O,MATCH(B52,QS_Chart_Of_Accounts_Upload!$E:$E,0),MATCH("ACCT_NO",QS_Chart_Of_Accounts_Upload!$C$1:$O$1,0))</f>
        <v>4891</v>
      </c>
      <c r="B52" s="319" t="str">
        <f>+'Other Income'!B38</f>
        <v>Parking Concessions</v>
      </c>
      <c r="C52" s="430"/>
      <c r="D52" s="431">
        <f t="shared" ref="D52:D58" si="9">+SUBTOTAL(9,F52:R52)</f>
        <v>0</v>
      </c>
      <c r="E52" s="430"/>
      <c r="F52" s="446">
        <f>+'Other Income'!C38</f>
        <v>0</v>
      </c>
      <c r="G52" s="446">
        <f>+'Other Income'!D38</f>
        <v>0</v>
      </c>
      <c r="H52" s="446">
        <f>+'Other Income'!E38</f>
        <v>0</v>
      </c>
      <c r="I52" s="446">
        <f>+'Other Income'!F38</f>
        <v>0</v>
      </c>
      <c r="J52" s="446">
        <f>+'Other Income'!G38</f>
        <v>0</v>
      </c>
      <c r="K52" s="446">
        <f>+'Other Income'!H38</f>
        <v>0</v>
      </c>
      <c r="L52" s="446">
        <f>+'Other Income'!I38</f>
        <v>0</v>
      </c>
      <c r="M52" s="446">
        <f>+'Other Income'!J38</f>
        <v>0</v>
      </c>
      <c r="N52" s="446">
        <f>+'Other Income'!K38</f>
        <v>0</v>
      </c>
      <c r="O52" s="446">
        <f>+'Other Income'!L38</f>
        <v>0</v>
      </c>
      <c r="P52" s="446">
        <f>+'Other Income'!M38</f>
        <v>0</v>
      </c>
      <c r="Q52" s="446">
        <f>+'Other Income'!N38</f>
        <v>0</v>
      </c>
      <c r="R52" s="431">
        <f t="shared" ref="R52:R58" si="10">+SUBTOTAL(9,F52:Q52)</f>
        <v>0</v>
      </c>
      <c r="T52" s="448" t="str">
        <f>+IF('Other Income'!Q38="","",'Other Income'!Q38)</f>
        <v/>
      </c>
      <c r="U52" s="108"/>
      <c r="V52" s="128"/>
      <c r="W52" s="108"/>
      <c r="X52" s="128"/>
    </row>
    <row r="53" spans="1:24" ht="14" outlineLevel="1">
      <c r="A53" s="319">
        <f>INDEX(QS_Chart_Of_Accounts_Upload!$C:$O,MATCH(B53,QS_Chart_Of_Accounts_Upload!$E:$E,0),MATCH("ACCT_NO",QS_Chart_Of_Accounts_Upload!$C$1:$O$1,0))</f>
        <v>4895</v>
      </c>
      <c r="B53" s="319" t="str">
        <f>+'Other Income'!B39</f>
        <v>Pest Control Reimbursement</v>
      </c>
      <c r="C53" s="430"/>
      <c r="D53" s="431">
        <f t="shared" si="9"/>
        <v>2768</v>
      </c>
      <c r="E53" s="430"/>
      <c r="F53" s="446">
        <f>+'Other Income'!C39</f>
        <v>80</v>
      </c>
      <c r="G53" s="446">
        <f>+'Other Income'!D39</f>
        <v>92</v>
      </c>
      <c r="H53" s="446">
        <f>+'Other Income'!E39</f>
        <v>92</v>
      </c>
      <c r="I53" s="446">
        <f>+'Other Income'!F39</f>
        <v>92</v>
      </c>
      <c r="J53" s="446">
        <f>+'Other Income'!G39</f>
        <v>172</v>
      </c>
      <c r="K53" s="446">
        <f>+'Other Income'!H39</f>
        <v>272</v>
      </c>
      <c r="L53" s="446">
        <f>+'Other Income'!I39</f>
        <v>328</v>
      </c>
      <c r="M53" s="446">
        <f>+'Other Income'!J39</f>
        <v>328</v>
      </c>
      <c r="N53" s="446">
        <f>+'Other Income'!K39</f>
        <v>328</v>
      </c>
      <c r="O53" s="446">
        <f>+'Other Income'!L39</f>
        <v>328</v>
      </c>
      <c r="P53" s="446">
        <f>+'Other Income'!M39</f>
        <v>328</v>
      </c>
      <c r="Q53" s="446">
        <f>+'Other Income'!N39</f>
        <v>328</v>
      </c>
      <c r="R53" s="431">
        <f t="shared" si="10"/>
        <v>2768</v>
      </c>
      <c r="T53" s="448" t="str">
        <f>+IF('Other Income'!Q39="","",'Other Income'!Q39)</f>
        <v/>
      </c>
      <c r="U53" s="108" t="s">
        <v>168</v>
      </c>
      <c r="V53" s="449">
        <f>+IF('Other Income'!T39="","",'Other Income'!T39)</f>
        <v>4</v>
      </c>
      <c r="W53" s="108"/>
      <c r="X53" s="128"/>
    </row>
    <row r="54" spans="1:24" ht="14" outlineLevel="1">
      <c r="A54" s="319">
        <f>INDEX(QS_Chart_Of_Accounts_Upload!$C:$O,MATCH(B54,QS_Chart_Of_Accounts_Upload!$E:$E,0),MATCH("ACCT_NO",QS_Chart_Of_Accounts_Upload!$C$1:$O$1,0))</f>
        <v>4900</v>
      </c>
      <c r="B54" s="319" t="str">
        <f>+'Other Income'!B40</f>
        <v>Pet Fee Income</v>
      </c>
      <c r="C54" s="430"/>
      <c r="D54" s="431">
        <f t="shared" si="9"/>
        <v>7380</v>
      </c>
      <c r="E54" s="430"/>
      <c r="F54" s="446">
        <f>+'Other Income'!C40</f>
        <v>1800</v>
      </c>
      <c r="G54" s="446">
        <f>+'Other Income'!D40</f>
        <v>270</v>
      </c>
      <c r="H54" s="446">
        <f>+'Other Income'!E40</f>
        <v>0</v>
      </c>
      <c r="I54" s="446">
        <f>+'Other Income'!F40</f>
        <v>0</v>
      </c>
      <c r="J54" s="446">
        <f>+'Other Income'!G40</f>
        <v>1800</v>
      </c>
      <c r="K54" s="446">
        <f>+'Other Income'!H40</f>
        <v>2250</v>
      </c>
      <c r="L54" s="446">
        <f>+'Other Income'!I40</f>
        <v>1260</v>
      </c>
      <c r="M54" s="446">
        <f>+'Other Income'!J40</f>
        <v>0</v>
      </c>
      <c r="N54" s="446">
        <f>+'Other Income'!K40</f>
        <v>0</v>
      </c>
      <c r="O54" s="446">
        <f>+'Other Income'!L40</f>
        <v>0</v>
      </c>
      <c r="P54" s="446">
        <f>+'Other Income'!M40</f>
        <v>0</v>
      </c>
      <c r="Q54" s="446">
        <f>+'Other Income'!N40</f>
        <v>0</v>
      </c>
      <c r="R54" s="431">
        <f t="shared" si="10"/>
        <v>7380</v>
      </c>
      <c r="T54" s="448" t="str">
        <f>+IF('Other Income'!Q40="","",'Other Income'!Q40)</f>
        <v/>
      </c>
      <c r="U54" s="108" t="s">
        <v>480</v>
      </c>
      <c r="V54" s="449">
        <f>+IF('Other Income'!T40="","",'Other Income'!T40)</f>
        <v>300</v>
      </c>
      <c r="W54" s="108" t="s">
        <v>481</v>
      </c>
      <c r="X54" s="453">
        <f>+IF('Other Income'!V40="","",'Other Income'!V40)</f>
        <v>0.3</v>
      </c>
    </row>
    <row r="55" spans="1:24" ht="14" outlineLevel="1">
      <c r="A55" s="319">
        <f>INDEX(QS_Chart_Of_Accounts_Upload!$C:$O,MATCH(B55,QS_Chart_Of_Accounts_Upload!$E:$E,0),MATCH("ACCT_NO",QS_Chart_Of_Accounts_Upload!$C$1:$O$1,0))</f>
        <v>4900.1000000000004</v>
      </c>
      <c r="B55" s="319" t="str">
        <f>+'Other Income'!B41</f>
        <v>Pet Rent Income</v>
      </c>
      <c r="C55" s="430"/>
      <c r="D55" s="431">
        <f t="shared" si="9"/>
        <v>5190</v>
      </c>
      <c r="E55" s="430"/>
      <c r="F55" s="446">
        <f>+'Other Income'!C41</f>
        <v>150</v>
      </c>
      <c r="G55" s="446">
        <f>+'Other Income'!D41</f>
        <v>172.5</v>
      </c>
      <c r="H55" s="446">
        <f>+'Other Income'!E41</f>
        <v>172.5</v>
      </c>
      <c r="I55" s="446">
        <f>+'Other Income'!F41</f>
        <v>172.5</v>
      </c>
      <c r="J55" s="446">
        <f>+'Other Income'!G41</f>
        <v>322.5</v>
      </c>
      <c r="K55" s="446">
        <f>+'Other Income'!H41</f>
        <v>509.99999999999994</v>
      </c>
      <c r="L55" s="446">
        <f>+'Other Income'!I41</f>
        <v>615</v>
      </c>
      <c r="M55" s="446">
        <f>+'Other Income'!J41</f>
        <v>615</v>
      </c>
      <c r="N55" s="446">
        <f>+'Other Income'!K41</f>
        <v>615</v>
      </c>
      <c r="O55" s="446">
        <f>+'Other Income'!L41</f>
        <v>615</v>
      </c>
      <c r="P55" s="446">
        <f>+'Other Income'!M41</f>
        <v>615</v>
      </c>
      <c r="Q55" s="446">
        <f>+'Other Income'!N41</f>
        <v>615</v>
      </c>
      <c r="R55" s="431">
        <f t="shared" si="10"/>
        <v>5190</v>
      </c>
      <c r="T55" s="448" t="str">
        <f>+IF('Other Income'!Q41="","",'Other Income'!Q41)</f>
        <v/>
      </c>
      <c r="U55" s="108" t="s">
        <v>10</v>
      </c>
      <c r="V55" s="449">
        <f>+IF('Other Income'!T41="","",'Other Income'!T41)</f>
        <v>25</v>
      </c>
      <c r="W55" s="108" t="s">
        <v>482</v>
      </c>
      <c r="X55" s="453">
        <f>+IF('Other Income'!V41="","",'Other Income'!V41)</f>
        <v>0.3</v>
      </c>
    </row>
    <row r="56" spans="1:24" ht="14" outlineLevel="1">
      <c r="A56" s="319">
        <f>INDEX(QS_Chart_Of_Accounts_Upload!$C:$O,MATCH(B56,QS_Chart_Of_Accounts_Upload!$E:$E,0),MATCH("ACCT_NO",QS_Chart_Of_Accounts_Upload!$C$1:$O$1,0))</f>
        <v>4901</v>
      </c>
      <c r="B56" s="319" t="str">
        <f>+'Other Income'!B42</f>
        <v>Cleaning Fees</v>
      </c>
      <c r="C56" s="430"/>
      <c r="D56" s="431">
        <f t="shared" si="9"/>
        <v>0</v>
      </c>
      <c r="E56" s="430"/>
      <c r="F56" s="446">
        <f>+'Other Income'!C42</f>
        <v>0</v>
      </c>
      <c r="G56" s="446">
        <f>+'Other Income'!D42</f>
        <v>0</v>
      </c>
      <c r="H56" s="446">
        <f>+'Other Income'!E42</f>
        <v>0</v>
      </c>
      <c r="I56" s="446">
        <f>+'Other Income'!F42</f>
        <v>0</v>
      </c>
      <c r="J56" s="446">
        <f>+'Other Income'!G42</f>
        <v>0</v>
      </c>
      <c r="K56" s="446">
        <f>+'Other Income'!H42</f>
        <v>0</v>
      </c>
      <c r="L56" s="446">
        <f>+'Other Income'!I42</f>
        <v>0</v>
      </c>
      <c r="M56" s="446">
        <f>+'Other Income'!J42</f>
        <v>0</v>
      </c>
      <c r="N56" s="446">
        <f>+'Other Income'!K42</f>
        <v>0</v>
      </c>
      <c r="O56" s="446">
        <f>+'Other Income'!L42</f>
        <v>0</v>
      </c>
      <c r="P56" s="446">
        <f>+'Other Income'!M42</f>
        <v>0</v>
      </c>
      <c r="Q56" s="446">
        <f>+'Other Income'!N42</f>
        <v>0</v>
      </c>
      <c r="R56" s="431">
        <f t="shared" si="10"/>
        <v>0</v>
      </c>
      <c r="T56" s="448" t="str">
        <f>+IF('Other Income'!Q42="","",'Other Income'!Q42)</f>
        <v/>
      </c>
      <c r="U56" s="108" t="s">
        <v>162</v>
      </c>
      <c r="V56" s="449">
        <f>+IF('Other Income'!T42="","",'Other Income'!T42)</f>
        <v>95</v>
      </c>
      <c r="W56" s="450"/>
      <c r="X56" s="451"/>
    </row>
    <row r="57" spans="1:24" ht="14" outlineLevel="1">
      <c r="A57" s="319">
        <f>INDEX(QS_Chart_Of_Accounts_Upload!$C:$O,MATCH(B57,QS_Chart_Of_Accounts_Upload!$E:$E,0),MATCH("ACCT_NO",QS_Chart_Of_Accounts_Upload!$C$1:$O$1,0))</f>
        <v>4905</v>
      </c>
      <c r="B57" s="319" t="str">
        <f>+'Other Income'!B43</f>
        <v xml:space="preserve">Short Term Premium </v>
      </c>
      <c r="C57" s="430"/>
      <c r="D57" s="431">
        <f t="shared" si="9"/>
        <v>0</v>
      </c>
      <c r="E57" s="430"/>
      <c r="F57" s="446">
        <f>+'Other Income'!C43</f>
        <v>0</v>
      </c>
      <c r="G57" s="446">
        <f>+'Other Income'!D43</f>
        <v>0</v>
      </c>
      <c r="H57" s="446">
        <f>+'Other Income'!E43</f>
        <v>0</v>
      </c>
      <c r="I57" s="446">
        <f>+'Other Income'!F43</f>
        <v>0</v>
      </c>
      <c r="J57" s="446">
        <f>+'Other Income'!G43</f>
        <v>0</v>
      </c>
      <c r="K57" s="446">
        <f>+'Other Income'!H43</f>
        <v>0</v>
      </c>
      <c r="L57" s="446">
        <f>+'Other Income'!I43</f>
        <v>0</v>
      </c>
      <c r="M57" s="446">
        <f>+'Other Income'!J43</f>
        <v>0</v>
      </c>
      <c r="N57" s="446">
        <f>+'Other Income'!K43</f>
        <v>0</v>
      </c>
      <c r="O57" s="446">
        <f>+'Other Income'!L43</f>
        <v>0</v>
      </c>
      <c r="P57" s="446">
        <f>+'Other Income'!M43</f>
        <v>0</v>
      </c>
      <c r="Q57" s="446">
        <f>+'Other Income'!N43</f>
        <v>0</v>
      </c>
      <c r="R57" s="431">
        <f t="shared" si="10"/>
        <v>0</v>
      </c>
      <c r="T57" s="448" t="str">
        <f>+IF('Other Income'!Q43="","",'Other Income'!Q43)</f>
        <v/>
      </c>
      <c r="U57" s="108"/>
      <c r="V57" s="128"/>
      <c r="W57" s="108"/>
      <c r="X57" s="128"/>
    </row>
    <row r="58" spans="1:24" ht="14" outlineLevel="1">
      <c r="A58" s="319">
        <f>INDEX(QS_Chart_Of_Accounts_Upload!$C:$O,MATCH(B58,QS_Chart_Of_Accounts_Upload!$E:$E,0),MATCH("ACCT_NO",QS_Chart_Of_Accounts_Upload!$C$1:$O$1,0))</f>
        <v>4910</v>
      </c>
      <c r="B58" s="319" t="str">
        <f>+'Other Income'!B44</f>
        <v>Storage Space Rental</v>
      </c>
      <c r="C58" s="430"/>
      <c r="D58" s="431">
        <f t="shared" si="9"/>
        <v>6339</v>
      </c>
      <c r="E58" s="430"/>
      <c r="F58" s="446">
        <f>+'Other Income'!C44</f>
        <v>81</v>
      </c>
      <c r="G58" s="446">
        <f>+'Other Income'!D44</f>
        <v>163</v>
      </c>
      <c r="H58" s="446">
        <f>+'Other Income'!E44</f>
        <v>244</v>
      </c>
      <c r="I58" s="446">
        <f>+'Other Income'!F44</f>
        <v>325</v>
      </c>
      <c r="J58" s="446">
        <f>+'Other Income'!G44</f>
        <v>406</v>
      </c>
      <c r="K58" s="446">
        <f>+'Other Income'!H44</f>
        <v>488</v>
      </c>
      <c r="L58" s="446">
        <f>+'Other Income'!I44</f>
        <v>569</v>
      </c>
      <c r="M58" s="446">
        <f>+'Other Income'!J44</f>
        <v>650</v>
      </c>
      <c r="N58" s="446">
        <f>+'Other Income'!K44</f>
        <v>731</v>
      </c>
      <c r="O58" s="446">
        <f>+'Other Income'!L44</f>
        <v>813</v>
      </c>
      <c r="P58" s="446">
        <f>+'Other Income'!M44</f>
        <v>894</v>
      </c>
      <c r="Q58" s="446">
        <f>+'Other Income'!N44</f>
        <v>975</v>
      </c>
      <c r="R58" s="431">
        <f t="shared" si="10"/>
        <v>6339</v>
      </c>
      <c r="T58" s="448" t="str">
        <f>+IF('Other Income'!Q44="","",'Other Income'!Q44)</f>
        <v/>
      </c>
      <c r="U58" s="108" t="s">
        <v>166</v>
      </c>
      <c r="V58" s="448">
        <f>+IF('Other Income'!T44="","",'Other Income'!T44)</f>
        <v>25</v>
      </c>
      <c r="W58" s="108" t="s">
        <v>164</v>
      </c>
      <c r="X58" s="449">
        <f>+IF('Other Income'!V44="","",'Other Income'!V44)</f>
        <v>65</v>
      </c>
    </row>
    <row r="59" spans="1:24" ht="14" outlineLevel="1">
      <c r="A59" s="319"/>
      <c r="B59" s="319"/>
      <c r="C59" s="430"/>
      <c r="D59" s="431"/>
      <c r="E59" s="430"/>
      <c r="F59" s="446"/>
      <c r="G59" s="446"/>
      <c r="H59" s="446"/>
      <c r="I59" s="446"/>
      <c r="J59" s="446"/>
      <c r="K59" s="446"/>
      <c r="L59" s="446"/>
      <c r="M59" s="446"/>
      <c r="N59" s="446"/>
      <c r="O59" s="446"/>
      <c r="P59" s="446"/>
      <c r="Q59" s="446"/>
      <c r="R59" s="431"/>
      <c r="T59" s="448" t="str">
        <f>+IF('Other Income'!Q45="","",'Other Income'!Q45)</f>
        <v/>
      </c>
      <c r="U59" s="108"/>
      <c r="V59" s="128"/>
      <c r="W59" s="108"/>
      <c r="X59" s="455"/>
    </row>
    <row r="60" spans="1:24" ht="14" outlineLevel="1">
      <c r="A60" s="319">
        <f>INDEX(QS_Chart_Of_Accounts_Upload!$C:$O,MATCH(B60,QS_Chart_Of_Accounts_Upload!$E:$E,0),MATCH("ACCT_NO",QS_Chart_Of_Accounts_Upload!$C$1:$O$1,0))</f>
        <v>4911</v>
      </c>
      <c r="B60" s="319" t="str">
        <f>+'Other Income'!B46</f>
        <v>Storage Space Rental Concession</v>
      </c>
      <c r="C60" s="430"/>
      <c r="D60" s="431">
        <f t="shared" ref="D60:D72" si="11">+SUBTOTAL(9,F60:R60)</f>
        <v>0</v>
      </c>
      <c r="E60" s="430"/>
      <c r="F60" s="446">
        <f>+'Other Income'!C46</f>
        <v>0</v>
      </c>
      <c r="G60" s="446">
        <f>+'Other Income'!D46</f>
        <v>0</v>
      </c>
      <c r="H60" s="446">
        <f>+'Other Income'!E46</f>
        <v>0</v>
      </c>
      <c r="I60" s="446">
        <f>+'Other Income'!F46</f>
        <v>0</v>
      </c>
      <c r="J60" s="446">
        <f>+'Other Income'!G46</f>
        <v>0</v>
      </c>
      <c r="K60" s="446">
        <f>+'Other Income'!H46</f>
        <v>0</v>
      </c>
      <c r="L60" s="446">
        <f>+'Other Income'!I46</f>
        <v>0</v>
      </c>
      <c r="M60" s="446">
        <f>+'Other Income'!J46</f>
        <v>0</v>
      </c>
      <c r="N60" s="446">
        <f>+'Other Income'!K46</f>
        <v>0</v>
      </c>
      <c r="O60" s="446">
        <f>+'Other Income'!L46</f>
        <v>0</v>
      </c>
      <c r="P60" s="446">
        <f>+'Other Income'!M46</f>
        <v>0</v>
      </c>
      <c r="Q60" s="446">
        <f>+'Other Income'!N46</f>
        <v>0</v>
      </c>
      <c r="R60" s="431">
        <f t="shared" ref="R60:R72" si="12">+SUBTOTAL(9,F60:Q60)</f>
        <v>0</v>
      </c>
      <c r="T60" s="448" t="str">
        <f>+IF('Other Income'!Q46="","",'Other Income'!Q46)</f>
        <v/>
      </c>
      <c r="U60" s="108"/>
      <c r="V60" s="128"/>
      <c r="W60" s="108"/>
      <c r="X60" s="455"/>
    </row>
    <row r="61" spans="1:24" ht="14" outlineLevel="1">
      <c r="A61" s="319">
        <f>INDEX(QS_Chart_Of_Accounts_Upload!$C:$O,MATCH(B61,QS_Chart_Of_Accounts_Upload!$E:$E,0),MATCH("ACCT_NO",QS_Chart_Of_Accounts_Upload!$C$1:$O$1,0))</f>
        <v>4912</v>
      </c>
      <c r="B61" s="319" t="str">
        <f>+'Other Income'!B47</f>
        <v>Storm Water Reimbursement</v>
      </c>
      <c r="C61" s="430"/>
      <c r="D61" s="431">
        <f t="shared" si="11"/>
        <v>0</v>
      </c>
      <c r="E61" s="430"/>
      <c r="F61" s="446">
        <f>+'Other Income'!C47</f>
        <v>0</v>
      </c>
      <c r="G61" s="446">
        <f>+'Other Income'!D47</f>
        <v>0</v>
      </c>
      <c r="H61" s="446">
        <f>+'Other Income'!E47</f>
        <v>0</v>
      </c>
      <c r="I61" s="446">
        <f>+'Other Income'!F47</f>
        <v>0</v>
      </c>
      <c r="J61" s="446">
        <f>+'Other Income'!G47</f>
        <v>0</v>
      </c>
      <c r="K61" s="446">
        <f>+'Other Income'!H47</f>
        <v>0</v>
      </c>
      <c r="L61" s="446">
        <f>+'Other Income'!I47</f>
        <v>0</v>
      </c>
      <c r="M61" s="446">
        <f>+'Other Income'!J47</f>
        <v>0</v>
      </c>
      <c r="N61" s="446">
        <f>+'Other Income'!K47</f>
        <v>0</v>
      </c>
      <c r="O61" s="446">
        <f>+'Other Income'!L47</f>
        <v>0</v>
      </c>
      <c r="P61" s="446">
        <f>+'Other Income'!M47</f>
        <v>0</v>
      </c>
      <c r="Q61" s="446">
        <f>+'Other Income'!N47</f>
        <v>0</v>
      </c>
      <c r="R61" s="431">
        <f t="shared" si="12"/>
        <v>0</v>
      </c>
      <c r="T61" s="448" t="str">
        <f>+IF('Other Income'!Q47="","",'Other Income'!Q47)</f>
        <v/>
      </c>
      <c r="U61" s="108"/>
      <c r="V61" s="128"/>
      <c r="W61" s="108"/>
      <c r="X61" s="128"/>
    </row>
    <row r="62" spans="1:24" ht="14" outlineLevel="1">
      <c r="A62" s="319">
        <f>INDEX(QS_Chart_Of_Accounts_Upload!$C:$O,MATCH(B62,QS_Chart_Of_Accounts_Upload!$E:$E,0),MATCH("ACCT_NO",QS_Chart_Of_Accounts_Upload!$C$1:$O$1,0))</f>
        <v>4920</v>
      </c>
      <c r="B62" s="319" t="str">
        <f>+'Other Income'!B48</f>
        <v>Transfer Fee</v>
      </c>
      <c r="C62" s="430"/>
      <c r="D62" s="431">
        <f t="shared" si="11"/>
        <v>0</v>
      </c>
      <c r="E62" s="430"/>
      <c r="F62" s="446">
        <f>+'Other Income'!C48</f>
        <v>0</v>
      </c>
      <c r="G62" s="446">
        <f>+'Other Income'!D48</f>
        <v>0</v>
      </c>
      <c r="H62" s="446">
        <f>+'Other Income'!E48</f>
        <v>0</v>
      </c>
      <c r="I62" s="446">
        <f>+'Other Income'!F48</f>
        <v>0</v>
      </c>
      <c r="J62" s="446">
        <f>+'Other Income'!G48</f>
        <v>0</v>
      </c>
      <c r="K62" s="446">
        <f>+'Other Income'!H48</f>
        <v>0</v>
      </c>
      <c r="L62" s="446">
        <f>+'Other Income'!I48</f>
        <v>0</v>
      </c>
      <c r="M62" s="446">
        <f>+'Other Income'!J48</f>
        <v>0</v>
      </c>
      <c r="N62" s="446">
        <f>+'Other Income'!K48</f>
        <v>0</v>
      </c>
      <c r="O62" s="446">
        <f>+'Other Income'!L48</f>
        <v>0</v>
      </c>
      <c r="P62" s="446">
        <f>+'Other Income'!M48</f>
        <v>0</v>
      </c>
      <c r="Q62" s="446">
        <f>+'Other Income'!N48</f>
        <v>0</v>
      </c>
      <c r="R62" s="431">
        <f t="shared" si="12"/>
        <v>0</v>
      </c>
      <c r="T62" s="448" t="str">
        <f>+IF('Other Income'!Q48="","",'Other Income'!Q48)</f>
        <v/>
      </c>
      <c r="U62" s="108"/>
      <c r="V62" s="128"/>
      <c r="W62" s="108"/>
      <c r="X62" s="128"/>
    </row>
    <row r="63" spans="1:24" ht="14" outlineLevel="1">
      <c r="A63" s="319">
        <f>INDEX(QS_Chart_Of_Accounts_Upload!$C:$O,MATCH(B63,QS_Chart_Of_Accounts_Upload!$E:$E,0),MATCH("ACCT_NO",QS_Chart_Of_Accounts_Upload!$C$1:$O$1,0))</f>
        <v>4930</v>
      </c>
      <c r="B63" s="319" t="str">
        <f>+'Other Income'!B49</f>
        <v>Trash Reimbursement - Door to door pickup</v>
      </c>
      <c r="C63" s="430"/>
      <c r="D63" s="431">
        <f t="shared" si="11"/>
        <v>17300</v>
      </c>
      <c r="E63" s="430"/>
      <c r="F63" s="446">
        <f>+'Other Income'!C49</f>
        <v>500</v>
      </c>
      <c r="G63" s="446">
        <f>+'Other Income'!D49</f>
        <v>575</v>
      </c>
      <c r="H63" s="446">
        <f>+'Other Income'!E49</f>
        <v>575</v>
      </c>
      <c r="I63" s="446">
        <f>+'Other Income'!F49</f>
        <v>575</v>
      </c>
      <c r="J63" s="446">
        <f>+'Other Income'!G49</f>
        <v>1075</v>
      </c>
      <c r="K63" s="446">
        <f>+'Other Income'!H49</f>
        <v>1700</v>
      </c>
      <c r="L63" s="446">
        <f>+'Other Income'!I49</f>
        <v>2050</v>
      </c>
      <c r="M63" s="446">
        <f>+'Other Income'!J49</f>
        <v>2050</v>
      </c>
      <c r="N63" s="446">
        <f>+'Other Income'!K49</f>
        <v>2050</v>
      </c>
      <c r="O63" s="446">
        <f>+'Other Income'!L49</f>
        <v>2050</v>
      </c>
      <c r="P63" s="446">
        <f>+'Other Income'!M49</f>
        <v>2050</v>
      </c>
      <c r="Q63" s="446">
        <f>+'Other Income'!N49</f>
        <v>2050</v>
      </c>
      <c r="R63" s="431">
        <f t="shared" si="12"/>
        <v>17300</v>
      </c>
      <c r="T63" s="448" t="str">
        <f>+IF('Other Income'!Q49="","",'Other Income'!Q49)</f>
        <v/>
      </c>
      <c r="U63" s="108" t="s">
        <v>170</v>
      </c>
      <c r="V63" s="449">
        <f>+IF('Other Income'!T49="","",'Other Income'!T49)</f>
        <v>25</v>
      </c>
      <c r="W63" s="108"/>
      <c r="X63" s="128"/>
    </row>
    <row r="64" spans="1:24" ht="14" outlineLevel="1">
      <c r="A64" s="319">
        <f>INDEX(QS_Chart_Of_Accounts_Upload!$C:$O,MATCH(B64,QS_Chart_Of_Accounts_Upload!$E:$E,0),MATCH("ACCT_NO",QS_Chart_Of_Accounts_Upload!$C$1:$O$1,0))</f>
        <v>4932</v>
      </c>
      <c r="B64" s="319" t="str">
        <f>+'Other Income'!B50</f>
        <v xml:space="preserve">Trash Reimbursement </v>
      </c>
      <c r="C64" s="430"/>
      <c r="D64" s="431">
        <f t="shared" si="11"/>
        <v>3460</v>
      </c>
      <c r="E64" s="430"/>
      <c r="F64" s="446">
        <f>+'Other Income'!C50</f>
        <v>99.999999999999986</v>
      </c>
      <c r="G64" s="446">
        <f>+'Other Income'!D50</f>
        <v>114.99999999999999</v>
      </c>
      <c r="H64" s="446">
        <f>+'Other Income'!E50</f>
        <v>114.99999999999999</v>
      </c>
      <c r="I64" s="446">
        <f>+'Other Income'!F50</f>
        <v>114.99999999999999</v>
      </c>
      <c r="J64" s="446">
        <f>+'Other Income'!G50</f>
        <v>215.00000000000003</v>
      </c>
      <c r="K64" s="446">
        <f>+'Other Income'!H50</f>
        <v>339.99999999999994</v>
      </c>
      <c r="L64" s="446">
        <f>+'Other Income'!I50</f>
        <v>410</v>
      </c>
      <c r="M64" s="446">
        <f>+'Other Income'!J50</f>
        <v>410</v>
      </c>
      <c r="N64" s="446">
        <f>+'Other Income'!K50</f>
        <v>410</v>
      </c>
      <c r="O64" s="446">
        <f>+'Other Income'!L50</f>
        <v>410</v>
      </c>
      <c r="P64" s="446">
        <f>+'Other Income'!M50</f>
        <v>410</v>
      </c>
      <c r="Q64" s="446">
        <f>+'Other Income'!N50</f>
        <v>410</v>
      </c>
      <c r="R64" s="431">
        <f t="shared" si="12"/>
        <v>3460</v>
      </c>
      <c r="T64" s="448" t="str">
        <f>+IF('Other Income'!Q50="","",'Other Income'!Q50)</f>
        <v/>
      </c>
      <c r="U64" s="108" t="s">
        <v>169</v>
      </c>
      <c r="V64" s="449">
        <f>+IF('Other Income'!T50="","",'Other Income'!T50)</f>
        <v>5</v>
      </c>
      <c r="W64" s="108"/>
      <c r="X64" s="128"/>
    </row>
    <row r="65" spans="1:24" ht="14" outlineLevel="1">
      <c r="A65" s="319">
        <f>INDEX(QS_Chart_Of_Accounts_Upload!$C:$O,MATCH(B65,QS_Chart_Of_Accounts_Upload!$E:$E,0),MATCH("ACCT_NO",QS_Chart_Of_Accounts_Upload!$C$1:$O$1,0))</f>
        <v>4940</v>
      </c>
      <c r="B65" s="319" t="str">
        <f>+'Other Income'!B51</f>
        <v>Utility Reimbursement</v>
      </c>
      <c r="C65" s="430"/>
      <c r="D65" s="431">
        <f t="shared" si="11"/>
        <v>2595</v>
      </c>
      <c r="E65" s="430"/>
      <c r="F65" s="446">
        <f>+'Other Income'!C51</f>
        <v>75</v>
      </c>
      <c r="G65" s="446">
        <f>+'Other Income'!D51</f>
        <v>86.25</v>
      </c>
      <c r="H65" s="446">
        <f>+'Other Income'!E51</f>
        <v>86.25</v>
      </c>
      <c r="I65" s="446">
        <f>+'Other Income'!F51</f>
        <v>86.25</v>
      </c>
      <c r="J65" s="446">
        <f>+'Other Income'!G51</f>
        <v>161.25</v>
      </c>
      <c r="K65" s="446">
        <f>+'Other Income'!H51</f>
        <v>255</v>
      </c>
      <c r="L65" s="446">
        <f>+'Other Income'!I51</f>
        <v>307.5</v>
      </c>
      <c r="M65" s="446">
        <f>+'Other Income'!J51</f>
        <v>307.5</v>
      </c>
      <c r="N65" s="446">
        <f>+'Other Income'!K51</f>
        <v>307.5</v>
      </c>
      <c r="O65" s="446">
        <f>+'Other Income'!L51</f>
        <v>307.5</v>
      </c>
      <c r="P65" s="446">
        <f>+'Other Income'!M51</f>
        <v>307.5</v>
      </c>
      <c r="Q65" s="446">
        <f>+'Other Income'!N51</f>
        <v>307.5</v>
      </c>
      <c r="R65" s="431">
        <f t="shared" si="12"/>
        <v>2595</v>
      </c>
      <c r="T65" s="448" t="str">
        <f>+IF('Other Income'!Q51="","",'Other Income'!Q51)</f>
        <v/>
      </c>
      <c r="U65" s="108" t="s">
        <v>171</v>
      </c>
      <c r="V65" s="449">
        <f>+IF('Other Income'!T51="","",'Other Income'!T51)</f>
        <v>3.75</v>
      </c>
      <c r="W65" s="108"/>
      <c r="X65" s="128"/>
    </row>
    <row r="66" spans="1:24" ht="13.5" customHeight="1" outlineLevel="1">
      <c r="A66" s="319">
        <f>INDEX(QS_Chart_Of_Accounts_Upload!$C:$O,MATCH(B66,QS_Chart_Of_Accounts_Upload!$E:$E,0),MATCH("ACCT_NO",QS_Chart_Of_Accounts_Upload!$C$1:$O$1,0))</f>
        <v>4942</v>
      </c>
      <c r="B66" s="319" t="str">
        <f>+'Other Income'!B52</f>
        <v>Utilities - Billing Fee Reimbursement</v>
      </c>
      <c r="C66" s="430"/>
      <c r="D66" s="431">
        <f t="shared" si="11"/>
        <v>0</v>
      </c>
      <c r="E66" s="430"/>
      <c r="F66" s="446">
        <f>+'Other Income'!C52</f>
        <v>0</v>
      </c>
      <c r="G66" s="446">
        <f>+'Other Income'!D52</f>
        <v>0</v>
      </c>
      <c r="H66" s="446">
        <f>+'Other Income'!E52</f>
        <v>0</v>
      </c>
      <c r="I66" s="446">
        <f>+'Other Income'!F52</f>
        <v>0</v>
      </c>
      <c r="J66" s="446">
        <f>+'Other Income'!G52</f>
        <v>0</v>
      </c>
      <c r="K66" s="446">
        <f>+'Other Income'!H52</f>
        <v>0</v>
      </c>
      <c r="L66" s="446">
        <f>+'Other Income'!I52</f>
        <v>0</v>
      </c>
      <c r="M66" s="446">
        <f>+'Other Income'!J52</f>
        <v>0</v>
      </c>
      <c r="N66" s="446">
        <f>+'Other Income'!K52</f>
        <v>0</v>
      </c>
      <c r="O66" s="446">
        <f>+'Other Income'!L52</f>
        <v>0</v>
      </c>
      <c r="P66" s="446">
        <f>+'Other Income'!M52</f>
        <v>0</v>
      </c>
      <c r="Q66" s="446">
        <f>+'Other Income'!N52</f>
        <v>0</v>
      </c>
      <c r="R66" s="431">
        <f t="shared" si="12"/>
        <v>0</v>
      </c>
      <c r="T66" s="448" t="str">
        <f>+IF('Other Income'!Q52="","",'Other Income'!Q52)</f>
        <v/>
      </c>
      <c r="U66" s="108"/>
      <c r="V66" s="128"/>
      <c r="W66" s="108"/>
      <c r="X66" s="128"/>
    </row>
    <row r="67" spans="1:24" ht="13.5" customHeight="1" outlineLevel="1">
      <c r="A67" s="319">
        <f>INDEX(QS_Chart_Of_Accounts_Upload!$C:$O,MATCH(B67,QS_Chart_Of_Accounts_Upload!$E:$E,0),MATCH("ACCT_NO",QS_Chart_Of_Accounts_Upload!$C$1:$O$1,0))</f>
        <v>4945</v>
      </c>
      <c r="B67" s="319" t="str">
        <f>+'Other Income'!B53</f>
        <v>Gas Reimbursement</v>
      </c>
      <c r="C67" s="430"/>
      <c r="D67" s="431">
        <f t="shared" si="11"/>
        <v>0</v>
      </c>
      <c r="E67" s="430"/>
      <c r="F67" s="446">
        <f>+'Other Income'!C53</f>
        <v>0</v>
      </c>
      <c r="G67" s="446">
        <f>+'Other Income'!D53</f>
        <v>0</v>
      </c>
      <c r="H67" s="446">
        <f>+'Other Income'!E53</f>
        <v>0</v>
      </c>
      <c r="I67" s="446">
        <f>+'Other Income'!F53</f>
        <v>0</v>
      </c>
      <c r="J67" s="446">
        <f>+'Other Income'!G53</f>
        <v>0</v>
      </c>
      <c r="K67" s="446">
        <f>+'Other Income'!H53</f>
        <v>0</v>
      </c>
      <c r="L67" s="446">
        <f>+'Other Income'!I53</f>
        <v>0</v>
      </c>
      <c r="M67" s="446">
        <f>+'Other Income'!J53</f>
        <v>0</v>
      </c>
      <c r="N67" s="446">
        <f>+'Other Income'!K53</f>
        <v>0</v>
      </c>
      <c r="O67" s="446">
        <f>+'Other Income'!L53</f>
        <v>0</v>
      </c>
      <c r="P67" s="446">
        <f>+'Other Income'!M53</f>
        <v>0</v>
      </c>
      <c r="Q67" s="446">
        <f>+'Other Income'!N53</f>
        <v>0</v>
      </c>
      <c r="R67" s="431">
        <f t="shared" si="12"/>
        <v>0</v>
      </c>
      <c r="T67" s="448" t="str">
        <f>+IF('Other Income'!Q53="","",'Other Income'!Q53)</f>
        <v/>
      </c>
      <c r="U67" s="108"/>
      <c r="V67" s="128"/>
      <c r="W67" s="108"/>
      <c r="X67" s="128"/>
    </row>
    <row r="68" spans="1:24" ht="13.5" customHeight="1" outlineLevel="1">
      <c r="A68" s="319">
        <f>INDEX(QS_Chart_Of_Accounts_Upload!$C:$O,MATCH(B68,QS_Chart_Of_Accounts_Upload!$E:$E,0),MATCH("ACCT_NO",QS_Chart_Of_Accounts_Upload!$C$1:$O$1,0))</f>
        <v>4950</v>
      </c>
      <c r="B68" s="319" t="str">
        <f>+'Other Income'!B54</f>
        <v>Vending Income</v>
      </c>
      <c r="C68" s="430"/>
      <c r="D68" s="431">
        <f t="shared" si="11"/>
        <v>0</v>
      </c>
      <c r="E68" s="430"/>
      <c r="F68" s="446">
        <f>+'Other Income'!C54</f>
        <v>0</v>
      </c>
      <c r="G68" s="446">
        <f>+'Other Income'!D54</f>
        <v>0</v>
      </c>
      <c r="H68" s="446">
        <f>+'Other Income'!E54</f>
        <v>0</v>
      </c>
      <c r="I68" s="446">
        <f>+'Other Income'!F54</f>
        <v>0</v>
      </c>
      <c r="J68" s="446">
        <f>+'Other Income'!G54</f>
        <v>0</v>
      </c>
      <c r="K68" s="446">
        <f>+'Other Income'!H54</f>
        <v>0</v>
      </c>
      <c r="L68" s="446">
        <f>+'Other Income'!I54</f>
        <v>0</v>
      </c>
      <c r="M68" s="446">
        <f>+'Other Income'!J54</f>
        <v>0</v>
      </c>
      <c r="N68" s="446">
        <f>+'Other Income'!K54</f>
        <v>0</v>
      </c>
      <c r="O68" s="446">
        <f>+'Other Income'!L54</f>
        <v>0</v>
      </c>
      <c r="P68" s="446">
        <f>+'Other Income'!M54</f>
        <v>0</v>
      </c>
      <c r="Q68" s="446">
        <f>+'Other Income'!N54</f>
        <v>0</v>
      </c>
      <c r="R68" s="431">
        <f t="shared" si="12"/>
        <v>0</v>
      </c>
      <c r="T68" s="448" t="str">
        <f>+IF('Other Income'!Q54="","",'Other Income'!Q54)</f>
        <v/>
      </c>
      <c r="U68" s="108"/>
      <c r="V68" s="128"/>
      <c r="W68" s="108"/>
      <c r="X68" s="128"/>
    </row>
    <row r="69" spans="1:24" ht="13.5" customHeight="1" outlineLevel="1">
      <c r="A69" s="319">
        <f>INDEX(QS_Chart_Of_Accounts_Upload!$C:$O,MATCH(B69,QS_Chart_Of_Accounts_Upload!$E:$E,0),MATCH("ACCT_NO",QS_Chart_Of_Accounts_Upload!$C$1:$O$1,0))</f>
        <v>4970</v>
      </c>
      <c r="B69" s="319" t="str">
        <f>+'Other Income'!B55</f>
        <v>Washer / Dryer Rental Income</v>
      </c>
      <c r="C69" s="430"/>
      <c r="D69" s="431">
        <f t="shared" si="11"/>
        <v>0</v>
      </c>
      <c r="E69" s="430"/>
      <c r="F69" s="446">
        <f>+'Other Income'!C55</f>
        <v>0</v>
      </c>
      <c r="G69" s="446">
        <f>+'Other Income'!D55</f>
        <v>0</v>
      </c>
      <c r="H69" s="446">
        <f>+'Other Income'!E55</f>
        <v>0</v>
      </c>
      <c r="I69" s="446">
        <f>+'Other Income'!F55</f>
        <v>0</v>
      </c>
      <c r="J69" s="446">
        <f>+'Other Income'!G55</f>
        <v>0</v>
      </c>
      <c r="K69" s="446">
        <f>+'Other Income'!H55</f>
        <v>0</v>
      </c>
      <c r="L69" s="446">
        <f>+'Other Income'!I55</f>
        <v>0</v>
      </c>
      <c r="M69" s="446">
        <f>+'Other Income'!J55</f>
        <v>0</v>
      </c>
      <c r="N69" s="446">
        <f>+'Other Income'!K55</f>
        <v>0</v>
      </c>
      <c r="O69" s="446">
        <f>+'Other Income'!L55</f>
        <v>0</v>
      </c>
      <c r="P69" s="446">
        <f>+'Other Income'!M55</f>
        <v>0</v>
      </c>
      <c r="Q69" s="446">
        <f>+'Other Income'!N55</f>
        <v>0</v>
      </c>
      <c r="R69" s="431">
        <f t="shared" si="12"/>
        <v>0</v>
      </c>
      <c r="T69" s="448" t="str">
        <f>+IF('Other Income'!Q55="","",'Other Income'!Q55)</f>
        <v/>
      </c>
      <c r="U69" s="108"/>
      <c r="V69" s="128"/>
      <c r="W69" s="108"/>
      <c r="X69" s="128"/>
    </row>
    <row r="70" spans="1:24" ht="13.5" customHeight="1" outlineLevel="1">
      <c r="A70" s="319">
        <f>INDEX(QS_Chart_Of_Accounts_Upload!$C:$O,MATCH(B70,QS_Chart_Of_Accounts_Upload!$E:$E,0),MATCH("ACCT_NO",QS_Chart_Of_Accounts_Upload!$C$1:$O$1,0))</f>
        <v>4980</v>
      </c>
      <c r="B70" s="319" t="str">
        <f>+'Other Income'!B56</f>
        <v>Water/Sewer Reimbursement</v>
      </c>
      <c r="C70" s="430"/>
      <c r="D70" s="431">
        <f t="shared" si="11"/>
        <v>16608</v>
      </c>
      <c r="E70" s="430"/>
      <c r="F70" s="446">
        <f>+'Other Income'!C56</f>
        <v>480</v>
      </c>
      <c r="G70" s="446">
        <f>+'Other Income'!D56</f>
        <v>552</v>
      </c>
      <c r="H70" s="446">
        <f>+'Other Income'!E56</f>
        <v>552</v>
      </c>
      <c r="I70" s="446">
        <f>+'Other Income'!F56</f>
        <v>552</v>
      </c>
      <c r="J70" s="446">
        <f>+'Other Income'!G56</f>
        <v>1032</v>
      </c>
      <c r="K70" s="446">
        <f>+'Other Income'!H56</f>
        <v>1632</v>
      </c>
      <c r="L70" s="446">
        <f>+'Other Income'!I56</f>
        <v>1968</v>
      </c>
      <c r="M70" s="446">
        <f>+'Other Income'!J56</f>
        <v>1968</v>
      </c>
      <c r="N70" s="446">
        <f>+'Other Income'!K56</f>
        <v>1968</v>
      </c>
      <c r="O70" s="446">
        <f>+'Other Income'!L56</f>
        <v>1968</v>
      </c>
      <c r="P70" s="446">
        <f>+'Other Income'!M56</f>
        <v>1968</v>
      </c>
      <c r="Q70" s="446">
        <f>+'Other Income'!N56</f>
        <v>1968</v>
      </c>
      <c r="R70" s="431">
        <f t="shared" si="12"/>
        <v>16608</v>
      </c>
      <c r="T70" s="448" t="str">
        <f>+IF('Other Income'!Q56="","",'Other Income'!Q56)</f>
        <v/>
      </c>
      <c r="U70" s="108" t="s">
        <v>172</v>
      </c>
      <c r="V70" s="453">
        <f>+IF('Other Income'!T56="","",'Other Income'!T56)</f>
        <v>0.8</v>
      </c>
      <c r="W70" s="108"/>
      <c r="X70" s="128"/>
    </row>
    <row r="71" spans="1:24" ht="13.5" customHeight="1" outlineLevel="1">
      <c r="A71" s="319">
        <f>INDEX(QS_Chart_Of_Accounts_Upload!$C:$O,MATCH(B71,QS_Chart_Of_Accounts_Upload!$E:$E,0),MATCH("ACCT_NO",QS_Chart_Of_Accounts_Upload!$C$1:$O$1,0))</f>
        <v>4990</v>
      </c>
      <c r="B71" s="319" t="str">
        <f>+'Other Income'!B57</f>
        <v>CAM Income</v>
      </c>
      <c r="C71" s="430"/>
      <c r="D71" s="431">
        <f t="shared" si="11"/>
        <v>0</v>
      </c>
      <c r="E71" s="430"/>
      <c r="F71" s="446">
        <f>+'Other Income'!C57</f>
        <v>0</v>
      </c>
      <c r="G71" s="446">
        <f>+'Other Income'!D57</f>
        <v>0</v>
      </c>
      <c r="H71" s="446">
        <f>+'Other Income'!E57</f>
        <v>0</v>
      </c>
      <c r="I71" s="446">
        <f>+'Other Income'!F57</f>
        <v>0</v>
      </c>
      <c r="J71" s="446">
        <f>+'Other Income'!G57</f>
        <v>0</v>
      </c>
      <c r="K71" s="446">
        <f>+'Other Income'!H57</f>
        <v>0</v>
      </c>
      <c r="L71" s="446">
        <f>+'Other Income'!I57</f>
        <v>0</v>
      </c>
      <c r="M71" s="446">
        <f>+'Other Income'!J57</f>
        <v>0</v>
      </c>
      <c r="N71" s="446">
        <f>+'Other Income'!K57</f>
        <v>0</v>
      </c>
      <c r="O71" s="446">
        <f>+'Other Income'!L57</f>
        <v>0</v>
      </c>
      <c r="P71" s="446">
        <f>+'Other Income'!M57</f>
        <v>0</v>
      </c>
      <c r="Q71" s="446">
        <f>+'Other Income'!N57</f>
        <v>0</v>
      </c>
      <c r="R71" s="431">
        <f t="shared" si="12"/>
        <v>0</v>
      </c>
      <c r="T71" s="448" t="str">
        <f>+IF('Other Income'!Q57="","",'Other Income'!Q57)</f>
        <v/>
      </c>
      <c r="U71" s="108"/>
      <c r="V71" s="128"/>
      <c r="W71" s="108"/>
      <c r="X71" s="128"/>
    </row>
    <row r="72" spans="1:24" ht="13.5" customHeight="1" outlineLevel="1">
      <c r="A72" s="319">
        <f>INDEX(QS_Chart_Of_Accounts_Upload!$C:$O,MATCH(B72,QS_Chart_Of_Accounts_Upload!$E:$E,0),MATCH("ACCT_NO",QS_Chart_Of_Accounts_Upload!$C$1:$O$1,0))</f>
        <v>4991</v>
      </c>
      <c r="B72" s="319" t="str">
        <f>+'Other Income'!B58</f>
        <v>Bad Debt - Other</v>
      </c>
      <c r="C72" s="430"/>
      <c r="D72" s="431">
        <f t="shared" si="11"/>
        <v>0</v>
      </c>
      <c r="E72" s="430"/>
      <c r="F72" s="446">
        <f>+'Other Income'!C58</f>
        <v>0</v>
      </c>
      <c r="G72" s="446">
        <f>+'Other Income'!D58</f>
        <v>0</v>
      </c>
      <c r="H72" s="446">
        <f>+'Other Income'!E58</f>
        <v>0</v>
      </c>
      <c r="I72" s="446">
        <f>+'Other Income'!F58</f>
        <v>0</v>
      </c>
      <c r="J72" s="446">
        <f>+'Other Income'!G58</f>
        <v>0</v>
      </c>
      <c r="K72" s="446">
        <f>+'Other Income'!H58</f>
        <v>0</v>
      </c>
      <c r="L72" s="446">
        <f>+'Other Income'!I58</f>
        <v>0</v>
      </c>
      <c r="M72" s="446">
        <f>+'Other Income'!J58</f>
        <v>0</v>
      </c>
      <c r="N72" s="446">
        <f>+'Other Income'!K58</f>
        <v>0</v>
      </c>
      <c r="O72" s="446">
        <f>+'Other Income'!L58</f>
        <v>0</v>
      </c>
      <c r="P72" s="446">
        <f>+'Other Income'!M58</f>
        <v>0</v>
      </c>
      <c r="Q72" s="446">
        <f>+'Other Income'!N58</f>
        <v>0</v>
      </c>
      <c r="R72" s="431">
        <f t="shared" si="12"/>
        <v>0</v>
      </c>
      <c r="T72" s="448" t="str">
        <f>+IF('Other Income'!Q58="","",'Other Income'!Q58)</f>
        <v/>
      </c>
      <c r="U72" s="108"/>
      <c r="V72" s="128"/>
      <c r="W72" s="108"/>
      <c r="X72" s="128"/>
    </row>
    <row r="73" spans="1:24" ht="13.5" customHeight="1" outlineLevel="1">
      <c r="A73" s="319"/>
      <c r="B73" s="430"/>
      <c r="C73" s="430"/>
      <c r="D73" s="445"/>
      <c r="E73" s="430"/>
      <c r="F73" s="446"/>
      <c r="G73" s="446"/>
      <c r="H73" s="446"/>
      <c r="I73" s="446"/>
      <c r="J73" s="446"/>
      <c r="K73" s="446"/>
      <c r="L73" s="446"/>
      <c r="M73" s="446"/>
      <c r="N73" s="446"/>
      <c r="O73" s="446"/>
      <c r="P73" s="446"/>
      <c r="Q73" s="446"/>
      <c r="R73" s="445"/>
    </row>
    <row r="74" spans="1:24" outlineLevel="1">
      <c r="A74" s="319"/>
      <c r="B74" s="430"/>
      <c r="C74" s="430"/>
      <c r="D74" s="437"/>
      <c r="E74" s="430"/>
      <c r="F74" s="436"/>
      <c r="G74" s="436"/>
      <c r="H74" s="436"/>
      <c r="I74" s="436"/>
      <c r="J74" s="436"/>
      <c r="K74" s="436"/>
      <c r="L74" s="436"/>
      <c r="M74" s="436"/>
      <c r="N74" s="436"/>
      <c r="O74" s="436"/>
      <c r="P74" s="436"/>
      <c r="Q74" s="436"/>
      <c r="R74" s="437"/>
    </row>
    <row r="75" spans="1:24" s="108" customFormat="1">
      <c r="A75" s="319"/>
      <c r="B75" s="427" t="s">
        <v>11</v>
      </c>
      <c r="C75" s="427"/>
      <c r="D75" s="431">
        <f>+SUBTOTAL(9,F75:R75)</f>
        <v>181175.65759036143</v>
      </c>
      <c r="E75" s="427"/>
      <c r="F75" s="456">
        <f>SUM(F21:F74)</f>
        <v>10760.955421686747</v>
      </c>
      <c r="G75" s="456">
        <f t="shared" ref="G75:Q75" si="13">SUM(G21:G74)</f>
        <v>6049.4987349397588</v>
      </c>
      <c r="H75" s="456">
        <f t="shared" si="13"/>
        <v>5185.4987349397588</v>
      </c>
      <c r="I75" s="456">
        <f t="shared" si="13"/>
        <v>5349.4987349397588</v>
      </c>
      <c r="J75" s="456">
        <f t="shared" si="13"/>
        <v>15944.454156626505</v>
      </c>
      <c r="K75" s="456">
        <f t="shared" si="13"/>
        <v>22972.648433734939</v>
      </c>
      <c r="L75" s="456">
        <f t="shared" si="13"/>
        <v>22679.517228915662</v>
      </c>
      <c r="M75" s="456">
        <f t="shared" si="13"/>
        <v>18267.517228915662</v>
      </c>
      <c r="N75" s="456">
        <f t="shared" si="13"/>
        <v>18348.517228915662</v>
      </c>
      <c r="O75" s="456">
        <f t="shared" si="13"/>
        <v>18513.517228915662</v>
      </c>
      <c r="P75" s="456">
        <f t="shared" si="13"/>
        <v>18511.517228915662</v>
      </c>
      <c r="Q75" s="456">
        <f t="shared" si="13"/>
        <v>18592.517228915662</v>
      </c>
      <c r="R75" s="431">
        <f>+SUBTOTAL(9,F75:Q75)</f>
        <v>181175.65759036143</v>
      </c>
      <c r="S75" s="2"/>
      <c r="W75" s="61"/>
      <c r="X75" s="61"/>
    </row>
    <row r="76" spans="1:24" s="108" customFormat="1">
      <c r="A76" s="319"/>
      <c r="B76" s="427"/>
      <c r="C76" s="427"/>
      <c r="D76" s="457"/>
      <c r="E76" s="427"/>
      <c r="F76" s="458"/>
      <c r="G76" s="458"/>
      <c r="H76" s="458"/>
      <c r="I76" s="458"/>
      <c r="J76" s="458"/>
      <c r="K76" s="458"/>
      <c r="L76" s="458"/>
      <c r="M76" s="458"/>
      <c r="N76" s="458"/>
      <c r="O76" s="458"/>
      <c r="P76" s="458"/>
      <c r="Q76" s="458"/>
      <c r="R76" s="457"/>
      <c r="S76" s="2"/>
    </row>
    <row r="77" spans="1:24">
      <c r="A77" s="319"/>
      <c r="B77" s="427" t="s">
        <v>4</v>
      </c>
      <c r="C77" s="427"/>
      <c r="D77" s="431">
        <f>+SUBTOTAL(9,F77:R77)</f>
        <v>1449680.0097891567</v>
      </c>
      <c r="E77" s="427"/>
      <c r="F77" s="456">
        <f>SUM(F18,F75)</f>
        <v>47543.124096385545</v>
      </c>
      <c r="G77" s="456">
        <f t="shared" ref="G77:Q77" si="14">SUM(G18,G75)</f>
        <v>48348.992710843377</v>
      </c>
      <c r="H77" s="456">
        <f t="shared" si="14"/>
        <v>47484.992710843377</v>
      </c>
      <c r="I77" s="456">
        <f t="shared" si="14"/>
        <v>47648.992710843377</v>
      </c>
      <c r="J77" s="456">
        <f t="shared" si="14"/>
        <v>94729.560572289134</v>
      </c>
      <c r="K77" s="456">
        <f t="shared" si="14"/>
        <v>147563.04927710845</v>
      </c>
      <c r="L77" s="456">
        <f t="shared" si="14"/>
        <v>172920.88295180723</v>
      </c>
      <c r="M77" s="456">
        <f t="shared" si="14"/>
        <v>168508.88295180723</v>
      </c>
      <c r="N77" s="456">
        <f t="shared" si="14"/>
        <v>168589.88295180723</v>
      </c>
      <c r="O77" s="456">
        <f t="shared" si="14"/>
        <v>168754.88295180723</v>
      </c>
      <c r="P77" s="456">
        <f t="shared" si="14"/>
        <v>168752.88295180723</v>
      </c>
      <c r="Q77" s="456">
        <f t="shared" si="14"/>
        <v>168833.88295180723</v>
      </c>
      <c r="R77" s="431">
        <f>+SUBTOTAL(9,F77:Q77)</f>
        <v>1449680.0097891567</v>
      </c>
      <c r="W77" s="61"/>
      <c r="X77" s="61"/>
    </row>
    <row r="78" spans="1:24">
      <c r="A78" s="319"/>
      <c r="B78" s="439"/>
      <c r="C78" s="439"/>
      <c r="D78" s="459"/>
      <c r="E78" s="439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59"/>
    </row>
    <row r="79" spans="1:24" ht="11.25" customHeight="1">
      <c r="A79" s="319"/>
      <c r="B79" s="427" t="s">
        <v>37</v>
      </c>
      <c r="C79" s="427"/>
      <c r="D79" s="445"/>
      <c r="E79" s="427"/>
      <c r="F79" s="446"/>
      <c r="G79" s="446"/>
      <c r="H79" s="446"/>
      <c r="I79" s="446"/>
      <c r="J79" s="446"/>
      <c r="K79" s="446"/>
      <c r="L79" s="446"/>
      <c r="M79" s="446"/>
      <c r="N79" s="446"/>
      <c r="O79" s="446"/>
      <c r="P79" s="446"/>
      <c r="Q79" s="446"/>
      <c r="R79" s="445"/>
    </row>
    <row r="80" spans="1:24" ht="7.5" customHeight="1" outlineLevel="1">
      <c r="A80" s="319"/>
      <c r="B80" s="427"/>
      <c r="C80" s="427"/>
      <c r="D80" s="445"/>
      <c r="E80" s="427"/>
      <c r="F80" s="446"/>
      <c r="G80" s="446"/>
      <c r="H80" s="446"/>
      <c r="I80" s="446"/>
      <c r="J80" s="446"/>
      <c r="K80" s="446"/>
      <c r="L80" s="446"/>
      <c r="M80" s="446"/>
      <c r="N80" s="446"/>
      <c r="O80" s="446"/>
      <c r="P80" s="446"/>
      <c r="Q80" s="446"/>
      <c r="R80" s="445"/>
    </row>
    <row r="81" spans="1:24" ht="14" outlineLevel="1">
      <c r="A81" s="319">
        <f>INDEX(QS_Chart_Of_Accounts_Upload!$C:$O,MATCH(B81,QS_Chart_Of_Accounts_Upload!$E:$E,0),MATCH("ACCT_NO",QS_Chart_Of_Accounts_Upload!$C$1:$O$1,0))</f>
        <v>7000</v>
      </c>
      <c r="B81" s="430" t="str">
        <f>'Operating Expenses'!B6</f>
        <v>Electric/Common Areas</v>
      </c>
      <c r="C81" s="430"/>
      <c r="D81" s="431">
        <f t="shared" ref="D81:D88" si="15">+SUBTOTAL(9,F81:R81)</f>
        <v>12133.333333333332</v>
      </c>
      <c r="E81" s="430"/>
      <c r="F81" s="432">
        <f>'Operating Expenses'!C6</f>
        <v>433.33333333333331</v>
      </c>
      <c r="G81" s="432">
        <f>'Operating Expenses'!D6</f>
        <v>433.33333333333331</v>
      </c>
      <c r="H81" s="432">
        <f>'Operating Expenses'!E6</f>
        <v>433.33333333333331</v>
      </c>
      <c r="I81" s="432">
        <f>'Operating Expenses'!F6</f>
        <v>433.33333333333331</v>
      </c>
      <c r="J81" s="432">
        <f>'Operating Expenses'!G6</f>
        <v>1300</v>
      </c>
      <c r="K81" s="432">
        <f>'Operating Expenses'!H6</f>
        <v>1300</v>
      </c>
      <c r="L81" s="432">
        <f>'Operating Expenses'!I6</f>
        <v>1300</v>
      </c>
      <c r="M81" s="432">
        <f>'Operating Expenses'!J6</f>
        <v>1300</v>
      </c>
      <c r="N81" s="432">
        <f>'Operating Expenses'!K6</f>
        <v>1300</v>
      </c>
      <c r="O81" s="432">
        <f>'Operating Expenses'!L6</f>
        <v>1300</v>
      </c>
      <c r="P81" s="432">
        <f>'Operating Expenses'!M6</f>
        <v>1300</v>
      </c>
      <c r="Q81" s="432">
        <f>'Operating Expenses'!N6</f>
        <v>1300</v>
      </c>
      <c r="R81" s="431">
        <f t="shared" ref="R81:R88" si="16">+SUBTOTAL(9,F81:Q81)</f>
        <v>12133.333333333332</v>
      </c>
      <c r="T81" s="448" t="str">
        <f>+IF('Operating Expenses'!Q6="","",'Operating Expenses'!Q6)</f>
        <v/>
      </c>
      <c r="V81" s="461"/>
    </row>
    <row r="82" spans="1:24" ht="14" outlineLevel="1">
      <c r="A82" s="319">
        <f>INDEX(QS_Chart_Of_Accounts_Upload!$C:$O,MATCH(B82,QS_Chart_Of_Accounts_Upload!$E:$E,0),MATCH("ACCT_NO",QS_Chart_Of_Accounts_Upload!$C$1:$O$1,0))</f>
        <v>7005</v>
      </c>
      <c r="B82" s="430" t="str">
        <f>'Operating Expenses'!B7</f>
        <v>Electric - Corporate Units</v>
      </c>
      <c r="C82" s="430"/>
      <c r="D82" s="431">
        <f t="shared" si="15"/>
        <v>0</v>
      </c>
      <c r="E82" s="430"/>
      <c r="F82" s="432">
        <f>'Operating Expenses'!C7</f>
        <v>0</v>
      </c>
      <c r="G82" s="432">
        <f>'Operating Expenses'!D7</f>
        <v>0</v>
      </c>
      <c r="H82" s="432">
        <f>'Operating Expenses'!E7</f>
        <v>0</v>
      </c>
      <c r="I82" s="432">
        <f>'Operating Expenses'!F7</f>
        <v>0</v>
      </c>
      <c r="J82" s="432">
        <f>'Operating Expenses'!G7</f>
        <v>0</v>
      </c>
      <c r="K82" s="432">
        <f>'Operating Expenses'!H7</f>
        <v>0</v>
      </c>
      <c r="L82" s="432">
        <f>'Operating Expenses'!I7</f>
        <v>0</v>
      </c>
      <c r="M82" s="432">
        <f>'Operating Expenses'!J7</f>
        <v>0</v>
      </c>
      <c r="N82" s="432">
        <f>'Operating Expenses'!K7</f>
        <v>0</v>
      </c>
      <c r="O82" s="432">
        <f>'Operating Expenses'!L7</f>
        <v>0</v>
      </c>
      <c r="P82" s="432">
        <f>'Operating Expenses'!M7</f>
        <v>0</v>
      </c>
      <c r="Q82" s="432">
        <f>'Operating Expenses'!N7</f>
        <v>0</v>
      </c>
      <c r="R82" s="431">
        <f t="shared" si="16"/>
        <v>0</v>
      </c>
      <c r="T82" s="448" t="str">
        <f>+IF('Operating Expenses'!Q7="","",'Operating Expenses'!Q7)</f>
        <v/>
      </c>
      <c r="U82" s="108"/>
      <c r="V82" s="462"/>
    </row>
    <row r="83" spans="1:24" ht="15" customHeight="1" outlineLevel="1">
      <c r="A83" s="319" t="e">
        <f>INDEX(QS_Chart_Of_Accounts_Upload!$C:$O,MATCH(B83,QS_Chart_Of_Accounts_Upload!$E:$E,0),MATCH("ACCT_NO",QS_Chart_Of_Accounts_Upload!$C$1:$O$1,0))</f>
        <v>#N/A</v>
      </c>
      <c r="B83" s="430" t="s">
        <v>1165</v>
      </c>
      <c r="C83" s="430"/>
      <c r="D83" s="431">
        <f t="shared" si="15"/>
        <v>3350</v>
      </c>
      <c r="E83" s="430"/>
      <c r="F83" s="432">
        <f>'Operating Expenses'!C8</f>
        <v>650</v>
      </c>
      <c r="G83" s="432">
        <f>'Operating Expenses'!D8</f>
        <v>150</v>
      </c>
      <c r="H83" s="432">
        <f>'Operating Expenses'!E8</f>
        <v>0</v>
      </c>
      <c r="I83" s="432">
        <f>'Operating Expenses'!F8</f>
        <v>0</v>
      </c>
      <c r="J83" s="432">
        <f>'Operating Expenses'!G8</f>
        <v>700</v>
      </c>
      <c r="K83" s="432">
        <f>'Operating Expenses'!H8</f>
        <v>1250</v>
      </c>
      <c r="L83" s="432">
        <f>'Operating Expenses'!I8</f>
        <v>350</v>
      </c>
      <c r="M83" s="432">
        <f>'Operating Expenses'!J8</f>
        <v>50.000000000000156</v>
      </c>
      <c r="N83" s="432">
        <f>'Operating Expenses'!K8</f>
        <v>50.000000000000156</v>
      </c>
      <c r="O83" s="432">
        <f>'Operating Expenses'!L8</f>
        <v>50.000000000000156</v>
      </c>
      <c r="P83" s="432">
        <f>'Operating Expenses'!M8</f>
        <v>50.000000000000156</v>
      </c>
      <c r="Q83" s="432">
        <f>'Operating Expenses'!N8</f>
        <v>50.000000000000156</v>
      </c>
      <c r="R83" s="431">
        <f t="shared" si="16"/>
        <v>3350</v>
      </c>
      <c r="T83" s="448" t="str">
        <f>+IF('Operating Expenses'!Q8="","",'Operating Expenses'!Q8)</f>
        <v/>
      </c>
      <c r="U83" s="448" t="str">
        <f>+IF('Operating Expenses'!S8="","",'Operating Expenses'!S8)</f>
        <v>Per  Unit</v>
      </c>
      <c r="V83" s="449">
        <f>+IF('Operating Expenses'!T8="","",'Operating Expenses'!T8)</f>
        <v>50</v>
      </c>
    </row>
    <row r="84" spans="1:24" ht="14" outlineLevel="1">
      <c r="A84" s="319">
        <f>INDEX(QS_Chart_Of_Accounts_Upload!$C:$O,MATCH(B84,QS_Chart_Of_Accounts_Upload!$E:$E,0),MATCH("ACCT_NO",QS_Chart_Of_Accounts_Upload!$C$1:$O$1,0))</f>
        <v>7015</v>
      </c>
      <c r="B84" s="430" t="str">
        <f>'Operating Expenses'!B9</f>
        <v>Electric  - Model</v>
      </c>
      <c r="C84" s="430"/>
      <c r="D84" s="431">
        <f t="shared" si="15"/>
        <v>1200</v>
      </c>
      <c r="E84" s="430"/>
      <c r="F84" s="432">
        <f>'Operating Expenses'!C9</f>
        <v>100</v>
      </c>
      <c r="G84" s="432">
        <f>'Operating Expenses'!D9</f>
        <v>100</v>
      </c>
      <c r="H84" s="432">
        <f>'Operating Expenses'!E9</f>
        <v>100</v>
      </c>
      <c r="I84" s="432">
        <f>'Operating Expenses'!F9</f>
        <v>100</v>
      </c>
      <c r="J84" s="432">
        <f>'Operating Expenses'!G9</f>
        <v>100</v>
      </c>
      <c r="K84" s="432">
        <f>'Operating Expenses'!H9</f>
        <v>100</v>
      </c>
      <c r="L84" s="432">
        <f>'Operating Expenses'!I9</f>
        <v>100</v>
      </c>
      <c r="M84" s="432">
        <f>'Operating Expenses'!J9</f>
        <v>100</v>
      </c>
      <c r="N84" s="432">
        <f>'Operating Expenses'!K9</f>
        <v>100</v>
      </c>
      <c r="O84" s="432">
        <f>'Operating Expenses'!L9</f>
        <v>100</v>
      </c>
      <c r="P84" s="432">
        <f>'Operating Expenses'!M9</f>
        <v>100</v>
      </c>
      <c r="Q84" s="432">
        <f>'Operating Expenses'!N9</f>
        <v>100</v>
      </c>
      <c r="R84" s="431">
        <f t="shared" si="16"/>
        <v>1200</v>
      </c>
      <c r="T84" s="448" t="str">
        <f>+IF('Operating Expenses'!Q9="","",'Operating Expenses'!Q9)</f>
        <v/>
      </c>
      <c r="U84" s="448" t="str">
        <f>+IF('Operating Expenses'!S9="","",'Operating Expenses'!S9)</f>
        <v>Per Model</v>
      </c>
      <c r="V84" s="449">
        <f>+IF('Operating Expenses'!T9="","",'Operating Expenses'!T9)</f>
        <v>100</v>
      </c>
    </row>
    <row r="85" spans="1:24" ht="14" outlineLevel="1">
      <c r="A85" s="319">
        <f>INDEX(QS_Chart_Of_Accounts_Upload!$C:$O,MATCH(B85,QS_Chart_Of_Accounts_Upload!$E:$E,0),MATCH("ACCT_NO",QS_Chart_Of_Accounts_Upload!$C$1:$O$1,0))</f>
        <v>7017</v>
      </c>
      <c r="B85" s="430" t="str">
        <f>'Operating Expenses'!B10</f>
        <v>Utilities - Billing Fee</v>
      </c>
      <c r="C85" s="430"/>
      <c r="D85" s="431">
        <f t="shared" si="15"/>
        <v>2595</v>
      </c>
      <c r="E85" s="430"/>
      <c r="F85" s="432">
        <f>'Operating Expenses'!C10</f>
        <v>75</v>
      </c>
      <c r="G85" s="432">
        <f>'Operating Expenses'!D10</f>
        <v>86.25</v>
      </c>
      <c r="H85" s="432">
        <f>'Operating Expenses'!E10</f>
        <v>86.25</v>
      </c>
      <c r="I85" s="432">
        <f>'Operating Expenses'!F10</f>
        <v>86.25</v>
      </c>
      <c r="J85" s="432">
        <f>'Operating Expenses'!G10</f>
        <v>161.25</v>
      </c>
      <c r="K85" s="432">
        <f>'Operating Expenses'!H10</f>
        <v>255</v>
      </c>
      <c r="L85" s="432">
        <f>'Operating Expenses'!I10</f>
        <v>307.5</v>
      </c>
      <c r="M85" s="432">
        <f>'Operating Expenses'!J10</f>
        <v>307.5</v>
      </c>
      <c r="N85" s="432">
        <f>'Operating Expenses'!K10</f>
        <v>307.5</v>
      </c>
      <c r="O85" s="432">
        <f>'Operating Expenses'!L10</f>
        <v>307.5</v>
      </c>
      <c r="P85" s="432">
        <f>'Operating Expenses'!M10</f>
        <v>307.5</v>
      </c>
      <c r="Q85" s="432">
        <f>'Operating Expenses'!N10</f>
        <v>307.5</v>
      </c>
      <c r="R85" s="431">
        <f t="shared" si="16"/>
        <v>2595</v>
      </c>
      <c r="T85" s="448" t="str">
        <f>+IF('Operating Expenses'!Q10="","",'Operating Expenses'!Q10)</f>
        <v/>
      </c>
      <c r="U85" s="448" t="str">
        <f>+IF('Operating Expenses'!S10="","",'Operating Expenses'!S10)</f>
        <v>Utility Fee</v>
      </c>
      <c r="V85" s="449">
        <f>+IF('Operating Expenses'!T10="","",'Operating Expenses'!T10)</f>
        <v>3.75</v>
      </c>
    </row>
    <row r="86" spans="1:24" ht="14" outlineLevel="1">
      <c r="A86" s="319">
        <f>INDEX(QS_Chart_Of_Accounts_Upload!$C:$O,MATCH(B86,QS_Chart_Of_Accounts_Upload!$E:$E,0),MATCH("ACCT_NO",QS_Chart_Of_Accounts_Upload!$C$1:$O$1,0))</f>
        <v>7020</v>
      </c>
      <c r="B86" s="430" t="str">
        <f>'Operating Expenses'!B11</f>
        <v>Utilities - Electricity</v>
      </c>
      <c r="C86" s="430"/>
      <c r="D86" s="431">
        <f t="shared" si="15"/>
        <v>0</v>
      </c>
      <c r="E86" s="430"/>
      <c r="F86" s="432">
        <f>'Operating Expenses'!C11</f>
        <v>0</v>
      </c>
      <c r="G86" s="432">
        <f>'Operating Expenses'!D11</f>
        <v>0</v>
      </c>
      <c r="H86" s="432">
        <f>'Operating Expenses'!E11</f>
        <v>0</v>
      </c>
      <c r="I86" s="432">
        <f>'Operating Expenses'!F11</f>
        <v>0</v>
      </c>
      <c r="J86" s="432">
        <f>'Operating Expenses'!G11</f>
        <v>0</v>
      </c>
      <c r="K86" s="432">
        <f>'Operating Expenses'!H11</f>
        <v>0</v>
      </c>
      <c r="L86" s="432">
        <f>'Operating Expenses'!I11</f>
        <v>0</v>
      </c>
      <c r="M86" s="432">
        <f>'Operating Expenses'!J11</f>
        <v>0</v>
      </c>
      <c r="N86" s="432">
        <f>'Operating Expenses'!K11</f>
        <v>0</v>
      </c>
      <c r="O86" s="432">
        <f>'Operating Expenses'!L11</f>
        <v>0</v>
      </c>
      <c r="P86" s="432">
        <f>'Operating Expenses'!M11</f>
        <v>0</v>
      </c>
      <c r="Q86" s="432">
        <f>'Operating Expenses'!N11</f>
        <v>0</v>
      </c>
      <c r="R86" s="431">
        <f t="shared" si="16"/>
        <v>0</v>
      </c>
      <c r="T86" s="448" t="str">
        <f>+IF('Operating Expenses'!Q11="","",'Operating Expenses'!Q11)</f>
        <v/>
      </c>
      <c r="V86" s="461"/>
    </row>
    <row r="87" spans="1:24" ht="14" outlineLevel="1">
      <c r="A87" s="319">
        <f>INDEX(QS_Chart_Of_Accounts_Upload!$C:$O,MATCH(B87,QS_Chart_Of_Accounts_Upload!$E:$E,0),MATCH("ACCT_NO",QS_Chart_Of_Accounts_Upload!$C$1:$O$1,0))</f>
        <v>7030</v>
      </c>
      <c r="B87" s="430" t="str">
        <f>'Operating Expenses'!B12</f>
        <v>Utilities - Gas/Heating Oil</v>
      </c>
      <c r="C87" s="430"/>
      <c r="D87" s="431">
        <f t="shared" si="15"/>
        <v>0</v>
      </c>
      <c r="E87" s="430"/>
      <c r="F87" s="432">
        <f>'Operating Expenses'!C12</f>
        <v>0</v>
      </c>
      <c r="G87" s="432">
        <f>'Operating Expenses'!D12</f>
        <v>0</v>
      </c>
      <c r="H87" s="432">
        <f>'Operating Expenses'!E12</f>
        <v>0</v>
      </c>
      <c r="I87" s="432">
        <f>'Operating Expenses'!F12</f>
        <v>0</v>
      </c>
      <c r="J87" s="432">
        <f>'Operating Expenses'!G12</f>
        <v>0</v>
      </c>
      <c r="K87" s="432">
        <f>'Operating Expenses'!H12</f>
        <v>0</v>
      </c>
      <c r="L87" s="432">
        <f>'Operating Expenses'!I12</f>
        <v>0</v>
      </c>
      <c r="M87" s="432">
        <f>'Operating Expenses'!J12</f>
        <v>0</v>
      </c>
      <c r="N87" s="432">
        <f>'Operating Expenses'!K12</f>
        <v>0</v>
      </c>
      <c r="O87" s="432">
        <f>'Operating Expenses'!L12</f>
        <v>0</v>
      </c>
      <c r="P87" s="432">
        <f>'Operating Expenses'!M12</f>
        <v>0</v>
      </c>
      <c r="Q87" s="432">
        <f>'Operating Expenses'!N12</f>
        <v>0</v>
      </c>
      <c r="R87" s="431">
        <f t="shared" si="16"/>
        <v>0</v>
      </c>
      <c r="T87" s="448" t="str">
        <f>+IF('Operating Expenses'!Q12="","",'Operating Expenses'!Q12)</f>
        <v/>
      </c>
      <c r="V87" s="461"/>
    </row>
    <row r="88" spans="1:24" ht="14" outlineLevel="1">
      <c r="A88" s="319">
        <f>INDEX(QS_Chart_Of_Accounts_Upload!$C:$O,MATCH(B88,QS_Chart_Of_Accounts_Upload!$E:$E,0),MATCH("ACCT_NO",QS_Chart_Of_Accounts_Upload!$C$1:$O$1,0))</f>
        <v>7060</v>
      </c>
      <c r="B88" s="430" t="str">
        <f>'Operating Expenses'!B13</f>
        <v>Utilities - Water/Sewer</v>
      </c>
      <c r="C88" s="430"/>
      <c r="D88" s="431">
        <f t="shared" si="15"/>
        <v>20760</v>
      </c>
      <c r="E88" s="430"/>
      <c r="F88" s="432">
        <f>'Operating Expenses'!C13</f>
        <v>600</v>
      </c>
      <c r="G88" s="432">
        <f>'Operating Expenses'!D13</f>
        <v>690</v>
      </c>
      <c r="H88" s="432">
        <f>'Operating Expenses'!E13</f>
        <v>690</v>
      </c>
      <c r="I88" s="432">
        <f>'Operating Expenses'!F13</f>
        <v>690</v>
      </c>
      <c r="J88" s="432">
        <f>'Operating Expenses'!G13</f>
        <v>1290</v>
      </c>
      <c r="K88" s="432">
        <f>'Operating Expenses'!H13</f>
        <v>2040</v>
      </c>
      <c r="L88" s="432">
        <f>'Operating Expenses'!I13</f>
        <v>2460</v>
      </c>
      <c r="M88" s="432">
        <f>'Operating Expenses'!J13</f>
        <v>2460</v>
      </c>
      <c r="N88" s="432">
        <f>'Operating Expenses'!K13</f>
        <v>2460</v>
      </c>
      <c r="O88" s="432">
        <f>'Operating Expenses'!L13</f>
        <v>2460</v>
      </c>
      <c r="P88" s="432">
        <f>'Operating Expenses'!M13</f>
        <v>2460</v>
      </c>
      <c r="Q88" s="432">
        <f>'Operating Expenses'!N13</f>
        <v>2460</v>
      </c>
      <c r="R88" s="431">
        <f t="shared" si="16"/>
        <v>20760</v>
      </c>
      <c r="T88" s="448" t="str">
        <f>+IF('Operating Expenses'!Q13="","",'Operating Expenses'!Q13)</f>
        <v>Assumed $30 per door expense</v>
      </c>
      <c r="U88" s="448" t="str">
        <f>+IF('Operating Expenses'!S13="","",'Operating Expenses'!S13)</f>
        <v>Per Occupied Unit</v>
      </c>
      <c r="V88" s="449">
        <f>+IF('Operating Expenses'!T13="","",'Operating Expenses'!T13)</f>
        <v>30</v>
      </c>
    </row>
    <row r="89" spans="1:24" outlineLevel="1">
      <c r="A89" s="319"/>
      <c r="B89" s="430"/>
      <c r="C89" s="430"/>
      <c r="D89" s="437"/>
      <c r="E89" s="430"/>
      <c r="F89" s="436"/>
      <c r="G89" s="436"/>
      <c r="H89" s="436"/>
      <c r="I89" s="436"/>
      <c r="J89" s="436"/>
      <c r="K89" s="436"/>
      <c r="L89" s="436"/>
      <c r="M89" s="436"/>
      <c r="N89" s="436"/>
      <c r="O89" s="436"/>
      <c r="P89" s="436"/>
      <c r="Q89" s="436"/>
      <c r="R89" s="437"/>
    </row>
    <row r="90" spans="1:24">
      <c r="A90" s="319"/>
      <c r="B90" s="463" t="s">
        <v>35</v>
      </c>
      <c r="C90" s="463"/>
      <c r="D90" s="431">
        <f>+SUBTOTAL(9,F90:R90)</f>
        <v>40038.333333333328</v>
      </c>
      <c r="E90" s="463"/>
      <c r="F90" s="456">
        <f t="shared" ref="F90" si="17">SUM(F81:F89)</f>
        <v>1858.3333333333333</v>
      </c>
      <c r="G90" s="456">
        <f t="shared" ref="G90:Q90" si="18">SUM(G81:G89)</f>
        <v>1459.5833333333333</v>
      </c>
      <c r="H90" s="456">
        <f t="shared" si="18"/>
        <v>1309.5833333333333</v>
      </c>
      <c r="I90" s="456">
        <f t="shared" si="18"/>
        <v>1309.5833333333333</v>
      </c>
      <c r="J90" s="456">
        <f t="shared" si="18"/>
        <v>3551.25</v>
      </c>
      <c r="K90" s="456">
        <f t="shared" si="18"/>
        <v>4945</v>
      </c>
      <c r="L90" s="456">
        <f t="shared" si="18"/>
        <v>4517.5</v>
      </c>
      <c r="M90" s="456">
        <f t="shared" si="18"/>
        <v>4217.5</v>
      </c>
      <c r="N90" s="456">
        <f t="shared" si="18"/>
        <v>4217.5</v>
      </c>
      <c r="O90" s="456">
        <f t="shared" si="18"/>
        <v>4217.5</v>
      </c>
      <c r="P90" s="456">
        <f t="shared" si="18"/>
        <v>4217.5</v>
      </c>
      <c r="Q90" s="456">
        <f t="shared" si="18"/>
        <v>4217.5</v>
      </c>
      <c r="R90" s="431">
        <f>+SUBTOTAL(9,F90:Q90)</f>
        <v>40038.333333333328</v>
      </c>
      <c r="W90" s="61"/>
      <c r="X90" s="61"/>
    </row>
    <row r="91" spans="1:24" s="7" customFormat="1">
      <c r="A91" s="319"/>
      <c r="B91" s="439"/>
      <c r="C91" s="439"/>
      <c r="D91" s="440"/>
      <c r="E91" s="439"/>
      <c r="F91" s="464"/>
      <c r="G91" s="464"/>
      <c r="H91" s="464"/>
      <c r="I91" s="464"/>
      <c r="J91" s="464"/>
      <c r="K91" s="464"/>
      <c r="L91" s="464"/>
      <c r="M91" s="464"/>
      <c r="N91" s="464"/>
      <c r="O91" s="464"/>
      <c r="P91" s="464"/>
      <c r="Q91" s="464"/>
      <c r="R91" s="440"/>
      <c r="S91" s="2"/>
    </row>
    <row r="92" spans="1:24">
      <c r="A92" s="319"/>
      <c r="B92" s="427" t="s">
        <v>5</v>
      </c>
      <c r="C92" s="427"/>
      <c r="D92" s="443"/>
      <c r="E92" s="427"/>
      <c r="F92" s="444"/>
      <c r="G92" s="444"/>
      <c r="H92" s="444"/>
      <c r="I92" s="444"/>
      <c r="J92" s="444"/>
      <c r="K92" s="444"/>
      <c r="L92" s="444"/>
      <c r="M92" s="444"/>
      <c r="N92" s="444"/>
      <c r="O92" s="444"/>
      <c r="P92" s="444"/>
      <c r="Q92" s="444"/>
      <c r="R92" s="443"/>
    </row>
    <row r="93" spans="1:24" ht="14" outlineLevel="1">
      <c r="A93" s="319">
        <f>INDEX(QS_Chart_Of_Accounts_Upload!$C:$O,MATCH(B93,QS_Chart_Of_Accounts_Upload!$E:$E,0),MATCH("ACCT_NO",QS_Chart_Of_Accounts_Upload!$C$1:$O$1,0))</f>
        <v>7200</v>
      </c>
      <c r="B93" s="430" t="str">
        <f>'Operating Expenses'!B22</f>
        <v>Accounting Services</v>
      </c>
      <c r="C93" s="430"/>
      <c r="D93" s="431">
        <f t="shared" ref="D93:D108" si="19">+SUBTOTAL(9,F93:R93)</f>
        <v>0</v>
      </c>
      <c r="E93" s="430"/>
      <c r="F93" s="444">
        <f>'Operating Expenses'!C22</f>
        <v>0</v>
      </c>
      <c r="G93" s="444">
        <f>'Operating Expenses'!D22</f>
        <v>0</v>
      </c>
      <c r="H93" s="444">
        <f>'Operating Expenses'!E22</f>
        <v>0</v>
      </c>
      <c r="I93" s="444">
        <f>'Operating Expenses'!F22</f>
        <v>0</v>
      </c>
      <c r="J93" s="444">
        <f>'Operating Expenses'!G22</f>
        <v>0</v>
      </c>
      <c r="K93" s="444">
        <f>'Operating Expenses'!H22</f>
        <v>0</v>
      </c>
      <c r="L93" s="444">
        <f>'Operating Expenses'!I22</f>
        <v>0</v>
      </c>
      <c r="M93" s="444">
        <f>'Operating Expenses'!J22</f>
        <v>0</v>
      </c>
      <c r="N93" s="444">
        <f>'Operating Expenses'!K22</f>
        <v>0</v>
      </c>
      <c r="O93" s="444">
        <f>'Operating Expenses'!L22</f>
        <v>0</v>
      </c>
      <c r="P93" s="444">
        <f>'Operating Expenses'!M22</f>
        <v>0</v>
      </c>
      <c r="Q93" s="444">
        <f>'Operating Expenses'!N22</f>
        <v>0</v>
      </c>
      <c r="R93" s="431">
        <f t="shared" ref="R93:R108" si="20">+SUBTOTAL(9,F93:Q93)</f>
        <v>0</v>
      </c>
      <c r="T93" s="448" t="str">
        <f>+IF('Operating Expenses'!Q22="","",'Operating Expenses'!Q22)</f>
        <v/>
      </c>
      <c r="U93" s="108"/>
      <c r="V93" s="462"/>
    </row>
    <row r="94" spans="1:24" outlineLevel="1">
      <c r="A94" s="319">
        <f>INDEX(QS_Chart_Of_Accounts_Upload!$C:$O,MATCH(B94,QS_Chart_Of_Accounts_Upload!$E:$E,0),MATCH("ACCT_NO",QS_Chart_Of_Accounts_Upload!$C$1:$O$1,0))</f>
        <v>7210</v>
      </c>
      <c r="B94" s="430" t="str">
        <f>'Operating Expenses'!B23</f>
        <v>Answering/On Hold Services</v>
      </c>
      <c r="C94" s="430"/>
      <c r="D94" s="431">
        <f t="shared" si="19"/>
        <v>0</v>
      </c>
      <c r="E94" s="430"/>
      <c r="F94" s="444">
        <f>'Operating Expenses'!C23</f>
        <v>0</v>
      </c>
      <c r="G94" s="444">
        <f>'Operating Expenses'!D23</f>
        <v>0</v>
      </c>
      <c r="H94" s="444">
        <f>'Operating Expenses'!E23</f>
        <v>0</v>
      </c>
      <c r="I94" s="444">
        <f>'Operating Expenses'!F23</f>
        <v>0</v>
      </c>
      <c r="J94" s="444">
        <f>'Operating Expenses'!G23</f>
        <v>0</v>
      </c>
      <c r="K94" s="444">
        <f>'Operating Expenses'!H23</f>
        <v>0</v>
      </c>
      <c r="L94" s="444">
        <f>'Operating Expenses'!I23</f>
        <v>0</v>
      </c>
      <c r="M94" s="444">
        <f>'Operating Expenses'!J23</f>
        <v>0</v>
      </c>
      <c r="N94" s="444">
        <f>'Operating Expenses'!K23</f>
        <v>0</v>
      </c>
      <c r="O94" s="444">
        <f>'Operating Expenses'!L23</f>
        <v>0</v>
      </c>
      <c r="P94" s="444">
        <f>'Operating Expenses'!M23</f>
        <v>0</v>
      </c>
      <c r="Q94" s="444">
        <f>'Operating Expenses'!N23</f>
        <v>0</v>
      </c>
      <c r="R94" s="431">
        <f t="shared" si="20"/>
        <v>0</v>
      </c>
      <c r="T94" s="448"/>
      <c r="U94" s="108"/>
      <c r="V94" s="462"/>
    </row>
    <row r="95" spans="1:24" ht="14" outlineLevel="1">
      <c r="A95" s="319">
        <f>INDEX(QS_Chart_Of_Accounts_Upload!$C:$O,MATCH(B95,QS_Chart_Of_Accounts_Upload!$E:$E,0),MATCH("ACCT_NO",QS_Chart_Of_Accounts_Upload!$C$1:$O$1,0))</f>
        <v>7220</v>
      </c>
      <c r="B95" s="430" t="str">
        <f>'Operating Expenses'!B24</f>
        <v>Bank Charges</v>
      </c>
      <c r="C95" s="430"/>
      <c r="D95" s="431">
        <f t="shared" si="19"/>
        <v>0</v>
      </c>
      <c r="E95" s="430"/>
      <c r="F95" s="432">
        <f>'Operating Expenses'!C24</f>
        <v>0</v>
      </c>
      <c r="G95" s="432">
        <f>'Operating Expenses'!D24</f>
        <v>0</v>
      </c>
      <c r="H95" s="432">
        <f>'Operating Expenses'!E24</f>
        <v>0</v>
      </c>
      <c r="I95" s="432">
        <f>'Operating Expenses'!F24</f>
        <v>0</v>
      </c>
      <c r="J95" s="432">
        <f>'Operating Expenses'!G24</f>
        <v>0</v>
      </c>
      <c r="K95" s="432">
        <f>'Operating Expenses'!H24</f>
        <v>0</v>
      </c>
      <c r="L95" s="432">
        <f>'Operating Expenses'!I24</f>
        <v>0</v>
      </c>
      <c r="M95" s="432">
        <f>'Operating Expenses'!J24</f>
        <v>0</v>
      </c>
      <c r="N95" s="432">
        <f>'Operating Expenses'!K24</f>
        <v>0</v>
      </c>
      <c r="O95" s="432">
        <f>'Operating Expenses'!L24</f>
        <v>0</v>
      </c>
      <c r="P95" s="432">
        <f>'Operating Expenses'!M24</f>
        <v>0</v>
      </c>
      <c r="Q95" s="432">
        <f>'Operating Expenses'!N24</f>
        <v>0</v>
      </c>
      <c r="R95" s="431">
        <f t="shared" si="20"/>
        <v>0</v>
      </c>
      <c r="T95" s="448" t="str">
        <f>+IF('Operating Expenses'!Q24="","",'Operating Expenses'!Q24)</f>
        <v/>
      </c>
      <c r="U95" s="108"/>
      <c r="V95" s="462"/>
    </row>
    <row r="96" spans="1:24" ht="14" outlineLevel="1">
      <c r="A96" s="319">
        <f>INDEX(QS_Chart_Of_Accounts_Upload!$C:$O,MATCH(B96,QS_Chart_Of_Accounts_Upload!$E:$E,0),MATCH("ACCT_NO",QS_Chart_Of_Accounts_Upload!$C$1:$O$1,0))</f>
        <v>7230</v>
      </c>
      <c r="B96" s="430" t="str">
        <f>'Operating Expenses'!B25</f>
        <v>Cell Phones/Pagers</v>
      </c>
      <c r="C96" s="430"/>
      <c r="D96" s="431">
        <f t="shared" si="19"/>
        <v>1800</v>
      </c>
      <c r="E96" s="430"/>
      <c r="F96" s="432">
        <f>'Operating Expenses'!C25</f>
        <v>150</v>
      </c>
      <c r="G96" s="432">
        <f>'Operating Expenses'!D25</f>
        <v>150</v>
      </c>
      <c r="H96" s="432">
        <f>'Operating Expenses'!E25</f>
        <v>150</v>
      </c>
      <c r="I96" s="432">
        <f>'Operating Expenses'!F25</f>
        <v>150</v>
      </c>
      <c r="J96" s="432">
        <f>'Operating Expenses'!G25</f>
        <v>150</v>
      </c>
      <c r="K96" s="432">
        <f>'Operating Expenses'!H25</f>
        <v>150</v>
      </c>
      <c r="L96" s="432">
        <f>'Operating Expenses'!I25</f>
        <v>150</v>
      </c>
      <c r="M96" s="432">
        <f>'Operating Expenses'!J25</f>
        <v>150</v>
      </c>
      <c r="N96" s="432">
        <f>'Operating Expenses'!K25</f>
        <v>150</v>
      </c>
      <c r="O96" s="432">
        <f>'Operating Expenses'!L25</f>
        <v>150</v>
      </c>
      <c r="P96" s="432">
        <f>'Operating Expenses'!M25</f>
        <v>150</v>
      </c>
      <c r="Q96" s="432">
        <f>'Operating Expenses'!N25</f>
        <v>150</v>
      </c>
      <c r="R96" s="431">
        <f t="shared" si="20"/>
        <v>1800</v>
      </c>
      <c r="T96" s="448" t="str">
        <f>+IF('Operating Expenses'!Q25="","",'Operating Expenses'!Q25)</f>
        <v/>
      </c>
      <c r="U96" s="108"/>
      <c r="V96" s="462"/>
    </row>
    <row r="97" spans="1:22" ht="14" outlineLevel="1">
      <c r="A97" s="319">
        <f>INDEX(QS_Chart_Of_Accounts_Upload!$C:$O,MATCH(B97,QS_Chart_Of_Accounts_Upload!$E:$E,0),MATCH("ACCT_NO",QS_Chart_Of_Accounts_Upload!$C$1:$O$1,0))</f>
        <v>7235</v>
      </c>
      <c r="B97" s="430" t="str">
        <f>'Operating Expenses'!B26</f>
        <v>Coffee and Refreshments</v>
      </c>
      <c r="C97" s="430"/>
      <c r="D97" s="431">
        <f t="shared" si="19"/>
        <v>2500</v>
      </c>
      <c r="E97" s="430"/>
      <c r="F97" s="432">
        <f>'Operating Expenses'!C26</f>
        <v>100</v>
      </c>
      <c r="G97" s="432">
        <f>'Operating Expenses'!D26</f>
        <v>100</v>
      </c>
      <c r="H97" s="432">
        <f>'Operating Expenses'!E26</f>
        <v>100</v>
      </c>
      <c r="I97" s="432">
        <f>'Operating Expenses'!F26</f>
        <v>150</v>
      </c>
      <c r="J97" s="432">
        <f>'Operating Expenses'!G26</f>
        <v>150</v>
      </c>
      <c r="K97" s="432">
        <f>'Operating Expenses'!H26</f>
        <v>150</v>
      </c>
      <c r="L97" s="432">
        <f>'Operating Expenses'!I26</f>
        <v>150</v>
      </c>
      <c r="M97" s="432">
        <f>'Operating Expenses'!J26</f>
        <v>300</v>
      </c>
      <c r="N97" s="432">
        <f>'Operating Expenses'!K26</f>
        <v>300</v>
      </c>
      <c r="O97" s="432">
        <f>'Operating Expenses'!L26</f>
        <v>300</v>
      </c>
      <c r="P97" s="432">
        <f>'Operating Expenses'!M26</f>
        <v>350</v>
      </c>
      <c r="Q97" s="432">
        <f>'Operating Expenses'!N26</f>
        <v>350</v>
      </c>
      <c r="R97" s="431">
        <f t="shared" si="20"/>
        <v>2500</v>
      </c>
      <c r="T97" s="448" t="str">
        <f>+IF('Operating Expenses'!Q26="","",'Operating Expenses'!Q26)</f>
        <v/>
      </c>
      <c r="U97" s="108"/>
      <c r="V97" s="462"/>
    </row>
    <row r="98" spans="1:22" ht="14" outlineLevel="1">
      <c r="A98" s="319">
        <f>INDEX(QS_Chart_Of_Accounts_Upload!$C:$O,MATCH(B98,QS_Chart_Of_Accounts_Upload!$E:$E,0),MATCH("ACCT_NO",QS_Chart_Of_Accounts_Upload!$C$1:$O$1,0))</f>
        <v>7237</v>
      </c>
      <c r="B98" s="430" t="str">
        <f>'Operating Expenses'!B27</f>
        <v>Compliance Fees</v>
      </c>
      <c r="C98" s="430"/>
      <c r="D98" s="431">
        <f t="shared" si="19"/>
        <v>0</v>
      </c>
      <c r="E98" s="430"/>
      <c r="F98" s="432">
        <f>'Operating Expenses'!C27</f>
        <v>0</v>
      </c>
      <c r="G98" s="432">
        <f>'Operating Expenses'!D27</f>
        <v>0</v>
      </c>
      <c r="H98" s="432">
        <f>'Operating Expenses'!E27</f>
        <v>0</v>
      </c>
      <c r="I98" s="432">
        <f>'Operating Expenses'!F27</f>
        <v>0</v>
      </c>
      <c r="J98" s="432">
        <f>'Operating Expenses'!G27</f>
        <v>0</v>
      </c>
      <c r="K98" s="432">
        <f>'Operating Expenses'!H27</f>
        <v>0</v>
      </c>
      <c r="L98" s="432">
        <f>'Operating Expenses'!I27</f>
        <v>0</v>
      </c>
      <c r="M98" s="432">
        <f>'Operating Expenses'!J27</f>
        <v>0</v>
      </c>
      <c r="N98" s="432">
        <f>'Operating Expenses'!K27</f>
        <v>0</v>
      </c>
      <c r="O98" s="432">
        <f>'Operating Expenses'!L27</f>
        <v>0</v>
      </c>
      <c r="P98" s="432">
        <f>'Operating Expenses'!M27</f>
        <v>0</v>
      </c>
      <c r="Q98" s="432">
        <f>'Operating Expenses'!N27</f>
        <v>0</v>
      </c>
      <c r="R98" s="431">
        <f t="shared" si="20"/>
        <v>0</v>
      </c>
      <c r="T98" s="448" t="str">
        <f>+IF('Operating Expenses'!Q27="","",'Operating Expenses'!Q27)</f>
        <v/>
      </c>
      <c r="U98" s="108"/>
      <c r="V98" s="462"/>
    </row>
    <row r="99" spans="1:22" ht="14" outlineLevel="1">
      <c r="A99" s="319">
        <f>INDEX(QS_Chart_Of_Accounts_Upload!$C:$O,MATCH(B99,QS_Chart_Of_Accounts_Upload!$E:$E,0),MATCH("ACCT_NO",QS_Chart_Of_Accounts_Upload!$C$1:$O$1,0))</f>
        <v>7240</v>
      </c>
      <c r="B99" s="430" t="str">
        <f>'Operating Expenses'!B28</f>
        <v>Computer Expense</v>
      </c>
      <c r="C99" s="430"/>
      <c r="D99" s="431">
        <f t="shared" si="19"/>
        <v>1500</v>
      </c>
      <c r="E99" s="430"/>
      <c r="F99" s="432">
        <f>'Operating Expenses'!C28</f>
        <v>125</v>
      </c>
      <c r="G99" s="432">
        <f>'Operating Expenses'!D28</f>
        <v>125</v>
      </c>
      <c r="H99" s="432">
        <f>'Operating Expenses'!E28</f>
        <v>125</v>
      </c>
      <c r="I99" s="432">
        <f>'Operating Expenses'!F28</f>
        <v>125</v>
      </c>
      <c r="J99" s="432">
        <f>'Operating Expenses'!G28</f>
        <v>125</v>
      </c>
      <c r="K99" s="432">
        <f>'Operating Expenses'!H28</f>
        <v>125</v>
      </c>
      <c r="L99" s="432">
        <f>'Operating Expenses'!I28</f>
        <v>125</v>
      </c>
      <c r="M99" s="432">
        <f>'Operating Expenses'!J28</f>
        <v>125</v>
      </c>
      <c r="N99" s="432">
        <f>'Operating Expenses'!K28</f>
        <v>125</v>
      </c>
      <c r="O99" s="432">
        <f>'Operating Expenses'!L28</f>
        <v>125</v>
      </c>
      <c r="P99" s="432">
        <f>'Operating Expenses'!M28</f>
        <v>125</v>
      </c>
      <c r="Q99" s="432">
        <f>'Operating Expenses'!N28</f>
        <v>125</v>
      </c>
      <c r="R99" s="431">
        <f t="shared" si="20"/>
        <v>1500</v>
      </c>
      <c r="T99" s="448" t="str">
        <f>+IF('Operating Expenses'!Q28="","",'Operating Expenses'!Q28)</f>
        <v/>
      </c>
      <c r="U99" s="108"/>
      <c r="V99" s="462"/>
    </row>
    <row r="100" spans="1:22" ht="14" outlineLevel="1">
      <c r="A100" s="319">
        <f>INDEX(QS_Chart_Of_Accounts_Upload!$C:$O,MATCH(B100,QS_Chart_Of_Accounts_Upload!$E:$E,0),MATCH("ACCT_NO",QS_Chart_Of_Accounts_Upload!$C$1:$O$1,0))</f>
        <v>7251</v>
      </c>
      <c r="B100" s="430" t="str">
        <f>'Operating Expenses'!B29</f>
        <v>Key Machine Contract</v>
      </c>
      <c r="C100" s="430"/>
      <c r="D100" s="431">
        <f t="shared" si="19"/>
        <v>0</v>
      </c>
      <c r="E100" s="430"/>
      <c r="F100" s="432">
        <f>'Operating Expenses'!C29</f>
        <v>0</v>
      </c>
      <c r="G100" s="432">
        <f>'Operating Expenses'!D29</f>
        <v>0</v>
      </c>
      <c r="H100" s="432">
        <f>'Operating Expenses'!E29</f>
        <v>0</v>
      </c>
      <c r="I100" s="432">
        <f>'Operating Expenses'!F29</f>
        <v>0</v>
      </c>
      <c r="J100" s="432">
        <f>'Operating Expenses'!G29</f>
        <v>0</v>
      </c>
      <c r="K100" s="432">
        <f>'Operating Expenses'!H29</f>
        <v>0</v>
      </c>
      <c r="L100" s="432">
        <f>'Operating Expenses'!I29</f>
        <v>0</v>
      </c>
      <c r="M100" s="432">
        <f>'Operating Expenses'!J29</f>
        <v>0</v>
      </c>
      <c r="N100" s="432">
        <f>'Operating Expenses'!K29</f>
        <v>0</v>
      </c>
      <c r="O100" s="432">
        <f>'Operating Expenses'!L29</f>
        <v>0</v>
      </c>
      <c r="P100" s="432">
        <f>'Operating Expenses'!M29</f>
        <v>0</v>
      </c>
      <c r="Q100" s="432">
        <f>'Operating Expenses'!N29</f>
        <v>0</v>
      </c>
      <c r="R100" s="431">
        <f t="shared" si="20"/>
        <v>0</v>
      </c>
      <c r="T100" s="448" t="str">
        <f>+IF('Operating Expenses'!Q29="","",'Operating Expenses'!Q29)</f>
        <v/>
      </c>
      <c r="U100" s="108"/>
      <c r="V100" s="462"/>
    </row>
    <row r="101" spans="1:22" ht="14" outlineLevel="1">
      <c r="A101" s="319">
        <f>INDEX(QS_Chart_Of_Accounts_Upload!$C:$O,MATCH(B101,QS_Chart_Of_Accounts_Upload!$E:$E,0),MATCH("ACCT_NO",QS_Chart_Of_Accounts_Upload!$C$1:$O$1,0))</f>
        <v>7260</v>
      </c>
      <c r="B101" s="430" t="str">
        <f>'Operating Expenses'!B30</f>
        <v>Credit Card/ACH Fees</v>
      </c>
      <c r="C101" s="430"/>
      <c r="D101" s="431">
        <f t="shared" si="19"/>
        <v>0</v>
      </c>
      <c r="E101" s="430"/>
      <c r="F101" s="432">
        <f>'Operating Expenses'!C30</f>
        <v>0</v>
      </c>
      <c r="G101" s="432">
        <f>'Operating Expenses'!D30</f>
        <v>0</v>
      </c>
      <c r="H101" s="432">
        <f>'Operating Expenses'!E30</f>
        <v>0</v>
      </c>
      <c r="I101" s="432">
        <f>'Operating Expenses'!F30</f>
        <v>0</v>
      </c>
      <c r="J101" s="432">
        <f>'Operating Expenses'!G30</f>
        <v>0</v>
      </c>
      <c r="K101" s="432">
        <f>'Operating Expenses'!H30</f>
        <v>0</v>
      </c>
      <c r="L101" s="432">
        <f>'Operating Expenses'!I30</f>
        <v>0</v>
      </c>
      <c r="M101" s="432">
        <f>'Operating Expenses'!J30</f>
        <v>0</v>
      </c>
      <c r="N101" s="432">
        <f>'Operating Expenses'!K30</f>
        <v>0</v>
      </c>
      <c r="O101" s="432">
        <f>'Operating Expenses'!L30</f>
        <v>0</v>
      </c>
      <c r="P101" s="432">
        <f>'Operating Expenses'!M30</f>
        <v>0</v>
      </c>
      <c r="Q101" s="432">
        <f>'Operating Expenses'!N30</f>
        <v>0</v>
      </c>
      <c r="R101" s="431">
        <f t="shared" si="20"/>
        <v>0</v>
      </c>
      <c r="T101" s="448" t="str">
        <f>+IF('Operating Expenses'!Q30="","",'Operating Expenses'!Q30)</f>
        <v>Included in bank charges</v>
      </c>
      <c r="U101" s="108"/>
      <c r="V101" s="462"/>
    </row>
    <row r="102" spans="1:22" ht="14" outlineLevel="1">
      <c r="A102" s="319">
        <f>INDEX(QS_Chart_Of_Accounts_Upload!$C:$O,MATCH(B102,QS_Chart_Of_Accounts_Upload!$E:$E,0),MATCH("ACCT_NO",QS_Chart_Of_Accounts_Upload!$C$1:$O$1,0))</f>
        <v>7270</v>
      </c>
      <c r="B102" s="430" t="str">
        <f>'Operating Expenses'!B31</f>
        <v>Dues and Subscriptions</v>
      </c>
      <c r="C102" s="430"/>
      <c r="D102" s="431">
        <f t="shared" si="19"/>
        <v>435</v>
      </c>
      <c r="E102" s="430"/>
      <c r="F102" s="432">
        <f>'Operating Expenses'!C31</f>
        <v>435</v>
      </c>
      <c r="G102" s="432">
        <f>'Operating Expenses'!D31</f>
        <v>0</v>
      </c>
      <c r="H102" s="432">
        <f>'Operating Expenses'!E31</f>
        <v>0</v>
      </c>
      <c r="I102" s="432">
        <f>'Operating Expenses'!F31</f>
        <v>0</v>
      </c>
      <c r="J102" s="432">
        <f>'Operating Expenses'!G31</f>
        <v>0</v>
      </c>
      <c r="K102" s="432">
        <f>'Operating Expenses'!H31</f>
        <v>0</v>
      </c>
      <c r="L102" s="432">
        <f>'Operating Expenses'!I31</f>
        <v>0</v>
      </c>
      <c r="M102" s="432">
        <f>'Operating Expenses'!J31</f>
        <v>0</v>
      </c>
      <c r="N102" s="432">
        <f>'Operating Expenses'!K31</f>
        <v>0</v>
      </c>
      <c r="O102" s="432">
        <f>'Operating Expenses'!L31</f>
        <v>0</v>
      </c>
      <c r="P102" s="432">
        <f>'Operating Expenses'!M31</f>
        <v>0</v>
      </c>
      <c r="Q102" s="432">
        <f>'Operating Expenses'!N31</f>
        <v>0</v>
      </c>
      <c r="R102" s="431">
        <f t="shared" si="20"/>
        <v>435</v>
      </c>
      <c r="T102" s="448" t="str">
        <f>+IF('Operating Expenses'!Q31="","",'Operating Expenses'!Q31)</f>
        <v>TAA Dues</v>
      </c>
      <c r="U102" s="108"/>
      <c r="V102" s="462"/>
    </row>
    <row r="103" spans="1:22" ht="14" outlineLevel="1">
      <c r="A103" s="319">
        <f>INDEX(QS_Chart_Of_Accounts_Upload!$C:$O,MATCH(B103,QS_Chart_Of_Accounts_Upload!$E:$E,0),MATCH("ACCT_NO",QS_Chart_Of_Accounts_Upload!$C$1:$O$1,0))</f>
        <v>7280</v>
      </c>
      <c r="B103" s="430" t="str">
        <f>'Operating Expenses'!B32</f>
        <v>Employee Meetings</v>
      </c>
      <c r="C103" s="430"/>
      <c r="D103" s="431">
        <f t="shared" si="19"/>
        <v>300</v>
      </c>
      <c r="E103" s="430"/>
      <c r="F103" s="432">
        <f>'Operating Expenses'!C32</f>
        <v>50</v>
      </c>
      <c r="G103" s="432">
        <f>'Operating Expenses'!D32</f>
        <v>0</v>
      </c>
      <c r="H103" s="432">
        <f>'Operating Expenses'!E32</f>
        <v>50</v>
      </c>
      <c r="I103" s="432">
        <f>'Operating Expenses'!F32</f>
        <v>0</v>
      </c>
      <c r="J103" s="432">
        <f>'Operating Expenses'!G32</f>
        <v>50</v>
      </c>
      <c r="K103" s="432">
        <f>'Operating Expenses'!H32</f>
        <v>0</v>
      </c>
      <c r="L103" s="432">
        <f>'Operating Expenses'!I32</f>
        <v>50</v>
      </c>
      <c r="M103" s="432">
        <f>'Operating Expenses'!J32</f>
        <v>0</v>
      </c>
      <c r="N103" s="432">
        <f>'Operating Expenses'!K32</f>
        <v>50</v>
      </c>
      <c r="O103" s="432">
        <f>'Operating Expenses'!L32</f>
        <v>0</v>
      </c>
      <c r="P103" s="432">
        <f>'Operating Expenses'!M32</f>
        <v>50</v>
      </c>
      <c r="Q103" s="432">
        <f>'Operating Expenses'!N32</f>
        <v>0</v>
      </c>
      <c r="R103" s="431">
        <f t="shared" si="20"/>
        <v>300</v>
      </c>
      <c r="T103" s="448" t="str">
        <f>+IF('Operating Expenses'!Q32="","",'Operating Expenses'!Q32)</f>
        <v/>
      </c>
      <c r="U103" s="108"/>
      <c r="V103" s="462"/>
    </row>
    <row r="104" spans="1:22" ht="14" outlineLevel="1">
      <c r="A104" s="319">
        <f>INDEX(QS_Chart_Of_Accounts_Upload!$C:$O,MATCH(B104,QS_Chart_Of_Accounts_Upload!$E:$E,0),MATCH("ACCT_NO",QS_Chart_Of_Accounts_Upload!$C$1:$O$1,0))</f>
        <v>7290</v>
      </c>
      <c r="B104" s="430" t="str">
        <f>'Operating Expenses'!B33</f>
        <v>Employee Recognition</v>
      </c>
      <c r="C104" s="430"/>
      <c r="D104" s="431">
        <f t="shared" si="19"/>
        <v>400</v>
      </c>
      <c r="E104" s="430"/>
      <c r="F104" s="432">
        <f>'Operating Expenses'!C33</f>
        <v>100</v>
      </c>
      <c r="G104" s="432">
        <f>'Operating Expenses'!D33</f>
        <v>0</v>
      </c>
      <c r="H104" s="432">
        <f>'Operating Expenses'!E33</f>
        <v>0</v>
      </c>
      <c r="I104" s="432">
        <f>'Operating Expenses'!F33</f>
        <v>100</v>
      </c>
      <c r="J104" s="432">
        <f>'Operating Expenses'!G33</f>
        <v>0</v>
      </c>
      <c r="K104" s="432">
        <f>'Operating Expenses'!H33</f>
        <v>0</v>
      </c>
      <c r="L104" s="432">
        <f>'Operating Expenses'!I33</f>
        <v>100</v>
      </c>
      <c r="M104" s="432">
        <f>'Operating Expenses'!J33</f>
        <v>0</v>
      </c>
      <c r="N104" s="432">
        <f>'Operating Expenses'!K33</f>
        <v>0</v>
      </c>
      <c r="O104" s="432">
        <f>'Operating Expenses'!L33</f>
        <v>100</v>
      </c>
      <c r="P104" s="432">
        <f>'Operating Expenses'!M33</f>
        <v>0</v>
      </c>
      <c r="Q104" s="432">
        <f>'Operating Expenses'!N33</f>
        <v>0</v>
      </c>
      <c r="R104" s="431">
        <f t="shared" si="20"/>
        <v>400</v>
      </c>
      <c r="T104" s="448" t="str">
        <f>+IF('Operating Expenses'!Q33="","",'Operating Expenses'!Q33)</f>
        <v/>
      </c>
      <c r="U104" s="108"/>
      <c r="V104" s="462"/>
    </row>
    <row r="105" spans="1:22" ht="14" outlineLevel="1">
      <c r="A105" s="319">
        <f>INDEX(QS_Chart_Of_Accounts_Upload!$C:$O,MATCH(B105,QS_Chart_Of_Accounts_Upload!$E:$E,0),MATCH("ACCT_NO",QS_Chart_Of_Accounts_Upload!$C$1:$O$1,0))</f>
        <v>7300</v>
      </c>
      <c r="B105" s="430" t="str">
        <f>'Operating Expenses'!B34</f>
        <v>Employee Recruitment</v>
      </c>
      <c r="C105" s="430"/>
      <c r="D105" s="431">
        <f t="shared" si="19"/>
        <v>0</v>
      </c>
      <c r="E105" s="430"/>
      <c r="F105" s="432">
        <f>'Operating Expenses'!C34</f>
        <v>0</v>
      </c>
      <c r="G105" s="432">
        <f>'Operating Expenses'!D34</f>
        <v>0</v>
      </c>
      <c r="H105" s="432">
        <f>'Operating Expenses'!E34</f>
        <v>0</v>
      </c>
      <c r="I105" s="432">
        <f>'Operating Expenses'!F34</f>
        <v>0</v>
      </c>
      <c r="J105" s="432">
        <f>'Operating Expenses'!G34</f>
        <v>0</v>
      </c>
      <c r="K105" s="432">
        <f>'Operating Expenses'!H34</f>
        <v>0</v>
      </c>
      <c r="L105" s="432">
        <f>'Operating Expenses'!I34</f>
        <v>0</v>
      </c>
      <c r="M105" s="432">
        <f>'Operating Expenses'!J34</f>
        <v>0</v>
      </c>
      <c r="N105" s="432">
        <f>'Operating Expenses'!K34</f>
        <v>0</v>
      </c>
      <c r="O105" s="432">
        <f>'Operating Expenses'!L34</f>
        <v>0</v>
      </c>
      <c r="P105" s="432">
        <f>'Operating Expenses'!M34</f>
        <v>0</v>
      </c>
      <c r="Q105" s="432">
        <f>'Operating Expenses'!N34</f>
        <v>0</v>
      </c>
      <c r="R105" s="431">
        <f t="shared" si="20"/>
        <v>0</v>
      </c>
      <c r="T105" s="448" t="str">
        <f>+IF('Operating Expenses'!Q34="","",'Operating Expenses'!Q34)</f>
        <v/>
      </c>
      <c r="U105" s="108"/>
      <c r="V105" s="462"/>
    </row>
    <row r="106" spans="1:22" ht="14" outlineLevel="1">
      <c r="A106" s="319">
        <f>INDEX(QS_Chart_Of_Accounts_Upload!$C:$O,MATCH(B106,QS_Chart_Of_Accounts_Upload!$E:$E,0),MATCH("ACCT_NO",QS_Chart_Of_Accounts_Upload!$C$1:$O$1,0))</f>
        <v>7320</v>
      </c>
      <c r="B106" s="430" t="str">
        <f>'Operating Expenses'!B35</f>
        <v>Forms</v>
      </c>
      <c r="C106" s="430"/>
      <c r="D106" s="431">
        <f t="shared" si="19"/>
        <v>0</v>
      </c>
      <c r="E106" s="430"/>
      <c r="F106" s="432">
        <f>'Operating Expenses'!C35</f>
        <v>0</v>
      </c>
      <c r="G106" s="432">
        <f>'Operating Expenses'!D35</f>
        <v>0</v>
      </c>
      <c r="H106" s="432">
        <f>'Operating Expenses'!E35</f>
        <v>0</v>
      </c>
      <c r="I106" s="432">
        <f>'Operating Expenses'!F35</f>
        <v>0</v>
      </c>
      <c r="J106" s="432">
        <f>'Operating Expenses'!G35</f>
        <v>0</v>
      </c>
      <c r="K106" s="432">
        <f>'Operating Expenses'!H35</f>
        <v>0</v>
      </c>
      <c r="L106" s="432">
        <f>'Operating Expenses'!I35</f>
        <v>0</v>
      </c>
      <c r="M106" s="432">
        <f>'Operating Expenses'!J35</f>
        <v>0</v>
      </c>
      <c r="N106" s="432">
        <f>'Operating Expenses'!K35</f>
        <v>0</v>
      </c>
      <c r="O106" s="432">
        <f>'Operating Expenses'!L35</f>
        <v>0</v>
      </c>
      <c r="P106" s="432">
        <f>'Operating Expenses'!M35</f>
        <v>0</v>
      </c>
      <c r="Q106" s="432">
        <f>'Operating Expenses'!N35</f>
        <v>0</v>
      </c>
      <c r="R106" s="431">
        <f t="shared" si="20"/>
        <v>0</v>
      </c>
      <c r="T106" s="448" t="str">
        <f>+IF('Operating Expenses'!Q35="","",'Operating Expenses'!Q35)</f>
        <v/>
      </c>
      <c r="U106" s="108"/>
      <c r="V106" s="462"/>
    </row>
    <row r="107" spans="1:22" ht="14" outlineLevel="1">
      <c r="A107" s="319">
        <f>INDEX(QS_Chart_Of_Accounts_Upload!$C:$O,MATCH(B107,QS_Chart_Of_Accounts_Upload!$E:$E,0),MATCH("ACCT_NO",QS_Chart_Of_Accounts_Upload!$C$1:$O$1,0))</f>
        <v>7330</v>
      </c>
      <c r="B107" s="430" t="str">
        <f>'Operating Expenses'!B36</f>
        <v>Furniture Rental - Units</v>
      </c>
      <c r="C107" s="430"/>
      <c r="D107" s="431">
        <f t="shared" si="19"/>
        <v>0</v>
      </c>
      <c r="E107" s="430"/>
      <c r="F107" s="432">
        <f>'Operating Expenses'!C36</f>
        <v>0</v>
      </c>
      <c r="G107" s="432">
        <f>'Operating Expenses'!D36</f>
        <v>0</v>
      </c>
      <c r="H107" s="432">
        <f>'Operating Expenses'!E36</f>
        <v>0</v>
      </c>
      <c r="I107" s="432">
        <f>'Operating Expenses'!F36</f>
        <v>0</v>
      </c>
      <c r="J107" s="432">
        <f>'Operating Expenses'!G36</f>
        <v>0</v>
      </c>
      <c r="K107" s="432">
        <f>'Operating Expenses'!H36</f>
        <v>0</v>
      </c>
      <c r="L107" s="432">
        <f>'Operating Expenses'!I36</f>
        <v>0</v>
      </c>
      <c r="M107" s="432">
        <f>'Operating Expenses'!J36</f>
        <v>0</v>
      </c>
      <c r="N107" s="432">
        <f>'Operating Expenses'!K36</f>
        <v>0</v>
      </c>
      <c r="O107" s="432">
        <f>'Operating Expenses'!L36</f>
        <v>0</v>
      </c>
      <c r="P107" s="432">
        <f>'Operating Expenses'!M36</f>
        <v>0</v>
      </c>
      <c r="Q107" s="432">
        <f>'Operating Expenses'!N36</f>
        <v>0</v>
      </c>
      <c r="R107" s="431">
        <f t="shared" si="20"/>
        <v>0</v>
      </c>
      <c r="T107" s="448" t="str">
        <f>+IF('Operating Expenses'!Q36="","",'Operating Expenses'!Q36)</f>
        <v/>
      </c>
      <c r="U107" s="108"/>
      <c r="V107" s="462"/>
    </row>
    <row r="108" spans="1:22" ht="14" outlineLevel="1">
      <c r="A108" s="319">
        <f>INDEX(QS_Chart_Of_Accounts_Upload!$C:$O,MATCH(B108,QS_Chart_Of_Accounts_Upload!$E:$E,0),MATCH("ACCT_NO",QS_Chart_Of_Accounts_Upload!$C$1:$O$1,0))</f>
        <v>7340</v>
      </c>
      <c r="B108" s="430" t="str">
        <f>'Operating Expenses'!B37</f>
        <v>Legal Services</v>
      </c>
      <c r="C108" s="430"/>
      <c r="D108" s="431">
        <f t="shared" si="19"/>
        <v>0</v>
      </c>
      <c r="E108" s="430"/>
      <c r="F108" s="432">
        <f>'Operating Expenses'!C37</f>
        <v>0</v>
      </c>
      <c r="G108" s="432">
        <f>'Operating Expenses'!D37</f>
        <v>0</v>
      </c>
      <c r="H108" s="432">
        <f>'Operating Expenses'!E37</f>
        <v>0</v>
      </c>
      <c r="I108" s="432">
        <f>'Operating Expenses'!F37</f>
        <v>0</v>
      </c>
      <c r="J108" s="432">
        <f>'Operating Expenses'!G37</f>
        <v>0</v>
      </c>
      <c r="K108" s="432">
        <f>'Operating Expenses'!H37</f>
        <v>0</v>
      </c>
      <c r="L108" s="432">
        <f>'Operating Expenses'!I37</f>
        <v>0</v>
      </c>
      <c r="M108" s="432">
        <f>'Operating Expenses'!J37</f>
        <v>0</v>
      </c>
      <c r="N108" s="432">
        <f>'Operating Expenses'!K37</f>
        <v>0</v>
      </c>
      <c r="O108" s="432">
        <f>'Operating Expenses'!L37</f>
        <v>0</v>
      </c>
      <c r="P108" s="432">
        <f>'Operating Expenses'!M37</f>
        <v>0</v>
      </c>
      <c r="Q108" s="432">
        <f>'Operating Expenses'!N37</f>
        <v>0</v>
      </c>
      <c r="R108" s="431">
        <f t="shared" si="20"/>
        <v>0</v>
      </c>
      <c r="T108" s="448" t="str">
        <f>+IF('Operating Expenses'!Q37="","",'Operating Expenses'!Q37)</f>
        <v/>
      </c>
      <c r="U108" s="108"/>
      <c r="V108" s="462"/>
    </row>
    <row r="109" spans="1:22" outlineLevel="1">
      <c r="A109" s="319">
        <f>INDEX(QS_Chart_Of_Accounts_Upload!$C:$O,MATCH(B109,QS_Chart_Of_Accounts_Upload!$E:$E,0),MATCH("ACCT_NO",QS_Chart_Of_Accounts_Upload!$C$1:$O$1,0))</f>
        <v>7332</v>
      </c>
      <c r="B109" s="430" t="str">
        <f>'Operating Expenses'!B38</f>
        <v>Lease Lock</v>
      </c>
      <c r="C109" s="430"/>
      <c r="D109" s="431">
        <f t="shared" ref="D109:D135" si="21">+SUBTOTAL(9,F109:R109)</f>
        <v>26988</v>
      </c>
      <c r="E109" s="430"/>
      <c r="F109" s="432">
        <f>'Operating Expenses'!C38</f>
        <v>780</v>
      </c>
      <c r="G109" s="432">
        <f>'Operating Expenses'!D38</f>
        <v>897</v>
      </c>
      <c r="H109" s="432">
        <f>'Operating Expenses'!E38</f>
        <v>897</v>
      </c>
      <c r="I109" s="432">
        <f>'Operating Expenses'!F38</f>
        <v>897</v>
      </c>
      <c r="J109" s="432">
        <f>'Operating Expenses'!G38</f>
        <v>1677</v>
      </c>
      <c r="K109" s="432">
        <f>'Operating Expenses'!H38</f>
        <v>2652</v>
      </c>
      <c r="L109" s="432">
        <f>'Operating Expenses'!I38</f>
        <v>3198</v>
      </c>
      <c r="M109" s="432">
        <f>'Operating Expenses'!J38</f>
        <v>3198</v>
      </c>
      <c r="N109" s="432">
        <f>'Operating Expenses'!K38</f>
        <v>3198</v>
      </c>
      <c r="O109" s="432">
        <f>'Operating Expenses'!L38</f>
        <v>3198</v>
      </c>
      <c r="P109" s="432">
        <f>'Operating Expenses'!M38</f>
        <v>3198</v>
      </c>
      <c r="Q109" s="432">
        <f>'Operating Expenses'!N38</f>
        <v>3198</v>
      </c>
      <c r="R109" s="431">
        <f t="shared" ref="R109:R135" si="22">+SUBTOTAL(9,F109:Q109)</f>
        <v>26988</v>
      </c>
      <c r="T109" s="448"/>
      <c r="U109" s="108"/>
      <c r="V109" s="462"/>
    </row>
    <row r="110" spans="1:22" ht="18" customHeight="1" outlineLevel="1">
      <c r="A110" s="319">
        <f>INDEX(QS_Chart_Of_Accounts_Upload!$C:$O,MATCH(B110,QS_Chart_Of_Accounts_Upload!$E:$E,0),MATCH("ACCT_NO",QS_Chart_Of_Accounts_Upload!$C$1:$O$1,0))</f>
        <v>7350</v>
      </c>
      <c r="B110" s="430" t="str">
        <f>'Operating Expenses'!B39</f>
        <v>Licenses/Permits/Fees</v>
      </c>
      <c r="C110" s="430"/>
      <c r="D110" s="431">
        <f t="shared" si="21"/>
        <v>0</v>
      </c>
      <c r="E110" s="430"/>
      <c r="F110" s="432">
        <f>'Operating Expenses'!C39</f>
        <v>0</v>
      </c>
      <c r="G110" s="432">
        <f>'Operating Expenses'!D39</f>
        <v>0</v>
      </c>
      <c r="H110" s="432">
        <f>'Operating Expenses'!E39</f>
        <v>0</v>
      </c>
      <c r="I110" s="432">
        <f>'Operating Expenses'!F39</f>
        <v>0</v>
      </c>
      <c r="J110" s="432">
        <f>'Operating Expenses'!G39</f>
        <v>0</v>
      </c>
      <c r="K110" s="432">
        <f>'Operating Expenses'!H39</f>
        <v>0</v>
      </c>
      <c r="L110" s="432">
        <f>'Operating Expenses'!I39</f>
        <v>0</v>
      </c>
      <c r="M110" s="432">
        <f>'Operating Expenses'!J39</f>
        <v>0</v>
      </c>
      <c r="N110" s="432">
        <f>'Operating Expenses'!K39</f>
        <v>0</v>
      </c>
      <c r="O110" s="432">
        <f>'Operating Expenses'!L39</f>
        <v>0</v>
      </c>
      <c r="P110" s="432">
        <f>'Operating Expenses'!M39</f>
        <v>0</v>
      </c>
      <c r="Q110" s="432">
        <f>'Operating Expenses'!N39</f>
        <v>0</v>
      </c>
      <c r="R110" s="431">
        <f t="shared" si="22"/>
        <v>0</v>
      </c>
      <c r="T110" s="448" t="str">
        <f>+IF('Operating Expenses'!Q60="","",'Operating Expenses'!Q60)</f>
        <v>LMS and Technology Fees</v>
      </c>
      <c r="U110" s="108"/>
      <c r="V110" s="462"/>
    </row>
    <row r="111" spans="1:22" ht="14" outlineLevel="1">
      <c r="A111" s="319">
        <f>INDEX(QS_Chart_Of_Accounts_Upload!$C:$O,MATCH(B111,QS_Chart_Of_Accounts_Upload!$E:$E,0),MATCH("ACCT_NO",QS_Chart_Of_Accounts_Upload!$C$1:$O$1,0))</f>
        <v>7355</v>
      </c>
      <c r="B111" s="430" t="str">
        <f>'Operating Expenses'!B40</f>
        <v>Violations</v>
      </c>
      <c r="C111" s="430"/>
      <c r="D111" s="431">
        <f t="shared" si="21"/>
        <v>0</v>
      </c>
      <c r="E111" s="430"/>
      <c r="F111" s="432">
        <f>'Operating Expenses'!C40</f>
        <v>0</v>
      </c>
      <c r="G111" s="432">
        <f>'Operating Expenses'!D40</f>
        <v>0</v>
      </c>
      <c r="H111" s="432">
        <f>'Operating Expenses'!E40</f>
        <v>0</v>
      </c>
      <c r="I111" s="432">
        <f>'Operating Expenses'!F40</f>
        <v>0</v>
      </c>
      <c r="J111" s="432">
        <f>'Operating Expenses'!G40</f>
        <v>0</v>
      </c>
      <c r="K111" s="432">
        <f>'Operating Expenses'!H40</f>
        <v>0</v>
      </c>
      <c r="L111" s="432">
        <f>'Operating Expenses'!I40</f>
        <v>0</v>
      </c>
      <c r="M111" s="432">
        <f>'Operating Expenses'!J40</f>
        <v>0</v>
      </c>
      <c r="N111" s="432">
        <f>'Operating Expenses'!K40</f>
        <v>0</v>
      </c>
      <c r="O111" s="432">
        <f>'Operating Expenses'!L40</f>
        <v>0</v>
      </c>
      <c r="P111" s="432">
        <f>'Operating Expenses'!M40</f>
        <v>0</v>
      </c>
      <c r="Q111" s="432">
        <f>'Operating Expenses'!N40</f>
        <v>0</v>
      </c>
      <c r="R111" s="431">
        <f t="shared" si="22"/>
        <v>0</v>
      </c>
      <c r="T111" s="448" t="str">
        <f>+IF('Operating Expenses'!Q40="","",'Operating Expenses'!Q40)</f>
        <v/>
      </c>
      <c r="U111" s="108"/>
      <c r="V111" s="462"/>
    </row>
    <row r="112" spans="1:22" ht="14" outlineLevel="1">
      <c r="A112" s="319">
        <f>INDEX(QS_Chart_Of_Accounts_Upload!$C:$O,MATCH(B112,QS_Chart_Of_Accounts_Upload!$E:$E,0),MATCH("ACCT_NO",QS_Chart_Of_Accounts_Upload!$C$1:$O$1,0))</f>
        <v>7360</v>
      </c>
      <c r="B112" s="430" t="str">
        <f>'Operating Expenses'!B41</f>
        <v>Meetings and Training Classes</v>
      </c>
      <c r="C112" s="430"/>
      <c r="D112" s="431">
        <f t="shared" si="21"/>
        <v>0</v>
      </c>
      <c r="E112" s="430"/>
      <c r="F112" s="432">
        <f>'Operating Expenses'!C41</f>
        <v>0</v>
      </c>
      <c r="G112" s="432">
        <f>'Operating Expenses'!D41</f>
        <v>0</v>
      </c>
      <c r="H112" s="432">
        <f>'Operating Expenses'!E41</f>
        <v>0</v>
      </c>
      <c r="I112" s="432">
        <f>'Operating Expenses'!F41</f>
        <v>0</v>
      </c>
      <c r="J112" s="432">
        <f>'Operating Expenses'!G41</f>
        <v>0</v>
      </c>
      <c r="K112" s="432">
        <f>'Operating Expenses'!H41</f>
        <v>0</v>
      </c>
      <c r="L112" s="432">
        <f>'Operating Expenses'!I41</f>
        <v>0</v>
      </c>
      <c r="M112" s="432">
        <f>'Operating Expenses'!J41</f>
        <v>0</v>
      </c>
      <c r="N112" s="432">
        <f>'Operating Expenses'!K41</f>
        <v>0</v>
      </c>
      <c r="O112" s="432">
        <f>'Operating Expenses'!L41</f>
        <v>0</v>
      </c>
      <c r="P112" s="432">
        <f>'Operating Expenses'!M41</f>
        <v>0</v>
      </c>
      <c r="Q112" s="432">
        <f>'Operating Expenses'!N41</f>
        <v>0</v>
      </c>
      <c r="R112" s="431">
        <f t="shared" si="22"/>
        <v>0</v>
      </c>
      <c r="T112" s="448" t="str">
        <f>+IF('Operating Expenses'!Q41="","",'Operating Expenses'!Q41)</f>
        <v/>
      </c>
      <c r="U112" s="108"/>
      <c r="V112" s="462"/>
    </row>
    <row r="113" spans="1:22" ht="14" outlineLevel="1">
      <c r="A113" s="319">
        <f>INDEX(QS_Chart_Of_Accounts_Upload!$C:$O,MATCH(B113,QS_Chart_Of_Accounts_Upload!$E:$E,0),MATCH("ACCT_NO",QS_Chart_Of_Accounts_Upload!$C$1:$O$1,0))</f>
        <v>7370</v>
      </c>
      <c r="B113" s="430" t="str">
        <f>'Operating Expenses'!B42</f>
        <v>Mileage</v>
      </c>
      <c r="C113" s="430"/>
      <c r="D113" s="431">
        <f t="shared" si="21"/>
        <v>0</v>
      </c>
      <c r="E113" s="430"/>
      <c r="F113" s="432">
        <f>'Operating Expenses'!C42</f>
        <v>0</v>
      </c>
      <c r="G113" s="432">
        <f>'Operating Expenses'!D42</f>
        <v>0</v>
      </c>
      <c r="H113" s="432">
        <f>'Operating Expenses'!E42</f>
        <v>0</v>
      </c>
      <c r="I113" s="432">
        <f>'Operating Expenses'!F42</f>
        <v>0</v>
      </c>
      <c r="J113" s="432">
        <f>'Operating Expenses'!G42</f>
        <v>0</v>
      </c>
      <c r="K113" s="432">
        <f>'Operating Expenses'!H42</f>
        <v>0</v>
      </c>
      <c r="L113" s="432">
        <f>'Operating Expenses'!I42</f>
        <v>0</v>
      </c>
      <c r="M113" s="432">
        <f>'Operating Expenses'!J42</f>
        <v>0</v>
      </c>
      <c r="N113" s="432">
        <f>'Operating Expenses'!K42</f>
        <v>0</v>
      </c>
      <c r="O113" s="432">
        <f>'Operating Expenses'!L42</f>
        <v>0</v>
      </c>
      <c r="P113" s="432">
        <f>'Operating Expenses'!M42</f>
        <v>0</v>
      </c>
      <c r="Q113" s="432">
        <f>'Operating Expenses'!N42</f>
        <v>0</v>
      </c>
      <c r="R113" s="431">
        <f t="shared" si="22"/>
        <v>0</v>
      </c>
      <c r="T113" s="448" t="str">
        <f>+IF('Operating Expenses'!Q42="","",'Operating Expenses'!Q42)</f>
        <v/>
      </c>
      <c r="U113" s="108"/>
      <c r="V113" s="462"/>
    </row>
    <row r="114" spans="1:22" ht="14" outlineLevel="1">
      <c r="A114" s="319">
        <f>INDEX(QS_Chart_Of_Accounts_Upload!$C:$O,MATCH(B114,QS_Chart_Of_Accounts_Upload!$E:$E,0),MATCH("ACCT_NO",QS_Chart_Of_Accounts_Upload!$C$1:$O$1,0))</f>
        <v>7380</v>
      </c>
      <c r="B114" s="430" t="str">
        <f>'Operating Expenses'!B43</f>
        <v>Misc. Administrative Expenses</v>
      </c>
      <c r="C114" s="430"/>
      <c r="D114" s="431">
        <f t="shared" si="21"/>
        <v>0</v>
      </c>
      <c r="E114" s="430"/>
      <c r="F114" s="432">
        <f>'Operating Expenses'!C43</f>
        <v>0</v>
      </c>
      <c r="G114" s="432">
        <f>'Operating Expenses'!D43</f>
        <v>0</v>
      </c>
      <c r="H114" s="432">
        <f>'Operating Expenses'!E43</f>
        <v>0</v>
      </c>
      <c r="I114" s="432">
        <f>'Operating Expenses'!F43</f>
        <v>0</v>
      </c>
      <c r="J114" s="432">
        <f>'Operating Expenses'!G43</f>
        <v>0</v>
      </c>
      <c r="K114" s="432">
        <f>'Operating Expenses'!H43</f>
        <v>0</v>
      </c>
      <c r="L114" s="432">
        <f>'Operating Expenses'!I43</f>
        <v>0</v>
      </c>
      <c r="M114" s="432">
        <f>'Operating Expenses'!J43</f>
        <v>0</v>
      </c>
      <c r="N114" s="432">
        <f>'Operating Expenses'!K43</f>
        <v>0</v>
      </c>
      <c r="O114" s="432">
        <f>'Operating Expenses'!L43</f>
        <v>0</v>
      </c>
      <c r="P114" s="432">
        <f>'Operating Expenses'!M43</f>
        <v>0</v>
      </c>
      <c r="Q114" s="432">
        <f>'Operating Expenses'!N43</f>
        <v>0</v>
      </c>
      <c r="R114" s="431">
        <f t="shared" si="22"/>
        <v>0</v>
      </c>
      <c r="T114" s="448" t="str">
        <f>+IF('Operating Expenses'!Q43="","",'Operating Expenses'!Q43)</f>
        <v/>
      </c>
      <c r="U114" s="108"/>
      <c r="V114" s="462"/>
    </row>
    <row r="115" spans="1:22" ht="14" outlineLevel="1">
      <c r="A115" s="319">
        <f>INDEX(QS_Chart_Of_Accounts_Upload!$C:$O,MATCH(B115,QS_Chart_Of_Accounts_Upload!$E:$E,0),MATCH("ACCT_NO",QS_Chart_Of_Accounts_Upload!$C$1:$O$1,0))</f>
        <v>7390</v>
      </c>
      <c r="B115" s="430" t="str">
        <f>'Operating Expenses'!B44</f>
        <v>Office Equipment Rental</v>
      </c>
      <c r="C115" s="430"/>
      <c r="D115" s="431">
        <f t="shared" si="21"/>
        <v>0</v>
      </c>
      <c r="E115" s="430"/>
      <c r="F115" s="432">
        <f>'Operating Expenses'!C44</f>
        <v>0</v>
      </c>
      <c r="G115" s="432">
        <f>'Operating Expenses'!D44</f>
        <v>0</v>
      </c>
      <c r="H115" s="432">
        <f>'Operating Expenses'!E44</f>
        <v>0</v>
      </c>
      <c r="I115" s="432">
        <f>'Operating Expenses'!F44</f>
        <v>0</v>
      </c>
      <c r="J115" s="432">
        <f>'Operating Expenses'!G44</f>
        <v>0</v>
      </c>
      <c r="K115" s="432">
        <f>'Operating Expenses'!H44</f>
        <v>0</v>
      </c>
      <c r="L115" s="432">
        <f>'Operating Expenses'!I44</f>
        <v>0</v>
      </c>
      <c r="M115" s="432">
        <f>'Operating Expenses'!J44</f>
        <v>0</v>
      </c>
      <c r="N115" s="432">
        <f>'Operating Expenses'!K44</f>
        <v>0</v>
      </c>
      <c r="O115" s="432">
        <f>'Operating Expenses'!L44</f>
        <v>0</v>
      </c>
      <c r="P115" s="432">
        <f>'Operating Expenses'!M44</f>
        <v>0</v>
      </c>
      <c r="Q115" s="432">
        <f>'Operating Expenses'!N44</f>
        <v>0</v>
      </c>
      <c r="R115" s="431">
        <f t="shared" si="22"/>
        <v>0</v>
      </c>
      <c r="T115" s="448" t="str">
        <f>+IF('Operating Expenses'!Q44="","",'Operating Expenses'!Q44)</f>
        <v/>
      </c>
      <c r="U115" s="108"/>
      <c r="V115" s="462"/>
    </row>
    <row r="116" spans="1:22" ht="14" outlineLevel="1">
      <c r="A116" s="319">
        <f>INDEX(QS_Chart_Of_Accounts_Upload!$C:$O,MATCH(B116,QS_Chart_Of_Accounts_Upload!$E:$E,0),MATCH("ACCT_NO",QS_Chart_Of_Accounts_Upload!$C$1:$O$1,0))</f>
        <v>7400</v>
      </c>
      <c r="B116" s="430" t="str">
        <f>'Operating Expenses'!B45</f>
        <v>Office Supplies and Equipment</v>
      </c>
      <c r="C116" s="430"/>
      <c r="D116" s="431">
        <f t="shared" si="21"/>
        <v>2400</v>
      </c>
      <c r="E116" s="430"/>
      <c r="F116" s="432">
        <f>'Operating Expenses'!C45</f>
        <v>200</v>
      </c>
      <c r="G116" s="432">
        <f>'Operating Expenses'!D45</f>
        <v>200</v>
      </c>
      <c r="H116" s="432">
        <f>'Operating Expenses'!E45</f>
        <v>200</v>
      </c>
      <c r="I116" s="432">
        <f>'Operating Expenses'!F45</f>
        <v>200</v>
      </c>
      <c r="J116" s="432">
        <f>'Operating Expenses'!G45</f>
        <v>200</v>
      </c>
      <c r="K116" s="432">
        <f>'Operating Expenses'!H45</f>
        <v>200</v>
      </c>
      <c r="L116" s="432">
        <f>'Operating Expenses'!I45</f>
        <v>200</v>
      </c>
      <c r="M116" s="432">
        <f>'Operating Expenses'!J45</f>
        <v>200</v>
      </c>
      <c r="N116" s="432">
        <f>'Operating Expenses'!K45</f>
        <v>200</v>
      </c>
      <c r="O116" s="432">
        <f>'Operating Expenses'!L45</f>
        <v>200</v>
      </c>
      <c r="P116" s="432">
        <f>'Operating Expenses'!M45</f>
        <v>200</v>
      </c>
      <c r="Q116" s="432">
        <f>'Operating Expenses'!N45</f>
        <v>200</v>
      </c>
      <c r="R116" s="431">
        <f t="shared" si="22"/>
        <v>2400</v>
      </c>
      <c r="T116" s="448" t="str">
        <f>+IF('Operating Expenses'!Q45="","",'Operating Expenses'!Q45)</f>
        <v/>
      </c>
      <c r="U116" s="108"/>
      <c r="V116" s="462"/>
    </row>
    <row r="117" spans="1:22" ht="14" outlineLevel="1">
      <c r="A117" s="319">
        <f>INDEX(QS_Chart_Of_Accounts_Upload!$C:$O,MATCH(B117,QS_Chart_Of_Accounts_Upload!$E:$E,0),MATCH("ACCT_NO",QS_Chart_Of_Accounts_Upload!$C$1:$O$1,0))</f>
        <v>7410</v>
      </c>
      <c r="B117" s="430" t="str">
        <f>'Operating Expenses'!B46</f>
        <v>Ops Technology Fee</v>
      </c>
      <c r="C117" s="430"/>
      <c r="D117" s="431">
        <f t="shared" si="21"/>
        <v>0</v>
      </c>
      <c r="E117" s="430"/>
      <c r="F117" s="432">
        <f>'Operating Expenses'!C46</f>
        <v>0</v>
      </c>
      <c r="G117" s="432">
        <f>'Operating Expenses'!D46</f>
        <v>0</v>
      </c>
      <c r="H117" s="432">
        <f>'Operating Expenses'!E46</f>
        <v>0</v>
      </c>
      <c r="I117" s="432">
        <f>'Operating Expenses'!F46</f>
        <v>0</v>
      </c>
      <c r="J117" s="432">
        <f>'Operating Expenses'!G46</f>
        <v>0</v>
      </c>
      <c r="K117" s="432">
        <f>'Operating Expenses'!H46</f>
        <v>0</v>
      </c>
      <c r="L117" s="432">
        <f>'Operating Expenses'!I46</f>
        <v>0</v>
      </c>
      <c r="M117" s="432">
        <f>'Operating Expenses'!J46</f>
        <v>0</v>
      </c>
      <c r="N117" s="432">
        <f>'Operating Expenses'!K46</f>
        <v>0</v>
      </c>
      <c r="O117" s="432">
        <f>'Operating Expenses'!L46</f>
        <v>0</v>
      </c>
      <c r="P117" s="432">
        <f>'Operating Expenses'!M46</f>
        <v>0</v>
      </c>
      <c r="Q117" s="432">
        <f>'Operating Expenses'!N46</f>
        <v>0</v>
      </c>
      <c r="R117" s="431">
        <f t="shared" si="22"/>
        <v>0</v>
      </c>
      <c r="T117" s="448" t="str">
        <f>+IF('Operating Expenses'!Q46="","",'Operating Expenses'!Q46)</f>
        <v/>
      </c>
      <c r="U117" s="108"/>
      <c r="V117" s="462"/>
    </row>
    <row r="118" spans="1:22" ht="14" outlineLevel="1">
      <c r="A118" s="319">
        <f>INDEX(QS_Chart_Of_Accounts_Upload!$C:$O,MATCH(B118,QS_Chart_Of_Accounts_Upload!$E:$E,0),MATCH("ACCT_NO",QS_Chart_Of_Accounts_Upload!$C$1:$O$1,0))</f>
        <v>7420</v>
      </c>
      <c r="B118" s="430" t="str">
        <f>'Operating Expenses'!B47</f>
        <v>Other Professional Services</v>
      </c>
      <c r="C118" s="430"/>
      <c r="D118" s="431">
        <f t="shared" si="21"/>
        <v>0</v>
      </c>
      <c r="E118" s="430"/>
      <c r="F118" s="432">
        <f>'Operating Expenses'!C47</f>
        <v>0</v>
      </c>
      <c r="G118" s="432">
        <f>'Operating Expenses'!D47</f>
        <v>0</v>
      </c>
      <c r="H118" s="432">
        <f>'Operating Expenses'!E47</f>
        <v>0</v>
      </c>
      <c r="I118" s="432">
        <f>'Operating Expenses'!F47</f>
        <v>0</v>
      </c>
      <c r="J118" s="432">
        <f>'Operating Expenses'!G47</f>
        <v>0</v>
      </c>
      <c r="K118" s="432">
        <f>'Operating Expenses'!H47</f>
        <v>0</v>
      </c>
      <c r="L118" s="432">
        <f>'Operating Expenses'!I47</f>
        <v>0</v>
      </c>
      <c r="M118" s="432">
        <f>'Operating Expenses'!J47</f>
        <v>0</v>
      </c>
      <c r="N118" s="432">
        <f>'Operating Expenses'!K47</f>
        <v>0</v>
      </c>
      <c r="O118" s="432">
        <f>'Operating Expenses'!L47</f>
        <v>0</v>
      </c>
      <c r="P118" s="432">
        <f>'Operating Expenses'!M47</f>
        <v>0</v>
      </c>
      <c r="Q118" s="432">
        <f>'Operating Expenses'!N47</f>
        <v>0</v>
      </c>
      <c r="R118" s="431">
        <f t="shared" si="22"/>
        <v>0</v>
      </c>
      <c r="T118" s="448" t="str">
        <f>+IF('Operating Expenses'!Q47="","",'Operating Expenses'!Q47)</f>
        <v/>
      </c>
      <c r="U118" s="108"/>
      <c r="V118" s="462"/>
    </row>
    <row r="119" spans="1:22" ht="14" outlineLevel="1">
      <c r="A119" s="319">
        <f>INDEX(QS_Chart_Of_Accounts_Upload!$C:$O,MATCH(B119,QS_Chart_Of_Accounts_Upload!$E:$E,0),MATCH("ACCT_NO",QS_Chart_Of_Accounts_Upload!$C$1:$O$1,0))</f>
        <v>7430</v>
      </c>
      <c r="B119" s="430" t="str">
        <f>'Operating Expenses'!B48</f>
        <v>Parking Tolls and Fees</v>
      </c>
      <c r="C119" s="430"/>
      <c r="D119" s="431">
        <f t="shared" si="21"/>
        <v>0</v>
      </c>
      <c r="E119" s="430"/>
      <c r="F119" s="432">
        <f>'Operating Expenses'!C48</f>
        <v>0</v>
      </c>
      <c r="G119" s="432">
        <f>'Operating Expenses'!D48</f>
        <v>0</v>
      </c>
      <c r="H119" s="432">
        <f>'Operating Expenses'!E48</f>
        <v>0</v>
      </c>
      <c r="I119" s="432">
        <f>'Operating Expenses'!F48</f>
        <v>0</v>
      </c>
      <c r="J119" s="432">
        <f>'Operating Expenses'!G48</f>
        <v>0</v>
      </c>
      <c r="K119" s="432">
        <f>'Operating Expenses'!H48</f>
        <v>0</v>
      </c>
      <c r="L119" s="432">
        <f>'Operating Expenses'!I48</f>
        <v>0</v>
      </c>
      <c r="M119" s="432">
        <f>'Operating Expenses'!J48</f>
        <v>0</v>
      </c>
      <c r="N119" s="432">
        <f>'Operating Expenses'!K48</f>
        <v>0</v>
      </c>
      <c r="O119" s="432">
        <f>'Operating Expenses'!L48</f>
        <v>0</v>
      </c>
      <c r="P119" s="432">
        <f>'Operating Expenses'!M48</f>
        <v>0</v>
      </c>
      <c r="Q119" s="432">
        <f>'Operating Expenses'!N48</f>
        <v>0</v>
      </c>
      <c r="R119" s="431">
        <f t="shared" si="22"/>
        <v>0</v>
      </c>
      <c r="T119" s="448" t="str">
        <f>+IF('Operating Expenses'!Q48="","",'Operating Expenses'!Q48)</f>
        <v/>
      </c>
      <c r="U119" s="108"/>
      <c r="V119" s="462"/>
    </row>
    <row r="120" spans="1:22" ht="14" outlineLevel="1">
      <c r="A120" s="319">
        <f>INDEX(QS_Chart_Of_Accounts_Upload!$C:$O,MATCH(B120,QS_Chart_Of_Accounts_Upload!$E:$E,0),MATCH("ACCT_NO",QS_Chart_Of_Accounts_Upload!$C$1:$O$1,0))</f>
        <v>7440</v>
      </c>
      <c r="B120" s="430" t="str">
        <f>'Operating Expenses'!B49</f>
        <v>Postage, Courier, and Freight</v>
      </c>
      <c r="C120" s="430"/>
      <c r="D120" s="431">
        <f t="shared" si="21"/>
        <v>648.59999999999991</v>
      </c>
      <c r="E120" s="430"/>
      <c r="F120" s="432">
        <f>'Operating Expenses'!C49</f>
        <v>79.05</v>
      </c>
      <c r="G120" s="432">
        <f>'Operating Expenses'!D49</f>
        <v>29.049999999999997</v>
      </c>
      <c r="H120" s="432">
        <f>'Operating Expenses'!E49</f>
        <v>79.05</v>
      </c>
      <c r="I120" s="432">
        <f>'Operating Expenses'!F49</f>
        <v>29.049999999999997</v>
      </c>
      <c r="J120" s="432">
        <f>'Operating Expenses'!G49</f>
        <v>79.05</v>
      </c>
      <c r="K120" s="432">
        <f>'Operating Expenses'!H49</f>
        <v>29.049999999999997</v>
      </c>
      <c r="L120" s="432">
        <f>'Operating Expenses'!I49</f>
        <v>79.05</v>
      </c>
      <c r="M120" s="432">
        <f>'Operating Expenses'!J49</f>
        <v>29.049999999999997</v>
      </c>
      <c r="N120" s="432">
        <f>'Operating Expenses'!K49</f>
        <v>79.05</v>
      </c>
      <c r="O120" s="432">
        <f>'Operating Expenses'!L49</f>
        <v>29.049999999999997</v>
      </c>
      <c r="P120" s="432">
        <f>'Operating Expenses'!M49</f>
        <v>79.05</v>
      </c>
      <c r="Q120" s="432">
        <f>'Operating Expenses'!N49</f>
        <v>29.049999999999997</v>
      </c>
      <c r="R120" s="431">
        <f t="shared" si="22"/>
        <v>648.59999999999991</v>
      </c>
      <c r="T120" s="448" t="str">
        <f>+IF('Operating Expenses'!Q49="","",'Operating Expenses'!Q49)</f>
        <v/>
      </c>
      <c r="U120" s="108"/>
      <c r="V120" s="462"/>
    </row>
    <row r="121" spans="1:22" ht="14" outlineLevel="1">
      <c r="A121" s="319">
        <f>INDEX(QS_Chart_Of_Accounts_Upload!$C:$O,MATCH(B121,QS_Chart_Of_Accounts_Upload!$E:$E,0),MATCH("ACCT_NO",QS_Chart_Of_Accounts_Upload!$C$1:$O$1,0))</f>
        <v>7450</v>
      </c>
      <c r="B121" s="430" t="str">
        <f>'Operating Expenses'!B50</f>
        <v>Printing</v>
      </c>
      <c r="C121" s="430"/>
      <c r="D121" s="431">
        <f t="shared" si="21"/>
        <v>0</v>
      </c>
      <c r="E121" s="430"/>
      <c r="F121" s="432">
        <f>'Operating Expenses'!C50</f>
        <v>0</v>
      </c>
      <c r="G121" s="432">
        <f>'Operating Expenses'!D50</f>
        <v>0</v>
      </c>
      <c r="H121" s="432">
        <f>'Operating Expenses'!E50</f>
        <v>0</v>
      </c>
      <c r="I121" s="432">
        <f>'Operating Expenses'!F50</f>
        <v>0</v>
      </c>
      <c r="J121" s="432">
        <f>'Operating Expenses'!G50</f>
        <v>0</v>
      </c>
      <c r="K121" s="432">
        <f>'Operating Expenses'!H50</f>
        <v>0</v>
      </c>
      <c r="L121" s="432">
        <f>'Operating Expenses'!I50</f>
        <v>0</v>
      </c>
      <c r="M121" s="432">
        <f>'Operating Expenses'!J50</f>
        <v>0</v>
      </c>
      <c r="N121" s="432">
        <f>'Operating Expenses'!K50</f>
        <v>0</v>
      </c>
      <c r="O121" s="432">
        <f>'Operating Expenses'!L50</f>
        <v>0</v>
      </c>
      <c r="P121" s="432">
        <f>'Operating Expenses'!M50</f>
        <v>0</v>
      </c>
      <c r="Q121" s="432">
        <f>'Operating Expenses'!N50</f>
        <v>0</v>
      </c>
      <c r="R121" s="431">
        <f t="shared" si="22"/>
        <v>0</v>
      </c>
      <c r="T121" s="448" t="str">
        <f>+IF('Operating Expenses'!Q50="","",'Operating Expenses'!Q50)</f>
        <v/>
      </c>
      <c r="U121" s="108"/>
      <c r="V121" s="462"/>
    </row>
    <row r="122" spans="1:22" ht="14" outlineLevel="1">
      <c r="A122" s="319">
        <f>INDEX(QS_Chart_Of_Accounts_Upload!$C:$O,MATCH(B122,QS_Chart_Of_Accounts_Upload!$E:$E,0),MATCH("ACCT_NO",QS_Chart_Of_Accounts_Upload!$C$1:$O$1,0))</f>
        <v>7460</v>
      </c>
      <c r="B122" s="430" t="str">
        <f>'Operating Expenses'!B51</f>
        <v>Resident Screening</v>
      </c>
      <c r="C122" s="430"/>
      <c r="D122" s="431">
        <f t="shared" si="21"/>
        <v>0</v>
      </c>
      <c r="E122" s="430"/>
      <c r="F122" s="432">
        <f>'Operating Expenses'!C51</f>
        <v>0</v>
      </c>
      <c r="G122" s="432">
        <f>'Operating Expenses'!D51</f>
        <v>0</v>
      </c>
      <c r="H122" s="432">
        <f>'Operating Expenses'!E51</f>
        <v>0</v>
      </c>
      <c r="I122" s="432">
        <f>'Operating Expenses'!F51</f>
        <v>0</v>
      </c>
      <c r="J122" s="432">
        <f>'Operating Expenses'!G51</f>
        <v>0</v>
      </c>
      <c r="K122" s="432">
        <f>'Operating Expenses'!H51</f>
        <v>0</v>
      </c>
      <c r="L122" s="432">
        <f>'Operating Expenses'!I51</f>
        <v>0</v>
      </c>
      <c r="M122" s="432">
        <f>'Operating Expenses'!J51</f>
        <v>0</v>
      </c>
      <c r="N122" s="432">
        <f>'Operating Expenses'!K51</f>
        <v>0</v>
      </c>
      <c r="O122" s="432">
        <f>'Operating Expenses'!L51</f>
        <v>0</v>
      </c>
      <c r="P122" s="432">
        <f>'Operating Expenses'!M51</f>
        <v>0</v>
      </c>
      <c r="Q122" s="432">
        <f>'Operating Expenses'!N51</f>
        <v>0</v>
      </c>
      <c r="R122" s="431">
        <f t="shared" si="22"/>
        <v>0</v>
      </c>
      <c r="T122" s="448" t="str">
        <f>+IF('Operating Expenses'!Q51="","",'Operating Expenses'!Q51)</f>
        <v/>
      </c>
      <c r="U122" s="108"/>
      <c r="V122" s="449"/>
    </row>
    <row r="123" spans="1:22" ht="112" outlineLevel="1">
      <c r="A123" s="319"/>
      <c r="B123" s="430" t="str">
        <f>'Operating Expenses'!B52</f>
        <v>Technology/Software Expenses</v>
      </c>
      <c r="C123" s="430"/>
      <c r="D123" s="431">
        <f t="shared" si="21"/>
        <v>12938.04</v>
      </c>
      <c r="E123" s="430"/>
      <c r="F123" s="432">
        <f>'Operating Expenses'!C52</f>
        <v>1078.17</v>
      </c>
      <c r="G123" s="432">
        <f>'Operating Expenses'!D52</f>
        <v>1078.17</v>
      </c>
      <c r="H123" s="432">
        <f>'Operating Expenses'!E52</f>
        <v>1078.17</v>
      </c>
      <c r="I123" s="432">
        <f>'Operating Expenses'!F52</f>
        <v>1078.17</v>
      </c>
      <c r="J123" s="432">
        <f>'Operating Expenses'!G52</f>
        <v>1078.17</v>
      </c>
      <c r="K123" s="432">
        <f>'Operating Expenses'!H52</f>
        <v>1078.17</v>
      </c>
      <c r="L123" s="432">
        <f>'Operating Expenses'!I52</f>
        <v>1078.17</v>
      </c>
      <c r="M123" s="432">
        <f>'Operating Expenses'!J52</f>
        <v>1078.17</v>
      </c>
      <c r="N123" s="432">
        <f>'Operating Expenses'!K52</f>
        <v>1078.17</v>
      </c>
      <c r="O123" s="432">
        <f>'Operating Expenses'!L52</f>
        <v>1078.17</v>
      </c>
      <c r="P123" s="432">
        <f>'Operating Expenses'!M52</f>
        <v>1078.17</v>
      </c>
      <c r="Q123" s="432">
        <f>'Operating Expenses'!N52</f>
        <v>1078.17</v>
      </c>
      <c r="R123" s="431">
        <f t="shared" si="22"/>
        <v>12938.04</v>
      </c>
      <c r="T123" s="448" t="str">
        <f>+IF('Operating Expenses'!Q52="","",'Operating Expenses'!Q52)</f>
        <v xml:space="preserve">
Core PMS - Real Page
Screening - ID Verification	Real Page
Ops Invoice Processing - Real Page
Market Survey	Radix
Maintenence	Leo 247
LMS Tech	GraceHill
Residential Portal	Alfred Aos</v>
      </c>
      <c r="U123" s="108"/>
      <c r="V123" s="449">
        <f>+IF('Operating Expenses'!T52="","",'Operating Expenses'!T52)</f>
        <v>12.99</v>
      </c>
    </row>
    <row r="124" spans="1:22" ht="14" outlineLevel="1">
      <c r="A124" s="319">
        <f>INDEX(QS_Chart_Of_Accounts_Upload!$C:$O,MATCH(B124,QS_Chart_Of_Accounts_Upload!$E:$E,0),MATCH("ACCT_NO",QS_Chart_Of_Accounts_Upload!$C$1:$O$1,0))</f>
        <v>7470.1</v>
      </c>
      <c r="B124" s="430" t="str">
        <f>'Operating Expenses'!B53</f>
        <v>Software Expenses - LRO</v>
      </c>
      <c r="C124" s="430"/>
      <c r="D124" s="431">
        <f t="shared" si="21"/>
        <v>0</v>
      </c>
      <c r="E124" s="430"/>
      <c r="F124" s="432">
        <f>'Operating Expenses'!C53</f>
        <v>0</v>
      </c>
      <c r="G124" s="432">
        <f>'Operating Expenses'!D53</f>
        <v>0</v>
      </c>
      <c r="H124" s="432">
        <f>'Operating Expenses'!E53</f>
        <v>0</v>
      </c>
      <c r="I124" s="432">
        <f>'Operating Expenses'!F53</f>
        <v>0</v>
      </c>
      <c r="J124" s="432">
        <f>'Operating Expenses'!G53</f>
        <v>0</v>
      </c>
      <c r="K124" s="432">
        <f>'Operating Expenses'!H53</f>
        <v>0</v>
      </c>
      <c r="L124" s="432">
        <f>'Operating Expenses'!I53</f>
        <v>0</v>
      </c>
      <c r="M124" s="432">
        <f>'Operating Expenses'!J53</f>
        <v>0</v>
      </c>
      <c r="N124" s="432">
        <f>'Operating Expenses'!K53</f>
        <v>0</v>
      </c>
      <c r="O124" s="432">
        <f>'Operating Expenses'!L53</f>
        <v>0</v>
      </c>
      <c r="P124" s="432">
        <f>'Operating Expenses'!M53</f>
        <v>0</v>
      </c>
      <c r="Q124" s="432">
        <f>'Operating Expenses'!N53</f>
        <v>0</v>
      </c>
      <c r="R124" s="431">
        <f t="shared" si="22"/>
        <v>0</v>
      </c>
      <c r="T124" s="448" t="str">
        <f>+IF('Operating Expenses'!Q53="","",'Operating Expenses'!Q53)</f>
        <v/>
      </c>
      <c r="U124" s="108"/>
      <c r="V124" s="449">
        <f>+IF('Operating Expenses'!T53="","",'Operating Expenses'!T53)</f>
        <v>0</v>
      </c>
    </row>
    <row r="125" spans="1:22" ht="14" outlineLevel="1">
      <c r="A125" s="319"/>
      <c r="B125" s="430" t="str">
        <f>'Operating Expenses'!B54</f>
        <v>Technology 2 - Marketing</v>
      </c>
      <c r="C125" s="430"/>
      <c r="D125" s="431">
        <f t="shared" si="21"/>
        <v>4708</v>
      </c>
      <c r="E125" s="430"/>
      <c r="F125" s="432">
        <f>'Operating Expenses'!C54</f>
        <v>559</v>
      </c>
      <c r="G125" s="432">
        <f>'Operating Expenses'!D54</f>
        <v>309</v>
      </c>
      <c r="H125" s="432">
        <f>'Operating Expenses'!E54</f>
        <v>309</v>
      </c>
      <c r="I125" s="432">
        <f>'Operating Expenses'!F54</f>
        <v>559</v>
      </c>
      <c r="J125" s="432">
        <f>'Operating Expenses'!G54</f>
        <v>309</v>
      </c>
      <c r="K125" s="432">
        <f>'Operating Expenses'!H54</f>
        <v>309</v>
      </c>
      <c r="L125" s="432">
        <f>'Operating Expenses'!I54</f>
        <v>559</v>
      </c>
      <c r="M125" s="432">
        <f>'Operating Expenses'!J54</f>
        <v>309</v>
      </c>
      <c r="N125" s="432">
        <f>'Operating Expenses'!K54</f>
        <v>309</v>
      </c>
      <c r="O125" s="432">
        <f>'Operating Expenses'!L54</f>
        <v>559</v>
      </c>
      <c r="P125" s="432">
        <f>'Operating Expenses'!M54</f>
        <v>309</v>
      </c>
      <c r="Q125" s="432">
        <f>'Operating Expenses'!N54</f>
        <v>309</v>
      </c>
      <c r="R125" s="431">
        <f t="shared" si="22"/>
        <v>4708</v>
      </c>
      <c r="T125" s="448" t="str">
        <f>+IF('Operating Expenses'!Q54="","",'Operating Expenses'!Q54)</f>
        <v/>
      </c>
      <c r="U125" s="108"/>
      <c r="V125" s="449">
        <f>+IF('Operating Expenses'!T54="","",'Operating Expenses'!T54)</f>
        <v>179</v>
      </c>
    </row>
    <row r="126" spans="1:22" ht="14" outlineLevel="1">
      <c r="A126" s="319"/>
      <c r="B126" s="430" t="str">
        <f>'Operating Expenses'!B55</f>
        <v>Technology 3 - Operations</v>
      </c>
      <c r="C126" s="430"/>
      <c r="D126" s="431">
        <f t="shared" si="21"/>
        <v>0</v>
      </c>
      <c r="E126" s="430"/>
      <c r="F126" s="432">
        <f>'Operating Expenses'!C55</f>
        <v>0</v>
      </c>
      <c r="G126" s="432">
        <f>'Operating Expenses'!D55</f>
        <v>0</v>
      </c>
      <c r="H126" s="432">
        <f>'Operating Expenses'!E55</f>
        <v>0</v>
      </c>
      <c r="I126" s="432">
        <f>'Operating Expenses'!F55</f>
        <v>0</v>
      </c>
      <c r="J126" s="432">
        <f>'Operating Expenses'!G55</f>
        <v>0</v>
      </c>
      <c r="K126" s="432">
        <f>'Operating Expenses'!H55</f>
        <v>0</v>
      </c>
      <c r="L126" s="432">
        <f>'Operating Expenses'!I55</f>
        <v>0</v>
      </c>
      <c r="M126" s="432">
        <f>'Operating Expenses'!J55</f>
        <v>0</v>
      </c>
      <c r="N126" s="432">
        <f>'Operating Expenses'!K55</f>
        <v>0</v>
      </c>
      <c r="O126" s="432">
        <f>'Operating Expenses'!L55</f>
        <v>0</v>
      </c>
      <c r="P126" s="432">
        <f>'Operating Expenses'!M55</f>
        <v>0</v>
      </c>
      <c r="Q126" s="432">
        <f>'Operating Expenses'!N55</f>
        <v>0</v>
      </c>
      <c r="R126" s="431">
        <f t="shared" si="22"/>
        <v>0</v>
      </c>
      <c r="T126" s="448" t="str">
        <f>+IF('Operating Expenses'!Q55="","",'Operating Expenses'!Q55)</f>
        <v/>
      </c>
      <c r="U126" s="108"/>
      <c r="V126" s="449">
        <f>+IF('Operating Expenses'!T55="","",'Operating Expenses'!T55)</f>
        <v>0</v>
      </c>
    </row>
    <row r="127" spans="1:22" ht="14" outlineLevel="1">
      <c r="A127" s="319">
        <f>INDEX(QS_Chart_Of_Accounts_Upload!$C:$O,MATCH(B127,QS_Chart_Of_Accounts_Upload!$E:$E,0),MATCH("ACCT_NO",QS_Chart_Of_Accounts_Upload!$C$1:$O$1,0))</f>
        <v>7465</v>
      </c>
      <c r="B127" s="430" t="str">
        <f>'Operating Expenses'!B56</f>
        <v>Smart Rent</v>
      </c>
      <c r="C127" s="430"/>
      <c r="D127" s="431">
        <f t="shared" si="21"/>
        <v>0</v>
      </c>
      <c r="E127" s="430"/>
      <c r="F127" s="432">
        <f>'Operating Expenses'!C56</f>
        <v>0</v>
      </c>
      <c r="G127" s="432">
        <f>'Operating Expenses'!D56</f>
        <v>0</v>
      </c>
      <c r="H127" s="432">
        <f>'Operating Expenses'!E56</f>
        <v>0</v>
      </c>
      <c r="I127" s="432">
        <f>'Operating Expenses'!F56</f>
        <v>0</v>
      </c>
      <c r="J127" s="432">
        <f>'Operating Expenses'!G56</f>
        <v>0</v>
      </c>
      <c r="K127" s="432">
        <f>'Operating Expenses'!H56</f>
        <v>0</v>
      </c>
      <c r="L127" s="432">
        <f>'Operating Expenses'!I56</f>
        <v>0</v>
      </c>
      <c r="M127" s="432">
        <f>'Operating Expenses'!J56</f>
        <v>0</v>
      </c>
      <c r="N127" s="432">
        <f>'Operating Expenses'!K56</f>
        <v>0</v>
      </c>
      <c r="O127" s="432">
        <f>'Operating Expenses'!L56</f>
        <v>0</v>
      </c>
      <c r="P127" s="432">
        <f>'Operating Expenses'!M56</f>
        <v>0</v>
      </c>
      <c r="Q127" s="432">
        <f>'Operating Expenses'!N56</f>
        <v>0</v>
      </c>
      <c r="R127" s="431">
        <f t="shared" si="22"/>
        <v>0</v>
      </c>
      <c r="T127" s="448" t="str">
        <f>+IF('Operating Expenses'!Q56="","",'Operating Expenses'!Q56)</f>
        <v/>
      </c>
      <c r="U127" s="108"/>
      <c r="V127" s="449" t="str">
        <f>+IF('Operating Expenses'!T56="","",'Operating Expenses'!T56)</f>
        <v/>
      </c>
    </row>
    <row r="128" spans="1:22" ht="14" outlineLevel="1">
      <c r="A128" s="319">
        <f>INDEX(QS_Chart_Of_Accounts_Upload!$C:$O,MATCH(B128,QS_Chart_Of_Accounts_Upload!$E:$E,0),MATCH("ACCT_NO",QS_Chart_Of_Accounts_Upload!$C$1:$O$1,0))</f>
        <v>4910</v>
      </c>
      <c r="B128" s="430" t="str">
        <f>'Operating Expenses'!B57</f>
        <v>Storage Space Rental</v>
      </c>
      <c r="C128" s="430"/>
      <c r="D128" s="431">
        <f t="shared" si="21"/>
        <v>0</v>
      </c>
      <c r="E128" s="430"/>
      <c r="F128" s="432">
        <f>'Operating Expenses'!C57</f>
        <v>0</v>
      </c>
      <c r="G128" s="432">
        <f>'Operating Expenses'!D57</f>
        <v>0</v>
      </c>
      <c r="H128" s="432">
        <f>'Operating Expenses'!E57</f>
        <v>0</v>
      </c>
      <c r="I128" s="432">
        <f>'Operating Expenses'!F57</f>
        <v>0</v>
      </c>
      <c r="J128" s="432">
        <f>'Operating Expenses'!G57</f>
        <v>0</v>
      </c>
      <c r="K128" s="432">
        <f>'Operating Expenses'!H57</f>
        <v>0</v>
      </c>
      <c r="L128" s="432">
        <f>'Operating Expenses'!I57</f>
        <v>0</v>
      </c>
      <c r="M128" s="432">
        <f>'Operating Expenses'!J57</f>
        <v>0</v>
      </c>
      <c r="N128" s="432">
        <f>'Operating Expenses'!K57</f>
        <v>0</v>
      </c>
      <c r="O128" s="432">
        <f>'Operating Expenses'!L57</f>
        <v>0</v>
      </c>
      <c r="P128" s="432">
        <f>'Operating Expenses'!M57</f>
        <v>0</v>
      </c>
      <c r="Q128" s="432">
        <f>'Operating Expenses'!N57</f>
        <v>0</v>
      </c>
      <c r="R128" s="431">
        <f t="shared" si="22"/>
        <v>0</v>
      </c>
      <c r="T128" s="448" t="str">
        <f>+IF('Operating Expenses'!Q57="","",'Operating Expenses'!Q57)</f>
        <v/>
      </c>
      <c r="U128" s="108"/>
      <c r="V128" s="462"/>
    </row>
    <row r="129" spans="1:24" ht="14" outlineLevel="1">
      <c r="A129" s="319">
        <f>INDEX(QS_Chart_Of_Accounts_Upload!$C:$O,MATCH(B129,QS_Chart_Of_Accounts_Upload!$E:$E,0),MATCH("ACCT_NO",QS_Chart_Of_Accounts_Upload!$C$1:$O$1,0))</f>
        <v>7480</v>
      </c>
      <c r="B129" s="430" t="str">
        <f>'Operating Expenses'!B58</f>
        <v>Telephone and Internet Services</v>
      </c>
      <c r="C129" s="430"/>
      <c r="D129" s="431">
        <f t="shared" si="21"/>
        <v>4800</v>
      </c>
      <c r="E129" s="430"/>
      <c r="F129" s="432">
        <f>'Operating Expenses'!C58</f>
        <v>400</v>
      </c>
      <c r="G129" s="432">
        <f>'Operating Expenses'!D58</f>
        <v>400</v>
      </c>
      <c r="H129" s="432">
        <f>'Operating Expenses'!E58</f>
        <v>400</v>
      </c>
      <c r="I129" s="432">
        <f>'Operating Expenses'!F58</f>
        <v>400</v>
      </c>
      <c r="J129" s="432">
        <f>'Operating Expenses'!G58</f>
        <v>400</v>
      </c>
      <c r="K129" s="432">
        <f>'Operating Expenses'!H58</f>
        <v>400</v>
      </c>
      <c r="L129" s="432">
        <f>'Operating Expenses'!I58</f>
        <v>400</v>
      </c>
      <c r="M129" s="432">
        <f>'Operating Expenses'!J58</f>
        <v>400</v>
      </c>
      <c r="N129" s="432">
        <f>'Operating Expenses'!K58</f>
        <v>400</v>
      </c>
      <c r="O129" s="432">
        <f>'Operating Expenses'!L58</f>
        <v>400</v>
      </c>
      <c r="P129" s="432">
        <f>'Operating Expenses'!M58</f>
        <v>400</v>
      </c>
      <c r="Q129" s="432">
        <f>'Operating Expenses'!N58</f>
        <v>400</v>
      </c>
      <c r="R129" s="431">
        <f t="shared" si="22"/>
        <v>4800</v>
      </c>
      <c r="T129" s="448" t="str">
        <f>+IF('Operating Expenses'!Q58="","",'Operating Expenses'!Q58)</f>
        <v/>
      </c>
      <c r="U129" s="108"/>
      <c r="V129" s="462"/>
    </row>
    <row r="130" spans="1:24" ht="14" outlineLevel="1">
      <c r="A130" s="319">
        <f>INDEX(QS_Chart_Of_Accounts_Upload!$C:$O,MATCH(B130,QS_Chart_Of_Accounts_Upload!$E:$E,0),MATCH("ACCT_NO",QS_Chart_Of_Accounts_Upload!$C$1:$O$1,0))</f>
        <v>7485</v>
      </c>
      <c r="B130" s="430" t="str">
        <f>'Operating Expenses'!B59</f>
        <v>Cable/Internet - Corporate Units</v>
      </c>
      <c r="C130" s="430"/>
      <c r="D130" s="431">
        <f t="shared" si="21"/>
        <v>0</v>
      </c>
      <c r="E130" s="430"/>
      <c r="F130" s="432">
        <f>'Operating Expenses'!C59</f>
        <v>0</v>
      </c>
      <c r="G130" s="432">
        <f>'Operating Expenses'!D59</f>
        <v>0</v>
      </c>
      <c r="H130" s="432">
        <f>'Operating Expenses'!E59</f>
        <v>0</v>
      </c>
      <c r="I130" s="432">
        <f>'Operating Expenses'!F59</f>
        <v>0</v>
      </c>
      <c r="J130" s="432">
        <f>'Operating Expenses'!G59</f>
        <v>0</v>
      </c>
      <c r="K130" s="432">
        <f>'Operating Expenses'!H59</f>
        <v>0</v>
      </c>
      <c r="L130" s="432">
        <f>'Operating Expenses'!I59</f>
        <v>0</v>
      </c>
      <c r="M130" s="432">
        <f>'Operating Expenses'!J59</f>
        <v>0</v>
      </c>
      <c r="N130" s="432">
        <f>'Operating Expenses'!K59</f>
        <v>0</v>
      </c>
      <c r="O130" s="432">
        <f>'Operating Expenses'!L59</f>
        <v>0</v>
      </c>
      <c r="P130" s="432">
        <f>'Operating Expenses'!M59</f>
        <v>0</v>
      </c>
      <c r="Q130" s="432">
        <f>'Operating Expenses'!N59</f>
        <v>0</v>
      </c>
      <c r="R130" s="431">
        <f t="shared" si="22"/>
        <v>0</v>
      </c>
      <c r="T130" s="448" t="str">
        <f>+IF('Operating Expenses'!Q59="","",'Operating Expenses'!Q59)</f>
        <v/>
      </c>
      <c r="U130" s="108"/>
      <c r="V130" s="462"/>
    </row>
    <row r="131" spans="1:24" ht="14" outlineLevel="1">
      <c r="A131" s="319">
        <f>INDEX(QS_Chart_Of_Accounts_Upload!$C:$O,MATCH(B131,QS_Chart_Of_Accounts_Upload!$E:$E,0),MATCH("ACCT_NO",QS_Chart_Of_Accounts_Upload!$C$1:$O$1,0))</f>
        <v>7490</v>
      </c>
      <c r="B131" s="430" t="str">
        <f>'Operating Expenses'!B60</f>
        <v>Training/Seminars</v>
      </c>
      <c r="C131" s="430"/>
      <c r="D131" s="431">
        <f t="shared" si="21"/>
        <v>4750</v>
      </c>
      <c r="E131" s="430"/>
      <c r="F131" s="432">
        <f>'Operating Expenses'!C60</f>
        <v>375</v>
      </c>
      <c r="G131" s="432">
        <f>'Operating Expenses'!D60</f>
        <v>375</v>
      </c>
      <c r="H131" s="432">
        <f>'Operating Expenses'!E60</f>
        <v>375</v>
      </c>
      <c r="I131" s="432">
        <f>'Operating Expenses'!F60</f>
        <v>375</v>
      </c>
      <c r="J131" s="432">
        <f>'Operating Expenses'!G60</f>
        <v>375</v>
      </c>
      <c r="K131" s="432">
        <f>'Operating Expenses'!H60</f>
        <v>375</v>
      </c>
      <c r="L131" s="432">
        <f>'Operating Expenses'!I60</f>
        <v>625</v>
      </c>
      <c r="M131" s="432">
        <f>'Operating Expenses'!J60</f>
        <v>375</v>
      </c>
      <c r="N131" s="432">
        <f>'Operating Expenses'!K60</f>
        <v>375</v>
      </c>
      <c r="O131" s="432">
        <f>'Operating Expenses'!L60</f>
        <v>375</v>
      </c>
      <c r="P131" s="432">
        <f>'Operating Expenses'!M60</f>
        <v>375</v>
      </c>
      <c r="Q131" s="432">
        <f>'Operating Expenses'!N60</f>
        <v>375</v>
      </c>
      <c r="R131" s="431">
        <f t="shared" si="22"/>
        <v>4750</v>
      </c>
      <c r="T131" s="1028" t="str">
        <f>+IF('Operating Expenses'!Q60="","",'Operating Expenses'!Q60)</f>
        <v>LMS and Technology Fees</v>
      </c>
      <c r="U131" s="108"/>
      <c r="V131" s="462"/>
    </row>
    <row r="132" spans="1:24" ht="14" outlineLevel="1">
      <c r="A132" s="319">
        <f>INDEX(QS_Chart_Of_Accounts_Upload!$C:$O,MATCH(B132,QS_Chart_Of_Accounts_Upload!$E:$E,0),MATCH("ACCT_NO",QS_Chart_Of_Accounts_Upload!$C$1:$O$1,0))</f>
        <v>7500</v>
      </c>
      <c r="B132" s="430" t="str">
        <f>'Operating Expenses'!B61</f>
        <v>Travel Expense</v>
      </c>
      <c r="C132" s="430"/>
      <c r="D132" s="431">
        <f t="shared" si="21"/>
        <v>0</v>
      </c>
      <c r="E132" s="430"/>
      <c r="F132" s="432">
        <f>'Operating Expenses'!C61</f>
        <v>0</v>
      </c>
      <c r="G132" s="432">
        <f>'Operating Expenses'!D61</f>
        <v>0</v>
      </c>
      <c r="H132" s="432">
        <f>'Operating Expenses'!E61</f>
        <v>0</v>
      </c>
      <c r="I132" s="432">
        <f>'Operating Expenses'!F61</f>
        <v>0</v>
      </c>
      <c r="J132" s="432">
        <f>'Operating Expenses'!G61</f>
        <v>0</v>
      </c>
      <c r="K132" s="432">
        <f>'Operating Expenses'!H61</f>
        <v>0</v>
      </c>
      <c r="L132" s="432">
        <f>'Operating Expenses'!I61</f>
        <v>0</v>
      </c>
      <c r="M132" s="432">
        <f>'Operating Expenses'!J61</f>
        <v>0</v>
      </c>
      <c r="N132" s="432">
        <f>'Operating Expenses'!K61</f>
        <v>0</v>
      </c>
      <c r="O132" s="432">
        <f>'Operating Expenses'!L61</f>
        <v>0</v>
      </c>
      <c r="P132" s="432">
        <f>'Operating Expenses'!M61</f>
        <v>0</v>
      </c>
      <c r="Q132" s="432">
        <f>'Operating Expenses'!N61</f>
        <v>0</v>
      </c>
      <c r="R132" s="431">
        <f t="shared" si="22"/>
        <v>0</v>
      </c>
      <c r="T132" s="448" t="str">
        <f>+IF('Operating Expenses'!Q61="","",'Operating Expenses'!Q61)</f>
        <v/>
      </c>
      <c r="U132" s="108"/>
      <c r="V132" s="462"/>
    </row>
    <row r="133" spans="1:24" ht="28.5" customHeight="1" outlineLevel="1">
      <c r="A133" s="319">
        <f>INDEX(QS_Chart_Of_Accounts_Upload!$C:$O,MATCH(B133,QS_Chart_Of_Accounts_Upload!$E:$E,0),MATCH("ACCT_NO",QS_Chart_Of_Accounts_Upload!$C$1:$O$1,0))</f>
        <v>7510</v>
      </c>
      <c r="B133" s="430" t="str">
        <f>'Operating Expenses'!B62</f>
        <v>Uniform Rental/Purchase</v>
      </c>
      <c r="C133" s="430"/>
      <c r="D133" s="431">
        <f t="shared" si="21"/>
        <v>0</v>
      </c>
      <c r="E133" s="430"/>
      <c r="F133" s="432">
        <f>'Operating Expenses'!C62</f>
        <v>0</v>
      </c>
      <c r="G133" s="432">
        <f>'Operating Expenses'!D62</f>
        <v>0</v>
      </c>
      <c r="H133" s="432">
        <f>'Operating Expenses'!E62</f>
        <v>0</v>
      </c>
      <c r="I133" s="432">
        <f>'Operating Expenses'!F62</f>
        <v>0</v>
      </c>
      <c r="J133" s="432">
        <f>'Operating Expenses'!G62</f>
        <v>0</v>
      </c>
      <c r="K133" s="432">
        <f>'Operating Expenses'!H62</f>
        <v>0</v>
      </c>
      <c r="L133" s="432">
        <f>'Operating Expenses'!I62</f>
        <v>0</v>
      </c>
      <c r="M133" s="432">
        <f>'Operating Expenses'!J62</f>
        <v>0</v>
      </c>
      <c r="N133" s="432">
        <f>'Operating Expenses'!K62</f>
        <v>0</v>
      </c>
      <c r="O133" s="432">
        <f>'Operating Expenses'!L62</f>
        <v>0</v>
      </c>
      <c r="P133" s="432">
        <f>'Operating Expenses'!M62</f>
        <v>0</v>
      </c>
      <c r="Q133" s="432">
        <f>'Operating Expenses'!N62</f>
        <v>0</v>
      </c>
      <c r="R133" s="431">
        <f t="shared" si="22"/>
        <v>0</v>
      </c>
      <c r="T133" s="448" t="str">
        <f>+IF('Operating Expenses'!Q62="","",'Operating Expenses'!Q62)</f>
        <v/>
      </c>
      <c r="U133" s="108"/>
      <c r="V133" s="462"/>
    </row>
    <row r="134" spans="1:24" outlineLevel="1">
      <c r="A134" s="319">
        <f>INDEX(QS_Chart_Of_Accounts_Upload!$C:$O,MATCH(B134,QS_Chart_Of_Accounts_Upload!$E:$E,0),MATCH("ACCT_NO",QS_Chart_Of_Accounts_Upload!$C$1:$O$1,0))</f>
        <v>8111</v>
      </c>
      <c r="B134" s="430" t="str">
        <f>'Operating Expenses'!B63</f>
        <v>Renters Insurance</v>
      </c>
      <c r="C134" s="430"/>
      <c r="D134" s="431">
        <f t="shared" si="21"/>
        <v>0</v>
      </c>
      <c r="E134" s="430"/>
      <c r="F134" s="432">
        <f>'Operating Expenses'!C63</f>
        <v>0</v>
      </c>
      <c r="G134" s="432">
        <f>'Operating Expenses'!D63</f>
        <v>0</v>
      </c>
      <c r="H134" s="432">
        <f>'Operating Expenses'!E63</f>
        <v>0</v>
      </c>
      <c r="I134" s="432">
        <f>'Operating Expenses'!F63</f>
        <v>0</v>
      </c>
      <c r="J134" s="432">
        <f>'Operating Expenses'!G63</f>
        <v>0</v>
      </c>
      <c r="K134" s="432">
        <f>'Operating Expenses'!H63</f>
        <v>0</v>
      </c>
      <c r="L134" s="432">
        <f>'Operating Expenses'!I63</f>
        <v>0</v>
      </c>
      <c r="M134" s="432">
        <f>'Operating Expenses'!J63</f>
        <v>0</v>
      </c>
      <c r="N134" s="432">
        <f>'Operating Expenses'!K63</f>
        <v>0</v>
      </c>
      <c r="O134" s="432">
        <f>'Operating Expenses'!L63</f>
        <v>0</v>
      </c>
      <c r="P134" s="432">
        <f>'Operating Expenses'!M63</f>
        <v>0</v>
      </c>
      <c r="Q134" s="432">
        <f>'Operating Expenses'!N63</f>
        <v>0</v>
      </c>
      <c r="R134" s="431">
        <f t="shared" si="22"/>
        <v>0</v>
      </c>
      <c r="V134" s="461"/>
    </row>
    <row r="135" spans="1:24" ht="14" outlineLevel="1">
      <c r="A135" s="319">
        <f>INDEX(QS_Chart_Of_Accounts_Upload!$C:$O,MATCH(B135,QS_Chart_Of_Accounts_Upload!$E:$E,0),MATCH("ACCT_NO",QS_Chart_Of_Accounts_Upload!$C$1:$O$1,0))</f>
        <v>7720</v>
      </c>
      <c r="B135" s="430" t="str">
        <f>'Operating Expenses'!B64</f>
        <v>Call Center Service</v>
      </c>
      <c r="C135" s="430"/>
      <c r="D135" s="431">
        <f t="shared" si="21"/>
        <v>2689.1999999999994</v>
      </c>
      <c r="E135" s="430"/>
      <c r="F135" s="432">
        <f>'Operating Expenses'!C64</f>
        <v>224.10000000000002</v>
      </c>
      <c r="G135" s="432">
        <f>'Operating Expenses'!D64</f>
        <v>224.10000000000002</v>
      </c>
      <c r="H135" s="432">
        <f>'Operating Expenses'!E64</f>
        <v>224.10000000000002</v>
      </c>
      <c r="I135" s="432">
        <f>'Operating Expenses'!F64</f>
        <v>224.10000000000002</v>
      </c>
      <c r="J135" s="432">
        <f>'Operating Expenses'!G64</f>
        <v>224.10000000000002</v>
      </c>
      <c r="K135" s="432">
        <f>'Operating Expenses'!H64</f>
        <v>224.10000000000002</v>
      </c>
      <c r="L135" s="432">
        <f>'Operating Expenses'!I64</f>
        <v>224.10000000000002</v>
      </c>
      <c r="M135" s="432">
        <f>'Operating Expenses'!J64</f>
        <v>224.10000000000002</v>
      </c>
      <c r="N135" s="432">
        <f>'Operating Expenses'!K64</f>
        <v>224.10000000000002</v>
      </c>
      <c r="O135" s="432">
        <f>'Operating Expenses'!L64</f>
        <v>224.10000000000002</v>
      </c>
      <c r="P135" s="432">
        <f>'Operating Expenses'!M64</f>
        <v>224.10000000000002</v>
      </c>
      <c r="Q135" s="432">
        <f>'Operating Expenses'!N64</f>
        <v>224.10000000000002</v>
      </c>
      <c r="R135" s="431">
        <f t="shared" si="22"/>
        <v>2689.1999999999994</v>
      </c>
      <c r="T135" s="448" t="str">
        <f>+IF('Operating Expenses'!Q64="","",'Operating Expenses'!Q64)</f>
        <v>Anyone Home missed leasing &amp; maintenance calls</v>
      </c>
      <c r="U135" s="108"/>
      <c r="V135" s="462"/>
    </row>
    <row r="136" spans="1:24" outlineLevel="1">
      <c r="A136" s="319"/>
      <c r="B136" s="430"/>
      <c r="C136" s="430"/>
      <c r="D136" s="437"/>
      <c r="E136" s="430"/>
      <c r="F136" s="436"/>
      <c r="G136" s="436"/>
      <c r="H136" s="436"/>
      <c r="I136" s="436"/>
      <c r="J136" s="436"/>
      <c r="K136" s="436"/>
      <c r="L136" s="436"/>
      <c r="M136" s="436"/>
      <c r="N136" s="436"/>
      <c r="O136" s="436"/>
      <c r="P136" s="436"/>
      <c r="Q136" s="436"/>
      <c r="R136" s="437"/>
      <c r="T136" s="448"/>
    </row>
    <row r="137" spans="1:24">
      <c r="A137" s="319"/>
      <c r="B137" s="427" t="s">
        <v>13</v>
      </c>
      <c r="C137" s="427"/>
      <c r="D137" s="431">
        <f>+SUBTOTAL(9,F137:R137)</f>
        <v>66856.840000000011</v>
      </c>
      <c r="E137" s="427"/>
      <c r="F137" s="456">
        <f t="shared" ref="F137:Q137" si="23">SUM(F93:F136)</f>
        <v>4655.3200000000006</v>
      </c>
      <c r="G137" s="456">
        <f t="shared" si="23"/>
        <v>3887.32</v>
      </c>
      <c r="H137" s="456">
        <f t="shared" si="23"/>
        <v>3987.32</v>
      </c>
      <c r="I137" s="456">
        <f t="shared" si="23"/>
        <v>4287.3200000000006</v>
      </c>
      <c r="J137" s="456">
        <f t="shared" si="23"/>
        <v>4817.3200000000006</v>
      </c>
      <c r="K137" s="456">
        <f t="shared" si="23"/>
        <v>5692.3200000000006</v>
      </c>
      <c r="L137" s="456">
        <f t="shared" si="23"/>
        <v>6938.3200000000006</v>
      </c>
      <c r="M137" s="456">
        <f t="shared" si="23"/>
        <v>6388.3200000000006</v>
      </c>
      <c r="N137" s="456">
        <f t="shared" si="23"/>
        <v>6488.3200000000006</v>
      </c>
      <c r="O137" s="456">
        <f t="shared" si="23"/>
        <v>6738.3200000000006</v>
      </c>
      <c r="P137" s="456">
        <f t="shared" si="23"/>
        <v>6538.3200000000006</v>
      </c>
      <c r="Q137" s="456">
        <f t="shared" si="23"/>
        <v>6438.3200000000006</v>
      </c>
      <c r="R137" s="431">
        <f>+SUBTOTAL(9,F137:Q137)</f>
        <v>66856.840000000011</v>
      </c>
      <c r="W137" s="61"/>
      <c r="X137" s="61"/>
    </row>
    <row r="138" spans="1:24">
      <c r="A138" s="319"/>
      <c r="B138" s="430" t="s">
        <v>2</v>
      </c>
      <c r="C138" s="430"/>
      <c r="D138" s="443"/>
      <c r="E138" s="430"/>
      <c r="F138" s="444"/>
      <c r="G138" s="444"/>
      <c r="H138" s="444"/>
      <c r="I138" s="444"/>
      <c r="J138" s="444"/>
      <c r="K138" s="444"/>
      <c r="L138" s="444"/>
      <c r="M138" s="444"/>
      <c r="N138" s="444"/>
      <c r="O138" s="444"/>
      <c r="P138" s="444"/>
      <c r="Q138" s="444"/>
      <c r="R138" s="443"/>
    </row>
    <row r="139" spans="1:24">
      <c r="A139" s="319"/>
      <c r="B139" s="427" t="s">
        <v>34</v>
      </c>
      <c r="C139" s="427"/>
      <c r="D139" s="445"/>
      <c r="E139" s="427"/>
      <c r="F139" s="446"/>
      <c r="G139" s="446"/>
      <c r="H139" s="446"/>
      <c r="I139" s="446"/>
      <c r="J139" s="446"/>
      <c r="K139" s="446"/>
      <c r="L139" s="446"/>
      <c r="M139" s="446"/>
      <c r="N139" s="446"/>
      <c r="O139" s="446"/>
      <c r="P139" s="446"/>
      <c r="Q139" s="446"/>
      <c r="R139" s="445"/>
    </row>
    <row r="140" spans="1:24">
      <c r="A140" s="319">
        <f>INDEX(QS_Chart_Of_Accounts_Upload!$C:$O,MATCH(B140,QS_Chart_Of_Accounts_Upload!$E:$E,0),MATCH("ACCT_NO",QS_Chart_Of_Accounts_Upload!$C$1:$O$1,0))</f>
        <v>5020</v>
      </c>
      <c r="B140" s="430" t="str">
        <f>'Payroll Worksheet'!B73</f>
        <v>Payroll - Office and Clerical</v>
      </c>
      <c r="C140" s="430"/>
      <c r="D140" s="431">
        <f t="shared" ref="D140:D150" si="24">+SUBTOTAL(9,F140:R140)</f>
        <v>0</v>
      </c>
      <c r="E140" s="430"/>
      <c r="F140" s="446">
        <f>'Payroll Worksheet'!E73</f>
        <v>0</v>
      </c>
      <c r="G140" s="446">
        <f>'Payroll Worksheet'!F73</f>
        <v>0</v>
      </c>
      <c r="H140" s="446">
        <f>'Payroll Worksheet'!G73</f>
        <v>0</v>
      </c>
      <c r="I140" s="446">
        <f>'Payroll Worksheet'!H73</f>
        <v>0</v>
      </c>
      <c r="J140" s="446">
        <f>'Payroll Worksheet'!I73</f>
        <v>0</v>
      </c>
      <c r="K140" s="446">
        <f>'Payroll Worksheet'!J73</f>
        <v>0</v>
      </c>
      <c r="L140" s="446">
        <f>'Payroll Worksheet'!K73</f>
        <v>0</v>
      </c>
      <c r="M140" s="446">
        <f>'Payroll Worksheet'!L73</f>
        <v>0</v>
      </c>
      <c r="N140" s="446">
        <f>'Payroll Worksheet'!M73</f>
        <v>0</v>
      </c>
      <c r="O140" s="446">
        <f>'Payroll Worksheet'!N73</f>
        <v>0</v>
      </c>
      <c r="P140" s="446">
        <f>'Payroll Worksheet'!O73</f>
        <v>0</v>
      </c>
      <c r="Q140" s="446">
        <f>'Payroll Worksheet'!P73</f>
        <v>0</v>
      </c>
      <c r="R140" s="431">
        <f t="shared" ref="R140:R150" si="25">+SUBTOTAL(9,F140:Q140)</f>
        <v>0</v>
      </c>
      <c r="T140" s="452"/>
    </row>
    <row r="141" spans="1:24">
      <c r="A141" s="319">
        <f>INDEX(QS_Chart_Of_Accounts_Upload!$C:$O,MATCH(B141,QS_Chart_Of_Accounts_Upload!$E:$E,0),MATCH("ACCT_NO",QS_Chart_Of_Accounts_Upload!$C$1:$O$1,0))</f>
        <v>5035</v>
      </c>
      <c r="B141" s="430" t="str">
        <f>'Payroll Worksheet'!B74</f>
        <v>Payroll - Leasing Commissions</v>
      </c>
      <c r="C141" s="430"/>
      <c r="D141" s="431">
        <f t="shared" si="24"/>
        <v>8200</v>
      </c>
      <c r="E141" s="430"/>
      <c r="F141" s="446">
        <f>'Payroll Worksheet'!E74</f>
        <v>2000</v>
      </c>
      <c r="G141" s="446">
        <f>'Payroll Worksheet'!F74</f>
        <v>300</v>
      </c>
      <c r="H141" s="446">
        <f>'Payroll Worksheet'!G74</f>
        <v>0</v>
      </c>
      <c r="I141" s="446">
        <f>'Payroll Worksheet'!H74</f>
        <v>0</v>
      </c>
      <c r="J141" s="446">
        <f>'Payroll Worksheet'!I74</f>
        <v>2000</v>
      </c>
      <c r="K141" s="446">
        <f>'Payroll Worksheet'!J74</f>
        <v>2500</v>
      </c>
      <c r="L141" s="446">
        <f>'Payroll Worksheet'!K74</f>
        <v>1400</v>
      </c>
      <c r="M141" s="446">
        <f>'Payroll Worksheet'!L74</f>
        <v>0</v>
      </c>
      <c r="N141" s="446">
        <f>'Payroll Worksheet'!M74</f>
        <v>0</v>
      </c>
      <c r="O141" s="446">
        <f>'Payroll Worksheet'!N74</f>
        <v>0</v>
      </c>
      <c r="P141" s="446">
        <f>'Payroll Worksheet'!O74</f>
        <v>0</v>
      </c>
      <c r="Q141" s="446">
        <f>'Payroll Worksheet'!P74</f>
        <v>0</v>
      </c>
      <c r="R141" s="431">
        <f t="shared" si="25"/>
        <v>8200</v>
      </c>
    </row>
    <row r="142" spans="1:24" outlineLevel="1">
      <c r="A142" s="319">
        <f>INDEX(QS_Chart_Of_Accounts_Upload!$C:$O,MATCH(B142,QS_Chart_Of_Accounts_Upload!$E:$E,0),MATCH("ACCT_NO",QS_Chart_Of_Accounts_Upload!$C$1:$O$1,0))</f>
        <v>5040</v>
      </c>
      <c r="B142" s="430" t="str">
        <f>'Payroll Worksheet'!B75</f>
        <v>Payroll - Maintenance</v>
      </c>
      <c r="C142" s="430"/>
      <c r="D142" s="431">
        <f t="shared" si="24"/>
        <v>0</v>
      </c>
      <c r="E142" s="430"/>
      <c r="F142" s="446">
        <f>'Payroll Worksheet'!E75</f>
        <v>0</v>
      </c>
      <c r="G142" s="446">
        <f>'Payroll Worksheet'!F75</f>
        <v>0</v>
      </c>
      <c r="H142" s="446">
        <f>'Payroll Worksheet'!G75</f>
        <v>0</v>
      </c>
      <c r="I142" s="446">
        <f>'Payroll Worksheet'!H75</f>
        <v>0</v>
      </c>
      <c r="J142" s="446">
        <f>'Payroll Worksheet'!I75</f>
        <v>0</v>
      </c>
      <c r="K142" s="446">
        <f>'Payroll Worksheet'!J75</f>
        <v>0</v>
      </c>
      <c r="L142" s="446">
        <f>'Payroll Worksheet'!K75</f>
        <v>0</v>
      </c>
      <c r="M142" s="446">
        <f>'Payroll Worksheet'!L75</f>
        <v>0</v>
      </c>
      <c r="N142" s="446">
        <f>'Payroll Worksheet'!M75</f>
        <v>0</v>
      </c>
      <c r="O142" s="446">
        <f>'Payroll Worksheet'!N75</f>
        <v>0</v>
      </c>
      <c r="P142" s="446">
        <f>'Payroll Worksheet'!O75</f>
        <v>0</v>
      </c>
      <c r="Q142" s="446">
        <f>'Payroll Worksheet'!P75</f>
        <v>0</v>
      </c>
      <c r="R142" s="431">
        <f t="shared" si="25"/>
        <v>0</v>
      </c>
    </row>
    <row r="143" spans="1:24" outlineLevel="1">
      <c r="A143" s="319">
        <f>INDEX(QS_Chart_Of_Accounts_Upload!$C:$O,MATCH(B143,QS_Chart_Of_Accounts_Upload!$E:$E,0),MATCH("ACCT_NO",QS_Chart_Of_Accounts_Upload!$C$1:$O$1,0))</f>
        <v>5041</v>
      </c>
      <c r="B143" s="320" t="str">
        <f>'Payroll Worksheet'!B76</f>
        <v>Payroll - Maintenance Overtime</v>
      </c>
      <c r="C143" s="320"/>
      <c r="D143" s="431">
        <f t="shared" si="24"/>
        <v>0</v>
      </c>
      <c r="E143" s="320"/>
      <c r="F143" s="464">
        <f>'Payroll Worksheet'!E76</f>
        <v>0</v>
      </c>
      <c r="G143" s="464">
        <f>'Payroll Worksheet'!F76</f>
        <v>0</v>
      </c>
      <c r="H143" s="464">
        <f>'Payroll Worksheet'!G76</f>
        <v>0</v>
      </c>
      <c r="I143" s="464">
        <f>'Payroll Worksheet'!H76</f>
        <v>0</v>
      </c>
      <c r="J143" s="464">
        <f>'Payroll Worksheet'!I76</f>
        <v>0</v>
      </c>
      <c r="K143" s="464">
        <f>'Payroll Worksheet'!J76</f>
        <v>0</v>
      </c>
      <c r="L143" s="464">
        <f>'Payroll Worksheet'!K76</f>
        <v>0</v>
      </c>
      <c r="M143" s="464">
        <f>'Payroll Worksheet'!L76</f>
        <v>0</v>
      </c>
      <c r="N143" s="464">
        <f>'Payroll Worksheet'!M76</f>
        <v>0</v>
      </c>
      <c r="O143" s="464">
        <f>'Payroll Worksheet'!N76</f>
        <v>0</v>
      </c>
      <c r="P143" s="464">
        <f>'Payroll Worksheet'!O76</f>
        <v>0</v>
      </c>
      <c r="Q143" s="464">
        <f>'Payroll Worksheet'!P76</f>
        <v>0</v>
      </c>
      <c r="R143" s="431">
        <f t="shared" si="25"/>
        <v>0</v>
      </c>
    </row>
    <row r="144" spans="1:24" outlineLevel="1">
      <c r="A144" s="319">
        <f>INDEX(QS_Chart_Of_Accounts_Upload!$C:$O,MATCH(B144,QS_Chart_Of_Accounts_Upload!$E:$E,0),MATCH("ACCT_NO",QS_Chart_Of_Accounts_Upload!$C$1:$O$1,0))</f>
        <v>5045</v>
      </c>
      <c r="B144" s="320" t="str">
        <f>'Payroll Worksheet'!B77</f>
        <v>Temporary Office Help</v>
      </c>
      <c r="C144" s="320"/>
      <c r="D144" s="431">
        <f t="shared" si="24"/>
        <v>0</v>
      </c>
      <c r="E144" s="320"/>
      <c r="F144" s="464">
        <f>'Payroll Worksheet'!E77</f>
        <v>0</v>
      </c>
      <c r="G144" s="464">
        <f>'Payroll Worksheet'!F77</f>
        <v>0</v>
      </c>
      <c r="H144" s="464">
        <f>'Payroll Worksheet'!G77</f>
        <v>0</v>
      </c>
      <c r="I144" s="464">
        <f>'Payroll Worksheet'!H77</f>
        <v>0</v>
      </c>
      <c r="J144" s="464">
        <f>'Payroll Worksheet'!I77</f>
        <v>0</v>
      </c>
      <c r="K144" s="464">
        <f>'Payroll Worksheet'!J77</f>
        <v>0</v>
      </c>
      <c r="L144" s="464">
        <f>'Payroll Worksheet'!K77</f>
        <v>0</v>
      </c>
      <c r="M144" s="464">
        <f>'Payroll Worksheet'!L77</f>
        <v>0</v>
      </c>
      <c r="N144" s="464">
        <f>'Payroll Worksheet'!M77</f>
        <v>0</v>
      </c>
      <c r="O144" s="464">
        <f>'Payroll Worksheet'!N77</f>
        <v>0</v>
      </c>
      <c r="P144" s="464">
        <f>'Payroll Worksheet'!O77</f>
        <v>0</v>
      </c>
      <c r="Q144" s="464">
        <f>'Payroll Worksheet'!P77</f>
        <v>0</v>
      </c>
      <c r="R144" s="431">
        <f t="shared" si="25"/>
        <v>0</v>
      </c>
    </row>
    <row r="145" spans="1:24" outlineLevel="1">
      <c r="A145" s="319">
        <f>INDEX(QS_Chart_Of_Accounts_Upload!$C:$O,MATCH(B145,QS_Chart_Of_Accounts_Upload!$E:$E,0),MATCH("ACCT_NO",QS_Chart_Of_Accounts_Upload!$C$1:$O$1,0))</f>
        <v>5050</v>
      </c>
      <c r="B145" s="320" t="str">
        <f>'Payroll Worksheet'!B78</f>
        <v>Temporary Maintenance Help</v>
      </c>
      <c r="C145" s="320"/>
      <c r="D145" s="431">
        <f t="shared" si="24"/>
        <v>0</v>
      </c>
      <c r="E145" s="320"/>
      <c r="F145" s="464">
        <f>'Payroll Worksheet'!E78</f>
        <v>0</v>
      </c>
      <c r="G145" s="464">
        <f>'Payroll Worksheet'!F78</f>
        <v>0</v>
      </c>
      <c r="H145" s="464">
        <f>'Payroll Worksheet'!G78</f>
        <v>0</v>
      </c>
      <c r="I145" s="464">
        <f>'Payroll Worksheet'!H78</f>
        <v>0</v>
      </c>
      <c r="J145" s="464">
        <f>'Payroll Worksheet'!I78</f>
        <v>0</v>
      </c>
      <c r="K145" s="464">
        <f>'Payroll Worksheet'!J78</f>
        <v>0</v>
      </c>
      <c r="L145" s="464">
        <f>'Payroll Worksheet'!K78</f>
        <v>0</v>
      </c>
      <c r="M145" s="464">
        <f>'Payroll Worksheet'!L78</f>
        <v>0</v>
      </c>
      <c r="N145" s="464">
        <f>'Payroll Worksheet'!M78</f>
        <v>0</v>
      </c>
      <c r="O145" s="464">
        <f>'Payroll Worksheet'!N78</f>
        <v>0</v>
      </c>
      <c r="P145" s="464">
        <f>'Payroll Worksheet'!O78</f>
        <v>0</v>
      </c>
      <c r="Q145" s="464">
        <f>'Payroll Worksheet'!P78</f>
        <v>0</v>
      </c>
      <c r="R145" s="431">
        <f t="shared" si="25"/>
        <v>0</v>
      </c>
    </row>
    <row r="146" spans="1:24" outlineLevel="1">
      <c r="A146" s="319">
        <f>INDEX(QS_Chart_Of_Accounts_Upload!$C:$O,MATCH(B146,QS_Chart_Of_Accounts_Upload!$E:$E,0),MATCH("ACCT_NO",QS_Chart_Of_Accounts_Upload!$C$1:$O$1,0))</f>
        <v>5110</v>
      </c>
      <c r="B146" s="320" t="str">
        <f>'Payroll Worksheet'!B79</f>
        <v>Bonuses</v>
      </c>
      <c r="C146" s="320"/>
      <c r="D146" s="431">
        <f t="shared" si="24"/>
        <v>0</v>
      </c>
      <c r="E146" s="320"/>
      <c r="F146" s="464">
        <f>'Payroll Worksheet'!E79</f>
        <v>0</v>
      </c>
      <c r="G146" s="464">
        <f>'Payroll Worksheet'!F79</f>
        <v>0</v>
      </c>
      <c r="H146" s="464">
        <f>'Payroll Worksheet'!G79</f>
        <v>0</v>
      </c>
      <c r="I146" s="464">
        <f>'Payroll Worksheet'!H79</f>
        <v>0</v>
      </c>
      <c r="J146" s="464">
        <f>'Payroll Worksheet'!I79</f>
        <v>0</v>
      </c>
      <c r="K146" s="464">
        <f>'Payroll Worksheet'!J79</f>
        <v>0</v>
      </c>
      <c r="L146" s="464">
        <f>'Payroll Worksheet'!K79</f>
        <v>0</v>
      </c>
      <c r="M146" s="464">
        <f>'Payroll Worksheet'!L79</f>
        <v>0</v>
      </c>
      <c r="N146" s="464">
        <f>'Payroll Worksheet'!M79</f>
        <v>0</v>
      </c>
      <c r="O146" s="464">
        <f>'Payroll Worksheet'!N79</f>
        <v>0</v>
      </c>
      <c r="P146" s="464">
        <f>'Payroll Worksheet'!O79</f>
        <v>0</v>
      </c>
      <c r="Q146" s="464">
        <f>'Payroll Worksheet'!P79</f>
        <v>0</v>
      </c>
      <c r="R146" s="431">
        <f t="shared" si="25"/>
        <v>0</v>
      </c>
    </row>
    <row r="147" spans="1:24" outlineLevel="1">
      <c r="A147" s="319">
        <f>INDEX(QS_Chart_Of_Accounts_Upload!$C:$O,MATCH(B147,QS_Chart_Of_Accounts_Upload!$E:$E,0),MATCH("ACCT_NO",QS_Chart_Of_Accounts_Upload!$C$1:$O$1,0))</f>
        <v>5120</v>
      </c>
      <c r="B147" s="320" t="str">
        <f>'Payroll Worksheet'!B80</f>
        <v>Employeee Burden</v>
      </c>
      <c r="C147" s="320"/>
      <c r="D147" s="431">
        <f t="shared" si="24"/>
        <v>2378</v>
      </c>
      <c r="E147" s="320"/>
      <c r="F147" s="464">
        <f>'Payroll Worksheet'!E80</f>
        <v>580</v>
      </c>
      <c r="G147" s="464">
        <f>'Payroll Worksheet'!F80</f>
        <v>87</v>
      </c>
      <c r="H147" s="464">
        <f>'Payroll Worksheet'!G80</f>
        <v>0</v>
      </c>
      <c r="I147" s="464">
        <f>'Payroll Worksheet'!H80</f>
        <v>0</v>
      </c>
      <c r="J147" s="464">
        <f>'Payroll Worksheet'!I80</f>
        <v>580</v>
      </c>
      <c r="K147" s="464">
        <f>'Payroll Worksheet'!J80</f>
        <v>725</v>
      </c>
      <c r="L147" s="464">
        <f>'Payroll Worksheet'!K80</f>
        <v>406</v>
      </c>
      <c r="M147" s="464">
        <f>'Payroll Worksheet'!L80</f>
        <v>0</v>
      </c>
      <c r="N147" s="464">
        <f>'Payroll Worksheet'!M80</f>
        <v>0</v>
      </c>
      <c r="O147" s="464">
        <f>'Payroll Worksheet'!N80</f>
        <v>0</v>
      </c>
      <c r="P147" s="464">
        <f>'Payroll Worksheet'!O80</f>
        <v>0</v>
      </c>
      <c r="Q147" s="464">
        <f>'Payroll Worksheet'!P80</f>
        <v>0</v>
      </c>
      <c r="R147" s="431">
        <f t="shared" si="25"/>
        <v>2378</v>
      </c>
    </row>
    <row r="148" spans="1:24" outlineLevel="1">
      <c r="A148" s="319"/>
      <c r="B148" s="320" t="str">
        <f>'Payroll Worksheet'!B81</f>
        <v>AM Allocation</v>
      </c>
      <c r="C148" s="320"/>
      <c r="D148" s="431">
        <f t="shared" ref="D148" si="26">+SUBTOTAL(9,F148:R148)</f>
        <v>0</v>
      </c>
      <c r="E148" s="320"/>
      <c r="F148" s="464">
        <f>'Payroll Worksheet'!E81</f>
        <v>0</v>
      </c>
      <c r="G148" s="464">
        <f>'Payroll Worksheet'!F81</f>
        <v>0</v>
      </c>
      <c r="H148" s="464">
        <f>'Payroll Worksheet'!G81</f>
        <v>0</v>
      </c>
      <c r="I148" s="464">
        <f>'Payroll Worksheet'!H81</f>
        <v>0</v>
      </c>
      <c r="J148" s="464">
        <f>'Payroll Worksheet'!I81</f>
        <v>0</v>
      </c>
      <c r="K148" s="464">
        <f>'Payroll Worksheet'!J81</f>
        <v>0</v>
      </c>
      <c r="L148" s="464">
        <f>'Payroll Worksheet'!K81</f>
        <v>0</v>
      </c>
      <c r="M148" s="464">
        <f>'Payroll Worksheet'!L81</f>
        <v>0</v>
      </c>
      <c r="N148" s="464">
        <f>'Payroll Worksheet'!M81</f>
        <v>0</v>
      </c>
      <c r="O148" s="464">
        <f>'Payroll Worksheet'!N81</f>
        <v>0</v>
      </c>
      <c r="P148" s="464">
        <f>'Payroll Worksheet'!O81</f>
        <v>0</v>
      </c>
      <c r="Q148" s="464">
        <f>'Payroll Worksheet'!P81</f>
        <v>0</v>
      </c>
      <c r="R148" s="431">
        <f t="shared" ref="R148" si="27">+SUBTOTAL(9,F148:Q148)</f>
        <v>0</v>
      </c>
    </row>
    <row r="149" spans="1:24" outlineLevel="1">
      <c r="A149" s="319">
        <f>INDEX(QS_Chart_Of_Accounts_Upload!$C:$O,MATCH(B149,QS_Chart_Of_Accounts_Upload!$E:$E,0),MATCH("ACCT_NO",QS_Chart_Of_Accounts_Upload!$C$1:$O$1,0))</f>
        <v>5230</v>
      </c>
      <c r="B149" s="320" t="str">
        <f>'Payroll Worksheet'!B82</f>
        <v>Group Health Insurance</v>
      </c>
      <c r="C149" s="320"/>
      <c r="D149" s="431">
        <f t="shared" si="24"/>
        <v>0</v>
      </c>
      <c r="E149" s="320"/>
      <c r="F149" s="464">
        <f>'Payroll Worksheet'!E82</f>
        <v>0</v>
      </c>
      <c r="G149" s="464">
        <f>'Payroll Worksheet'!F82</f>
        <v>0</v>
      </c>
      <c r="H149" s="464">
        <f>'Payroll Worksheet'!G82</f>
        <v>0</v>
      </c>
      <c r="I149" s="464">
        <f>'Payroll Worksheet'!H82</f>
        <v>0</v>
      </c>
      <c r="J149" s="464">
        <f>'Payroll Worksheet'!I82</f>
        <v>0</v>
      </c>
      <c r="K149" s="464">
        <f>'Payroll Worksheet'!J82</f>
        <v>0</v>
      </c>
      <c r="L149" s="464">
        <f>'Payroll Worksheet'!K82</f>
        <v>0</v>
      </c>
      <c r="M149" s="464">
        <f>'Payroll Worksheet'!L82</f>
        <v>0</v>
      </c>
      <c r="N149" s="464">
        <f>'Payroll Worksheet'!M82</f>
        <v>0</v>
      </c>
      <c r="O149" s="464">
        <f>'Payroll Worksheet'!N82</f>
        <v>0</v>
      </c>
      <c r="P149" s="464">
        <f>'Payroll Worksheet'!O82</f>
        <v>0</v>
      </c>
      <c r="Q149" s="464">
        <f>'Payroll Worksheet'!P82</f>
        <v>0</v>
      </c>
      <c r="R149" s="431">
        <f t="shared" si="25"/>
        <v>0</v>
      </c>
    </row>
    <row r="150" spans="1:24" outlineLevel="1">
      <c r="A150" s="319">
        <f>INDEX(QS_Chart_Of_Accounts_Upload!$C:$O,MATCH(B150,QS_Chart_Of_Accounts_Upload!$E:$E,0),MATCH("ACCT_NO",QS_Chart_Of_Accounts_Upload!$C$1:$O$1,0))</f>
        <v>5265</v>
      </c>
      <c r="B150" s="320" t="str">
        <f>'Payroll Worksheet'!B83</f>
        <v>Related Payroll Costs</v>
      </c>
      <c r="C150" s="320"/>
      <c r="D150" s="431">
        <f t="shared" si="24"/>
        <v>768</v>
      </c>
      <c r="E150" s="320"/>
      <c r="F150" s="464">
        <f>'Payroll Worksheet'!E83</f>
        <v>64</v>
      </c>
      <c r="G150" s="464">
        <f>'Payroll Worksheet'!F83</f>
        <v>64</v>
      </c>
      <c r="H150" s="464">
        <f>'Payroll Worksheet'!G83</f>
        <v>64</v>
      </c>
      <c r="I150" s="464">
        <f>'Payroll Worksheet'!H83</f>
        <v>64</v>
      </c>
      <c r="J150" s="464">
        <f>'Payroll Worksheet'!I83</f>
        <v>64</v>
      </c>
      <c r="K150" s="464">
        <f>'Payroll Worksheet'!J83</f>
        <v>64</v>
      </c>
      <c r="L150" s="464">
        <f>'Payroll Worksheet'!K83</f>
        <v>64</v>
      </c>
      <c r="M150" s="464">
        <f>'Payroll Worksheet'!L83</f>
        <v>64</v>
      </c>
      <c r="N150" s="464">
        <f>'Payroll Worksheet'!M83</f>
        <v>64</v>
      </c>
      <c r="O150" s="464">
        <f>'Payroll Worksheet'!N83</f>
        <v>64</v>
      </c>
      <c r="P150" s="464">
        <f>'Payroll Worksheet'!O83</f>
        <v>64</v>
      </c>
      <c r="Q150" s="464">
        <f>'Payroll Worksheet'!P83</f>
        <v>64</v>
      </c>
      <c r="R150" s="431">
        <f t="shared" si="25"/>
        <v>768</v>
      </c>
    </row>
    <row r="151" spans="1:24" outlineLevel="1">
      <c r="A151" s="319"/>
      <c r="B151" s="320"/>
      <c r="C151" s="320"/>
      <c r="D151" s="431"/>
      <c r="E151" s="320"/>
      <c r="F151" s="464"/>
      <c r="G151" s="464"/>
      <c r="H151" s="464"/>
      <c r="I151" s="464"/>
      <c r="J151" s="464"/>
      <c r="K151" s="464"/>
      <c r="L151" s="464"/>
      <c r="M151" s="464"/>
      <c r="N151" s="464"/>
      <c r="O151" s="464"/>
      <c r="P151" s="464"/>
      <c r="Q151" s="464"/>
      <c r="R151" s="431"/>
    </row>
    <row r="152" spans="1:24" outlineLevel="1">
      <c r="A152" s="319"/>
      <c r="B152" s="320"/>
      <c r="C152" s="320"/>
      <c r="D152" s="465"/>
      <c r="E152" s="320"/>
      <c r="F152" s="466"/>
      <c r="G152" s="466"/>
      <c r="H152" s="466"/>
      <c r="I152" s="466"/>
      <c r="J152" s="466"/>
      <c r="K152" s="466"/>
      <c r="L152" s="466"/>
      <c r="M152" s="466"/>
      <c r="N152" s="466"/>
      <c r="O152" s="466"/>
      <c r="P152" s="466"/>
      <c r="Q152" s="466"/>
      <c r="R152" s="465"/>
    </row>
    <row r="153" spans="1:24">
      <c r="A153" s="319"/>
      <c r="B153" s="230" t="s">
        <v>191</v>
      </c>
      <c r="C153" s="230"/>
      <c r="D153" s="431">
        <f>+SUBTOTAL(9,F153:R153)</f>
        <v>11346</v>
      </c>
      <c r="E153" s="230"/>
      <c r="F153" s="456">
        <f t="shared" ref="F153:Q153" si="28">SUM(F140:F152)</f>
        <v>2644</v>
      </c>
      <c r="G153" s="456">
        <f t="shared" si="28"/>
        <v>451</v>
      </c>
      <c r="H153" s="456">
        <f t="shared" si="28"/>
        <v>64</v>
      </c>
      <c r="I153" s="456">
        <f t="shared" si="28"/>
        <v>64</v>
      </c>
      <c r="J153" s="456">
        <f t="shared" si="28"/>
        <v>2644</v>
      </c>
      <c r="K153" s="456">
        <f t="shared" si="28"/>
        <v>3289</v>
      </c>
      <c r="L153" s="456">
        <f t="shared" si="28"/>
        <v>1870</v>
      </c>
      <c r="M153" s="456">
        <f t="shared" si="28"/>
        <v>64</v>
      </c>
      <c r="N153" s="456">
        <f t="shared" si="28"/>
        <v>64</v>
      </c>
      <c r="O153" s="456">
        <f t="shared" si="28"/>
        <v>64</v>
      </c>
      <c r="P153" s="456">
        <f t="shared" si="28"/>
        <v>64</v>
      </c>
      <c r="Q153" s="456">
        <f t="shared" si="28"/>
        <v>64</v>
      </c>
      <c r="R153" s="431">
        <f>+SUBTOTAL(9,F153:Q153)</f>
        <v>11346</v>
      </c>
      <c r="W153" s="61"/>
      <c r="X153" s="61"/>
    </row>
    <row r="154" spans="1:24">
      <c r="A154" s="319"/>
      <c r="B154" s="321"/>
      <c r="C154" s="321"/>
      <c r="D154" s="459"/>
      <c r="E154" s="321"/>
      <c r="F154" s="460"/>
      <c r="G154" s="460"/>
      <c r="H154" s="460"/>
      <c r="I154" s="460"/>
      <c r="J154" s="460"/>
      <c r="K154" s="460"/>
      <c r="L154" s="460"/>
      <c r="M154" s="460"/>
      <c r="N154" s="460"/>
      <c r="O154" s="460"/>
      <c r="P154" s="460"/>
      <c r="Q154" s="460"/>
      <c r="R154" s="459"/>
    </row>
    <row r="155" spans="1:24">
      <c r="A155" s="319"/>
      <c r="B155" s="427" t="s">
        <v>14</v>
      </c>
      <c r="C155" s="427"/>
      <c r="D155" s="443"/>
      <c r="E155" s="427"/>
      <c r="F155" s="444"/>
      <c r="G155" s="444"/>
      <c r="H155" s="444"/>
      <c r="I155" s="444"/>
      <c r="J155" s="444"/>
      <c r="K155" s="444"/>
      <c r="L155" s="444"/>
      <c r="M155" s="444"/>
      <c r="N155" s="444"/>
      <c r="O155" s="444"/>
      <c r="P155" s="444"/>
      <c r="Q155" s="444"/>
      <c r="R155" s="443"/>
    </row>
    <row r="156" spans="1:24" ht="7.5" customHeight="1" outlineLevel="1">
      <c r="A156" s="319"/>
      <c r="B156" s="427"/>
      <c r="C156" s="427"/>
      <c r="D156" s="443"/>
      <c r="E156" s="427"/>
      <c r="F156" s="444"/>
      <c r="G156" s="444"/>
      <c r="H156" s="444"/>
      <c r="I156" s="444"/>
      <c r="J156" s="444"/>
      <c r="K156" s="444"/>
      <c r="L156" s="444"/>
      <c r="M156" s="444"/>
      <c r="N156" s="444"/>
      <c r="O156" s="444"/>
      <c r="P156" s="444"/>
      <c r="Q156" s="444"/>
      <c r="R156" s="443"/>
    </row>
    <row r="157" spans="1:24" outlineLevel="1">
      <c r="A157" s="319">
        <f>INDEX(QS_Chart_Of_Accounts_Upload!$C:$O,MATCH(B157,QS_Chart_Of_Accounts_Upload!$E:$E,0),MATCH("ACCT_NO",QS_Chart_Of_Accounts_Upload!$C$1:$O$1,0))</f>
        <v>7700</v>
      </c>
      <c r="B157" s="467" t="str">
        <f>+'Marketing Worksheet'!B16</f>
        <v>Advertising - Internet</v>
      </c>
      <c r="C157" s="430"/>
      <c r="D157" s="431">
        <f t="shared" ref="D157:D166" si="29">+SUBTOTAL(9,F157:R157)</f>
        <v>35221</v>
      </c>
      <c r="E157" s="430"/>
      <c r="F157" s="464">
        <f>'Marketing Worksheet'!C16</f>
        <v>5012</v>
      </c>
      <c r="G157" s="464">
        <f>'Marketing Worksheet'!D16</f>
        <v>4012</v>
      </c>
      <c r="H157" s="464">
        <f>'Marketing Worksheet'!E16</f>
        <v>3012</v>
      </c>
      <c r="I157" s="464">
        <f>'Marketing Worksheet'!F16</f>
        <v>3537</v>
      </c>
      <c r="J157" s="464">
        <f>'Marketing Worksheet'!G16</f>
        <v>3537</v>
      </c>
      <c r="K157" s="464">
        <f>'Marketing Worksheet'!H16</f>
        <v>3537</v>
      </c>
      <c r="L157" s="464">
        <f>'Marketing Worksheet'!I16</f>
        <v>3537</v>
      </c>
      <c r="M157" s="464">
        <f>'Marketing Worksheet'!J16</f>
        <v>3037</v>
      </c>
      <c r="N157" s="464">
        <f>'Marketing Worksheet'!K16</f>
        <v>1500</v>
      </c>
      <c r="O157" s="464">
        <f>'Marketing Worksheet'!L16</f>
        <v>1500</v>
      </c>
      <c r="P157" s="464">
        <f>'Marketing Worksheet'!M16</f>
        <v>1500</v>
      </c>
      <c r="Q157" s="464">
        <f>'Marketing Worksheet'!N16</f>
        <v>1500</v>
      </c>
      <c r="R157" s="431">
        <f t="shared" ref="R157:R166" si="30">+SUBTOTAL(9,F157:Q157)</f>
        <v>35221</v>
      </c>
      <c r="T157" s="452"/>
    </row>
    <row r="158" spans="1:24" outlineLevel="1">
      <c r="A158" s="319">
        <f>INDEX(QS_Chart_Of_Accounts_Upload!$C:$O,MATCH(B158,QS_Chart_Of_Accounts_Upload!$E:$E,0),MATCH("ACCT_NO",QS_Chart_Of_Accounts_Upload!$C$1:$O$1,0))</f>
        <v>7710</v>
      </c>
      <c r="B158" s="467" t="str">
        <f>+'Marketing Worksheet'!B30</f>
        <v>Advertising - Property Website</v>
      </c>
      <c r="C158" s="430"/>
      <c r="D158" s="431">
        <f t="shared" si="29"/>
        <v>4590</v>
      </c>
      <c r="E158" s="430"/>
      <c r="F158" s="464">
        <f>'Marketing Worksheet'!C30</f>
        <v>500</v>
      </c>
      <c r="G158" s="464">
        <f>'Marketing Worksheet'!D30</f>
        <v>500</v>
      </c>
      <c r="H158" s="464">
        <f>'Marketing Worksheet'!E30</f>
        <v>500</v>
      </c>
      <c r="I158" s="464">
        <f>'Marketing Worksheet'!F30</f>
        <v>500</v>
      </c>
      <c r="J158" s="464">
        <f>'Marketing Worksheet'!G30</f>
        <v>500</v>
      </c>
      <c r="K158" s="464">
        <f>'Marketing Worksheet'!H30</f>
        <v>500</v>
      </c>
      <c r="L158" s="464">
        <f>'Marketing Worksheet'!I30</f>
        <v>265</v>
      </c>
      <c r="M158" s="464">
        <f>'Marketing Worksheet'!J30</f>
        <v>265</v>
      </c>
      <c r="N158" s="464">
        <f>'Marketing Worksheet'!K30</f>
        <v>265</v>
      </c>
      <c r="O158" s="464">
        <f>'Marketing Worksheet'!L30</f>
        <v>265</v>
      </c>
      <c r="P158" s="464">
        <f>'Marketing Worksheet'!M30</f>
        <v>265</v>
      </c>
      <c r="Q158" s="464">
        <f>'Marketing Worksheet'!N30</f>
        <v>265</v>
      </c>
      <c r="R158" s="431">
        <f t="shared" si="30"/>
        <v>4590</v>
      </c>
    </row>
    <row r="159" spans="1:24" outlineLevel="1">
      <c r="A159" s="319">
        <f>INDEX(QS_Chart_Of_Accounts_Upload!$C:$O,MATCH(B159,QS_Chart_Of_Accounts_Upload!$E:$E,0),MATCH("ACCT_NO",QS_Chart_Of_Accounts_Upload!$C$1:$O$1,0))</f>
        <v>7715</v>
      </c>
      <c r="B159" s="433" t="str">
        <f>+'Marketing Worksheet'!B42</f>
        <v>Advertising-Programs/Software</v>
      </c>
      <c r="C159" s="430"/>
      <c r="D159" s="431">
        <f t="shared" si="29"/>
        <v>8223</v>
      </c>
      <c r="E159" s="430"/>
      <c r="F159" s="464">
        <f>'Marketing Worksheet'!C42</f>
        <v>685.25</v>
      </c>
      <c r="G159" s="464">
        <f>'Marketing Worksheet'!D42</f>
        <v>685.25</v>
      </c>
      <c r="H159" s="464">
        <f>'Marketing Worksheet'!E42</f>
        <v>685.25</v>
      </c>
      <c r="I159" s="464">
        <f>'Marketing Worksheet'!F42</f>
        <v>685.25</v>
      </c>
      <c r="J159" s="464">
        <f>'Marketing Worksheet'!G42</f>
        <v>685.25</v>
      </c>
      <c r="K159" s="464">
        <f>'Marketing Worksheet'!H42</f>
        <v>685.25</v>
      </c>
      <c r="L159" s="464">
        <f>'Marketing Worksheet'!I42</f>
        <v>685.25</v>
      </c>
      <c r="M159" s="464">
        <f>'Marketing Worksheet'!J42</f>
        <v>685.25</v>
      </c>
      <c r="N159" s="464">
        <f>'Marketing Worksheet'!K42</f>
        <v>685.25</v>
      </c>
      <c r="O159" s="464">
        <f>'Marketing Worksheet'!L42</f>
        <v>685.25</v>
      </c>
      <c r="P159" s="464">
        <f>'Marketing Worksheet'!M42</f>
        <v>685.25</v>
      </c>
      <c r="Q159" s="464">
        <f>'Marketing Worksheet'!N42</f>
        <v>685.25</v>
      </c>
      <c r="R159" s="431">
        <f t="shared" si="30"/>
        <v>8223</v>
      </c>
    </row>
    <row r="160" spans="1:24" outlineLevel="1">
      <c r="A160" s="319">
        <f>INDEX(QS_Chart_Of_Accounts_Upload!$C:$O,MATCH(B160,QS_Chart_Of_Accounts_Upload!$E:$E,0),MATCH("ACCT_NO",QS_Chart_Of_Accounts_Upload!$C$1:$O$1,0))</f>
        <v>7730</v>
      </c>
      <c r="B160" s="433" t="str">
        <f>+'Marketing Worksheet'!B53</f>
        <v>Realtor/Locator Fees</v>
      </c>
      <c r="C160" s="430"/>
      <c r="D160" s="431">
        <f t="shared" si="29"/>
        <v>0</v>
      </c>
      <c r="E160" s="430"/>
      <c r="F160" s="464">
        <f>'Marketing Worksheet'!C53</f>
        <v>0</v>
      </c>
      <c r="G160" s="464">
        <f>'Marketing Worksheet'!D53</f>
        <v>0</v>
      </c>
      <c r="H160" s="464">
        <f>'Marketing Worksheet'!E53</f>
        <v>0</v>
      </c>
      <c r="I160" s="464">
        <f>'Marketing Worksheet'!F53</f>
        <v>0</v>
      </c>
      <c r="J160" s="464">
        <f>'Marketing Worksheet'!G53</f>
        <v>0</v>
      </c>
      <c r="K160" s="464">
        <f>'Marketing Worksheet'!H53</f>
        <v>0</v>
      </c>
      <c r="L160" s="464">
        <f>'Marketing Worksheet'!I53</f>
        <v>0</v>
      </c>
      <c r="M160" s="464">
        <f>'Marketing Worksheet'!J53</f>
        <v>0</v>
      </c>
      <c r="N160" s="464">
        <f>'Marketing Worksheet'!K53</f>
        <v>0</v>
      </c>
      <c r="O160" s="464">
        <f>'Marketing Worksheet'!L53</f>
        <v>0</v>
      </c>
      <c r="P160" s="464">
        <f>'Marketing Worksheet'!M53</f>
        <v>0</v>
      </c>
      <c r="Q160" s="464">
        <f>'Marketing Worksheet'!N53</f>
        <v>0</v>
      </c>
      <c r="R160" s="431">
        <f t="shared" si="30"/>
        <v>0</v>
      </c>
    </row>
    <row r="161" spans="1:24" outlineLevel="1">
      <c r="A161" s="319">
        <f>INDEX(QS_Chart_Of_Accounts_Upload!$C:$O,MATCH(B161,QS_Chart_Of_Accounts_Upload!$E:$E,0),MATCH("ACCT_NO",QS_Chart_Of_Accounts_Upload!$C$1:$O$1,0))</f>
        <v>7740</v>
      </c>
      <c r="B161" s="433" t="str">
        <f>+'Marketing Worksheet'!B66</f>
        <v>Marketing/Promotions</v>
      </c>
      <c r="C161" s="430"/>
      <c r="D161" s="431">
        <f t="shared" si="29"/>
        <v>0</v>
      </c>
      <c r="E161" s="430"/>
      <c r="F161" s="464">
        <f>'Marketing Worksheet'!C66</f>
        <v>0</v>
      </c>
      <c r="G161" s="464">
        <f>'Marketing Worksheet'!D66</f>
        <v>0</v>
      </c>
      <c r="H161" s="464">
        <f>'Marketing Worksheet'!E66</f>
        <v>0</v>
      </c>
      <c r="I161" s="464">
        <f>'Marketing Worksheet'!F66</f>
        <v>0</v>
      </c>
      <c r="J161" s="464">
        <f>'Marketing Worksheet'!G66</f>
        <v>0</v>
      </c>
      <c r="K161" s="464">
        <f>'Marketing Worksheet'!H66</f>
        <v>0</v>
      </c>
      <c r="L161" s="464">
        <f>'Marketing Worksheet'!I66</f>
        <v>0</v>
      </c>
      <c r="M161" s="464">
        <f>'Marketing Worksheet'!J66</f>
        <v>0</v>
      </c>
      <c r="N161" s="464">
        <f>'Marketing Worksheet'!K66</f>
        <v>0</v>
      </c>
      <c r="O161" s="464">
        <f>'Marketing Worksheet'!L66</f>
        <v>0</v>
      </c>
      <c r="P161" s="464">
        <f>'Marketing Worksheet'!M66</f>
        <v>0</v>
      </c>
      <c r="Q161" s="464">
        <f>'Marketing Worksheet'!N66</f>
        <v>0</v>
      </c>
      <c r="R161" s="431">
        <f t="shared" si="30"/>
        <v>0</v>
      </c>
    </row>
    <row r="162" spans="1:24" outlineLevel="1">
      <c r="A162" s="319">
        <f>INDEX(QS_Chart_Of_Accounts_Upload!$C:$O,MATCH(B162,QS_Chart_Of_Accounts_Upload!$E:$E,0),MATCH("ACCT_NO",QS_Chart_Of_Accounts_Upload!$C$1:$O$1,0))</f>
        <v>7750</v>
      </c>
      <c r="B162" s="433" t="str">
        <f>+'Marketing Worksheet'!B80</f>
        <v>Marketing Printing</v>
      </c>
      <c r="C162" s="430"/>
      <c r="D162" s="431">
        <f t="shared" si="29"/>
        <v>1248</v>
      </c>
      <c r="E162" s="430"/>
      <c r="F162" s="464">
        <f>'Marketing Worksheet'!C80</f>
        <v>79</v>
      </c>
      <c r="G162" s="464">
        <f>'Marketing Worksheet'!D80</f>
        <v>79</v>
      </c>
      <c r="H162" s="464">
        <f>'Marketing Worksheet'!E80</f>
        <v>79</v>
      </c>
      <c r="I162" s="464">
        <f>'Marketing Worksheet'!F80</f>
        <v>79</v>
      </c>
      <c r="J162" s="464">
        <f>'Marketing Worksheet'!G80</f>
        <v>379</v>
      </c>
      <c r="K162" s="464">
        <f>'Marketing Worksheet'!H80</f>
        <v>79</v>
      </c>
      <c r="L162" s="464">
        <f>'Marketing Worksheet'!I80</f>
        <v>79</v>
      </c>
      <c r="M162" s="464">
        <f>'Marketing Worksheet'!J80</f>
        <v>79</v>
      </c>
      <c r="N162" s="464">
        <f>'Marketing Worksheet'!K80</f>
        <v>79</v>
      </c>
      <c r="O162" s="464">
        <f>'Marketing Worksheet'!L80</f>
        <v>79</v>
      </c>
      <c r="P162" s="464">
        <f>'Marketing Worksheet'!M80</f>
        <v>79</v>
      </c>
      <c r="Q162" s="464">
        <f>'Marketing Worksheet'!N80</f>
        <v>79</v>
      </c>
      <c r="R162" s="431">
        <f t="shared" si="30"/>
        <v>1248</v>
      </c>
    </row>
    <row r="163" spans="1:24" outlineLevel="1">
      <c r="A163" s="319">
        <f>INDEX(QS_Chart_Of_Accounts_Upload!$C:$O,MATCH(B163,QS_Chart_Of_Accounts_Upload!$E:$E,0),MATCH("ACCT_NO",QS_Chart_Of_Accounts_Upload!$C$1:$O$1,0))</f>
        <v>7820</v>
      </c>
      <c r="B163" s="433" t="str">
        <f>+'Marketing Worksheet'!B91</f>
        <v xml:space="preserve">Signage </v>
      </c>
      <c r="C163" s="430"/>
      <c r="D163" s="431">
        <f t="shared" si="29"/>
        <v>1600</v>
      </c>
      <c r="E163" s="430"/>
      <c r="F163" s="464">
        <f>'Marketing Worksheet'!C91</f>
        <v>50</v>
      </c>
      <c r="G163" s="464">
        <f>'Marketing Worksheet'!D91</f>
        <v>50</v>
      </c>
      <c r="H163" s="464">
        <f>'Marketing Worksheet'!E91</f>
        <v>50</v>
      </c>
      <c r="I163" s="464">
        <f>'Marketing Worksheet'!F91</f>
        <v>50</v>
      </c>
      <c r="J163" s="464">
        <f>'Marketing Worksheet'!G91</f>
        <v>450</v>
      </c>
      <c r="K163" s="464">
        <f>'Marketing Worksheet'!H91</f>
        <v>50</v>
      </c>
      <c r="L163" s="464">
        <f>'Marketing Worksheet'!I91</f>
        <v>50</v>
      </c>
      <c r="M163" s="464">
        <f>'Marketing Worksheet'!J91</f>
        <v>50</v>
      </c>
      <c r="N163" s="464">
        <f>'Marketing Worksheet'!K91</f>
        <v>650</v>
      </c>
      <c r="O163" s="464">
        <f>'Marketing Worksheet'!L91</f>
        <v>50</v>
      </c>
      <c r="P163" s="464">
        <f>'Marketing Worksheet'!M91</f>
        <v>50</v>
      </c>
      <c r="Q163" s="464">
        <f>'Marketing Worksheet'!N91</f>
        <v>50</v>
      </c>
      <c r="R163" s="431">
        <f t="shared" si="30"/>
        <v>1600</v>
      </c>
    </row>
    <row r="164" spans="1:24" outlineLevel="1">
      <c r="A164" s="319">
        <f>INDEX(QS_Chart_Of_Accounts_Upload!$C:$O,MATCH(B164,QS_Chart_Of_Accounts_Upload!$E:$E,0),MATCH("ACCT_NO",QS_Chart_Of_Accounts_Upload!$C$1:$O$1,0))</f>
        <v>7760</v>
      </c>
      <c r="B164" s="433" t="str">
        <f>+'Marketing Worksheet'!B101</f>
        <v xml:space="preserve">Model </v>
      </c>
      <c r="C164" s="430"/>
      <c r="D164" s="431">
        <f t="shared" si="29"/>
        <v>0</v>
      </c>
      <c r="E164" s="430"/>
      <c r="F164" s="464">
        <f>'Marketing Worksheet'!C101</f>
        <v>0</v>
      </c>
      <c r="G164" s="464">
        <f>'Marketing Worksheet'!D101</f>
        <v>0</v>
      </c>
      <c r="H164" s="464">
        <f>'Marketing Worksheet'!E101</f>
        <v>0</v>
      </c>
      <c r="I164" s="464">
        <f>'Marketing Worksheet'!F101</f>
        <v>0</v>
      </c>
      <c r="J164" s="464">
        <f>'Marketing Worksheet'!G101</f>
        <v>0</v>
      </c>
      <c r="K164" s="464">
        <f>'Marketing Worksheet'!H101</f>
        <v>0</v>
      </c>
      <c r="L164" s="464">
        <f>'Marketing Worksheet'!I101</f>
        <v>0</v>
      </c>
      <c r="M164" s="464">
        <f>'Marketing Worksheet'!J101</f>
        <v>0</v>
      </c>
      <c r="N164" s="464">
        <f>'Marketing Worksheet'!K101</f>
        <v>0</v>
      </c>
      <c r="O164" s="464">
        <f>'Marketing Worksheet'!L101</f>
        <v>0</v>
      </c>
      <c r="P164" s="464">
        <f>'Marketing Worksheet'!M101</f>
        <v>0</v>
      </c>
      <c r="Q164" s="464">
        <f>'Marketing Worksheet'!N101</f>
        <v>0</v>
      </c>
      <c r="R164" s="431">
        <f t="shared" si="30"/>
        <v>0</v>
      </c>
    </row>
    <row r="165" spans="1:24" outlineLevel="1">
      <c r="A165" s="319">
        <f>INDEX(QS_Chart_Of_Accounts_Upload!$C:$O,MATCH(B165,QS_Chart_Of_Accounts_Upload!$E:$E,0),MATCH("ACCT_NO",QS_Chart_Of_Accounts_Upload!$C$1:$O$1,0))</f>
        <v>7800</v>
      </c>
      <c r="B165" s="433" t="str">
        <f>+'Marketing Worksheet'!B111</f>
        <v>Resident Retention</v>
      </c>
      <c r="C165" s="430"/>
      <c r="D165" s="431">
        <f t="shared" si="29"/>
        <v>4440</v>
      </c>
      <c r="E165" s="430"/>
      <c r="F165" s="464">
        <f>'Marketing Worksheet'!C111</f>
        <v>250</v>
      </c>
      <c r="G165" s="464">
        <f>'Marketing Worksheet'!D111</f>
        <v>250</v>
      </c>
      <c r="H165" s="464">
        <f>'Marketing Worksheet'!E111</f>
        <v>250</v>
      </c>
      <c r="I165" s="464">
        <f>'Marketing Worksheet'!F111</f>
        <v>250</v>
      </c>
      <c r="J165" s="464">
        <f>'Marketing Worksheet'!G111</f>
        <v>250</v>
      </c>
      <c r="K165" s="464">
        <f>'Marketing Worksheet'!H111</f>
        <v>250</v>
      </c>
      <c r="L165" s="464">
        <f>'Marketing Worksheet'!I111</f>
        <v>490</v>
      </c>
      <c r="M165" s="464">
        <f>'Marketing Worksheet'!J111</f>
        <v>490</v>
      </c>
      <c r="N165" s="464">
        <f>'Marketing Worksheet'!K111</f>
        <v>490</v>
      </c>
      <c r="O165" s="464">
        <f>'Marketing Worksheet'!L111</f>
        <v>490</v>
      </c>
      <c r="P165" s="464">
        <f>'Marketing Worksheet'!M111</f>
        <v>490</v>
      </c>
      <c r="Q165" s="464">
        <f>'Marketing Worksheet'!N111</f>
        <v>490</v>
      </c>
      <c r="R165" s="431">
        <f t="shared" si="30"/>
        <v>4440</v>
      </c>
    </row>
    <row r="166" spans="1:24">
      <c r="A166" s="319">
        <f>+'Marketing Worksheet'!A117</f>
        <v>7711</v>
      </c>
      <c r="B166" s="490" t="str">
        <f>+'Marketing Worksheet'!B113</f>
        <v>Marketing Tech Stack</v>
      </c>
      <c r="D166" s="431">
        <f t="shared" si="29"/>
        <v>7977.9599999999991</v>
      </c>
      <c r="F166" s="1045">
        <f>+'Marketing Worksheet'!C117</f>
        <v>664.82999999999993</v>
      </c>
      <c r="G166" s="1045">
        <f>+'Marketing Worksheet'!D117</f>
        <v>664.82999999999993</v>
      </c>
      <c r="H166" s="1045">
        <f>+'Marketing Worksheet'!E117</f>
        <v>664.82999999999993</v>
      </c>
      <c r="I166" s="1045">
        <f>+'Marketing Worksheet'!F117</f>
        <v>664.82999999999993</v>
      </c>
      <c r="J166" s="1045">
        <f>+'Marketing Worksheet'!G117</f>
        <v>664.82999999999993</v>
      </c>
      <c r="K166" s="1045">
        <f>+'Marketing Worksheet'!H117</f>
        <v>664.82999999999993</v>
      </c>
      <c r="L166" s="1045">
        <f>+'Marketing Worksheet'!I117</f>
        <v>664.82999999999993</v>
      </c>
      <c r="M166" s="1045">
        <f>+'Marketing Worksheet'!J117</f>
        <v>664.82999999999993</v>
      </c>
      <c r="N166" s="1045">
        <f>+'Marketing Worksheet'!K117</f>
        <v>664.82999999999993</v>
      </c>
      <c r="O166" s="1045">
        <f>+'Marketing Worksheet'!L117</f>
        <v>664.82999999999993</v>
      </c>
      <c r="P166" s="1045">
        <f>+'Marketing Worksheet'!M117</f>
        <v>664.82999999999993</v>
      </c>
      <c r="Q166" s="1045">
        <f>+'Marketing Worksheet'!N117</f>
        <v>664.82999999999993</v>
      </c>
      <c r="R166" s="431">
        <f t="shared" si="30"/>
        <v>7977.9599999999991</v>
      </c>
    </row>
    <row r="167" spans="1:24" outlineLevel="1">
      <c r="A167" s="319"/>
      <c r="B167" s="430"/>
      <c r="C167" s="430"/>
      <c r="D167" s="465"/>
      <c r="E167" s="430"/>
      <c r="F167" s="466"/>
      <c r="G167" s="466"/>
      <c r="H167" s="466"/>
      <c r="I167" s="466"/>
      <c r="J167" s="466"/>
      <c r="K167" s="466"/>
      <c r="L167" s="466"/>
      <c r="M167" s="466"/>
      <c r="N167" s="466"/>
      <c r="O167" s="466"/>
      <c r="P167" s="466"/>
      <c r="Q167" s="466"/>
      <c r="R167" s="465"/>
    </row>
    <row r="168" spans="1:24">
      <c r="A168" s="319"/>
      <c r="B168" s="427" t="s">
        <v>38</v>
      </c>
      <c r="C168" s="427"/>
      <c r="D168" s="468">
        <f>+SUBTOTAL(9,F168:R168)</f>
        <v>63299.960000000014</v>
      </c>
      <c r="E168" s="427"/>
      <c r="F168" s="456">
        <f>SUM(F156:F167)</f>
        <v>7241.08</v>
      </c>
      <c r="G168" s="456">
        <f t="shared" ref="G168:Q168" si="31">SUM(G156:G167)</f>
        <v>6241.08</v>
      </c>
      <c r="H168" s="456">
        <f t="shared" si="31"/>
        <v>5241.08</v>
      </c>
      <c r="I168" s="456">
        <f t="shared" si="31"/>
        <v>5766.08</v>
      </c>
      <c r="J168" s="456">
        <f t="shared" si="31"/>
        <v>6466.08</v>
      </c>
      <c r="K168" s="456">
        <f t="shared" si="31"/>
        <v>5766.08</v>
      </c>
      <c r="L168" s="456">
        <f t="shared" si="31"/>
        <v>5771.08</v>
      </c>
      <c r="M168" s="456">
        <f t="shared" si="31"/>
        <v>5271.08</v>
      </c>
      <c r="N168" s="456">
        <f t="shared" si="31"/>
        <v>4334.08</v>
      </c>
      <c r="O168" s="456">
        <f t="shared" si="31"/>
        <v>3734.08</v>
      </c>
      <c r="P168" s="456">
        <f t="shared" si="31"/>
        <v>3734.08</v>
      </c>
      <c r="Q168" s="456">
        <f t="shared" si="31"/>
        <v>3734.08</v>
      </c>
      <c r="R168" s="431">
        <f>+SUBTOTAL(9,F168:Q168)</f>
        <v>63299.960000000014</v>
      </c>
      <c r="W168" s="61">
        <f>12*(R168/19)</f>
        <v>39978.922105263169</v>
      </c>
      <c r="X168" s="61" t="e">
        <f>+#REF!*12*1.02</f>
        <v>#REF!</v>
      </c>
    </row>
    <row r="169" spans="1:24">
      <c r="A169" s="319"/>
      <c r="B169" s="427"/>
      <c r="C169" s="427"/>
      <c r="D169" s="469"/>
      <c r="E169" s="427"/>
      <c r="F169" s="427"/>
      <c r="G169" s="427"/>
      <c r="H169" s="427"/>
      <c r="I169" s="427"/>
      <c r="J169" s="427"/>
      <c r="K169" s="427"/>
      <c r="L169" s="427"/>
      <c r="M169" s="427"/>
      <c r="N169" s="427"/>
      <c r="O169" s="427"/>
      <c r="P169" s="427"/>
      <c r="Q169" s="427"/>
      <c r="R169" s="469"/>
    </row>
    <row r="170" spans="1:24">
      <c r="A170" s="319"/>
      <c r="B170" s="427" t="s">
        <v>25</v>
      </c>
      <c r="C170" s="427"/>
      <c r="D170" s="445"/>
      <c r="E170" s="427"/>
      <c r="F170" s="446"/>
      <c r="G170" s="446"/>
      <c r="H170" s="446"/>
      <c r="I170" s="446"/>
      <c r="J170" s="446"/>
      <c r="K170" s="446"/>
      <c r="L170" s="446"/>
      <c r="M170" s="446"/>
      <c r="N170" s="446"/>
      <c r="O170" s="446"/>
      <c r="P170" s="446"/>
      <c r="Q170" s="446"/>
      <c r="R170" s="445"/>
    </row>
    <row r="171" spans="1:24" ht="7.5" customHeight="1" outlineLevel="1">
      <c r="A171" s="319"/>
      <c r="B171" s="427"/>
      <c r="C171" s="427"/>
      <c r="D171" s="445"/>
      <c r="E171" s="427"/>
      <c r="F171" s="446"/>
      <c r="G171" s="446"/>
      <c r="H171" s="446"/>
      <c r="I171" s="446"/>
      <c r="J171" s="446"/>
      <c r="K171" s="446"/>
      <c r="L171" s="446"/>
      <c r="M171" s="446"/>
      <c r="N171" s="446"/>
      <c r="O171" s="446"/>
      <c r="P171" s="446"/>
      <c r="Q171" s="446"/>
      <c r="R171" s="445"/>
    </row>
    <row r="172" spans="1:24" ht="14" outlineLevel="1">
      <c r="A172" s="319">
        <f>INDEX(QS_Chart_Of_Accounts_Upload!$C:$O,MATCH(B172,QS_Chart_Of_Accounts_Upload!$E:$E,0),MATCH("ACCT_NO",QS_Chart_Of_Accounts_Upload!$C$1:$O$1,0))</f>
        <v>5270</v>
      </c>
      <c r="B172" s="319" t="str">
        <f>'Operating Expenses'!B72</f>
        <v>Access Gate Expense</v>
      </c>
      <c r="C172" s="319"/>
      <c r="D172" s="431">
        <f t="shared" ref="D172:D213" si="32">+SUBTOTAL(9,F172:R172)</f>
        <v>0</v>
      </c>
      <c r="E172" s="319"/>
      <c r="F172" s="432">
        <f>'Operating Expenses'!C72</f>
        <v>0</v>
      </c>
      <c r="G172" s="432">
        <f>'Operating Expenses'!D72</f>
        <v>0</v>
      </c>
      <c r="H172" s="432">
        <f>'Operating Expenses'!E72</f>
        <v>0</v>
      </c>
      <c r="I172" s="432">
        <f>'Operating Expenses'!F72</f>
        <v>0</v>
      </c>
      <c r="J172" s="432">
        <f>'Operating Expenses'!G72</f>
        <v>0</v>
      </c>
      <c r="K172" s="432">
        <f>'Operating Expenses'!H72</f>
        <v>0</v>
      </c>
      <c r="L172" s="432">
        <f>'Operating Expenses'!I72</f>
        <v>0</v>
      </c>
      <c r="M172" s="432">
        <f>'Operating Expenses'!J72</f>
        <v>0</v>
      </c>
      <c r="N172" s="432">
        <f>'Operating Expenses'!K72</f>
        <v>0</v>
      </c>
      <c r="O172" s="432">
        <f>'Operating Expenses'!L72</f>
        <v>0</v>
      </c>
      <c r="P172" s="432">
        <f>'Operating Expenses'!M72</f>
        <v>0</v>
      </c>
      <c r="Q172" s="432">
        <f>'Operating Expenses'!N72</f>
        <v>0</v>
      </c>
      <c r="R172" s="431">
        <f t="shared" ref="R172:R213" si="33">+SUBTOTAL(9,F172:Q172)</f>
        <v>0</v>
      </c>
      <c r="T172" s="448" t="str">
        <f>+IF('Operating Expenses'!Q72="","",'Operating Expenses'!Q72)</f>
        <v/>
      </c>
    </row>
    <row r="173" spans="1:24" ht="14" outlineLevel="1">
      <c r="A173" s="319">
        <f>INDEX(QS_Chart_Of_Accounts_Upload!$C:$O,MATCH(B173,QS_Chart_Of_Accounts_Upload!$E:$E,0),MATCH("ACCT_NO",QS_Chart_Of_Accounts_Upload!$C$1:$O$1,0))</f>
        <v>5280</v>
      </c>
      <c r="B173" s="319" t="str">
        <f>'Operating Expenses'!B73</f>
        <v>Animal/Pest Control Supplies</v>
      </c>
      <c r="C173" s="319"/>
      <c r="D173" s="431">
        <f t="shared" si="32"/>
        <v>0</v>
      </c>
      <c r="E173" s="319"/>
      <c r="F173" s="432">
        <f>'Operating Expenses'!C73</f>
        <v>0</v>
      </c>
      <c r="G173" s="432">
        <f>'Operating Expenses'!D73</f>
        <v>0</v>
      </c>
      <c r="H173" s="432">
        <f>'Operating Expenses'!E73</f>
        <v>0</v>
      </c>
      <c r="I173" s="432">
        <f>'Operating Expenses'!F73</f>
        <v>0</v>
      </c>
      <c r="J173" s="432">
        <f>'Operating Expenses'!G73</f>
        <v>0</v>
      </c>
      <c r="K173" s="432">
        <f>'Operating Expenses'!H73</f>
        <v>0</v>
      </c>
      <c r="L173" s="432">
        <f>'Operating Expenses'!I73</f>
        <v>0</v>
      </c>
      <c r="M173" s="432">
        <f>'Operating Expenses'!J73</f>
        <v>0</v>
      </c>
      <c r="N173" s="432">
        <f>'Operating Expenses'!K73</f>
        <v>0</v>
      </c>
      <c r="O173" s="432">
        <f>'Operating Expenses'!L73</f>
        <v>0</v>
      </c>
      <c r="P173" s="432">
        <f>'Operating Expenses'!M73</f>
        <v>0</v>
      </c>
      <c r="Q173" s="432">
        <f>'Operating Expenses'!N73</f>
        <v>0</v>
      </c>
      <c r="R173" s="431">
        <f t="shared" si="33"/>
        <v>0</v>
      </c>
      <c r="T173" s="448" t="str">
        <f>+IF('Operating Expenses'!Q73="","",'Operating Expenses'!Q73)</f>
        <v/>
      </c>
    </row>
    <row r="174" spans="1:24" ht="14" outlineLevel="1">
      <c r="A174" s="319">
        <f>INDEX(QS_Chart_Of_Accounts_Upload!$C:$O,MATCH(B174,QS_Chart_Of_Accounts_Upload!$E:$E,0),MATCH("ACCT_NO",QS_Chart_Of_Accounts_Upload!$C$1:$O$1,0))</f>
        <v>5290</v>
      </c>
      <c r="B174" s="319" t="str">
        <f>'Operating Expenses'!B74</f>
        <v>Appliance Repairs</v>
      </c>
      <c r="C174" s="319"/>
      <c r="D174" s="431">
        <f t="shared" si="32"/>
        <v>325</v>
      </c>
      <c r="E174" s="319"/>
      <c r="F174" s="432">
        <f>'Operating Expenses'!C74</f>
        <v>0</v>
      </c>
      <c r="G174" s="432">
        <f>'Operating Expenses'!D74</f>
        <v>0</v>
      </c>
      <c r="H174" s="432">
        <f>'Operating Expenses'!E74</f>
        <v>0</v>
      </c>
      <c r="I174" s="432">
        <f>'Operating Expenses'!F74</f>
        <v>0</v>
      </c>
      <c r="J174" s="432">
        <f>'Operating Expenses'!G74</f>
        <v>0</v>
      </c>
      <c r="K174" s="432">
        <f>'Operating Expenses'!H74</f>
        <v>0</v>
      </c>
      <c r="L174" s="432">
        <f>'Operating Expenses'!I74</f>
        <v>0</v>
      </c>
      <c r="M174" s="432">
        <f>'Operating Expenses'!J74</f>
        <v>50</v>
      </c>
      <c r="N174" s="432">
        <f>'Operating Expenses'!K74</f>
        <v>50</v>
      </c>
      <c r="O174" s="432">
        <f>'Operating Expenses'!L74</f>
        <v>75</v>
      </c>
      <c r="P174" s="432">
        <f>'Operating Expenses'!M74</f>
        <v>75</v>
      </c>
      <c r="Q174" s="432">
        <f>'Operating Expenses'!N74</f>
        <v>75</v>
      </c>
      <c r="R174" s="431">
        <f t="shared" si="33"/>
        <v>325</v>
      </c>
      <c r="T174" s="448" t="str">
        <f>+IF('Operating Expenses'!Q74="","",'Operating Expenses'!Q74)</f>
        <v/>
      </c>
    </row>
    <row r="175" spans="1:24" ht="14" outlineLevel="1">
      <c r="A175" s="319">
        <f>INDEX(QS_Chart_Of_Accounts_Upload!$C:$O,MATCH(B175,QS_Chart_Of_Accounts_Upload!$E:$E,0),MATCH("ACCT_NO",QS_Chart_Of_Accounts_Upload!$C$1:$O$1,0))</f>
        <v>5300</v>
      </c>
      <c r="B175" s="319" t="str">
        <f>'Operating Expenses'!B75</f>
        <v>Backflow Inspection</v>
      </c>
      <c r="C175" s="319"/>
      <c r="D175" s="431">
        <f t="shared" si="32"/>
        <v>0</v>
      </c>
      <c r="E175" s="319"/>
      <c r="F175" s="432">
        <f>'Operating Expenses'!C75</f>
        <v>0</v>
      </c>
      <c r="G175" s="432">
        <f>'Operating Expenses'!D75</f>
        <v>0</v>
      </c>
      <c r="H175" s="432">
        <f>'Operating Expenses'!E75</f>
        <v>0</v>
      </c>
      <c r="I175" s="432">
        <f>'Operating Expenses'!F75</f>
        <v>0</v>
      </c>
      <c r="J175" s="432">
        <f>'Operating Expenses'!G75</f>
        <v>0</v>
      </c>
      <c r="K175" s="432">
        <f>'Operating Expenses'!H75</f>
        <v>0</v>
      </c>
      <c r="L175" s="432">
        <f>'Operating Expenses'!I75</f>
        <v>0</v>
      </c>
      <c r="M175" s="432">
        <f>'Operating Expenses'!J75</f>
        <v>0</v>
      </c>
      <c r="N175" s="432">
        <f>'Operating Expenses'!K75</f>
        <v>0</v>
      </c>
      <c r="O175" s="432">
        <f>'Operating Expenses'!L75</f>
        <v>0</v>
      </c>
      <c r="P175" s="432">
        <f>'Operating Expenses'!M75</f>
        <v>0</v>
      </c>
      <c r="Q175" s="432">
        <f>'Operating Expenses'!N75</f>
        <v>0</v>
      </c>
      <c r="R175" s="431">
        <f t="shared" si="33"/>
        <v>0</v>
      </c>
      <c r="T175" s="448" t="str">
        <f>+IF('Operating Expenses'!Q75="","",'Operating Expenses'!Q75)</f>
        <v/>
      </c>
    </row>
    <row r="176" spans="1:24" ht="14" outlineLevel="1">
      <c r="A176" s="319">
        <f>INDEX(QS_Chart_Of_Accounts_Upload!$C:$O,MATCH(B176,QS_Chart_Of_Accounts_Upload!$E:$E,0),MATCH("ACCT_NO",QS_Chart_Of_Accounts_Upload!$C$1:$O$1,0))</f>
        <v>6009.1</v>
      </c>
      <c r="B176" s="319" t="str">
        <f>'Operating Expenses'!B76</f>
        <v>Boiler Repairs</v>
      </c>
      <c r="C176" s="319"/>
      <c r="D176" s="431">
        <f t="shared" si="32"/>
        <v>0</v>
      </c>
      <c r="E176" s="319"/>
      <c r="F176" s="432">
        <f>'Operating Expenses'!C76</f>
        <v>0</v>
      </c>
      <c r="G176" s="432">
        <f>'Operating Expenses'!D76</f>
        <v>0</v>
      </c>
      <c r="H176" s="432">
        <f>'Operating Expenses'!E76</f>
        <v>0</v>
      </c>
      <c r="I176" s="432">
        <f>'Operating Expenses'!F76</f>
        <v>0</v>
      </c>
      <c r="J176" s="432">
        <f>'Operating Expenses'!G76</f>
        <v>0</v>
      </c>
      <c r="K176" s="432">
        <f>'Operating Expenses'!H76</f>
        <v>0</v>
      </c>
      <c r="L176" s="432">
        <f>'Operating Expenses'!I76</f>
        <v>0</v>
      </c>
      <c r="M176" s="432">
        <f>'Operating Expenses'!J76</f>
        <v>0</v>
      </c>
      <c r="N176" s="432">
        <f>'Operating Expenses'!K76</f>
        <v>0</v>
      </c>
      <c r="O176" s="432">
        <f>'Operating Expenses'!L76</f>
        <v>0</v>
      </c>
      <c r="P176" s="432">
        <f>'Operating Expenses'!M76</f>
        <v>0</v>
      </c>
      <c r="Q176" s="432">
        <f>'Operating Expenses'!N76</f>
        <v>0</v>
      </c>
      <c r="R176" s="431">
        <f t="shared" si="33"/>
        <v>0</v>
      </c>
      <c r="T176" s="448" t="str">
        <f>+IF('Operating Expenses'!Q76="","",'Operating Expenses'!Q76)</f>
        <v/>
      </c>
    </row>
    <row r="177" spans="1:20" ht="14" outlineLevel="1">
      <c r="A177" s="319">
        <f>INDEX(QS_Chart_Of_Accounts_Upload!$C:$O,MATCH(B177,QS_Chart_Of_Accounts_Upload!$E:$E,0),MATCH("ACCT_NO",QS_Chart_Of_Accounts_Upload!$C$1:$O$1,0))</f>
        <v>6010</v>
      </c>
      <c r="B177" s="319" t="str">
        <f>'Operating Expenses'!B77</f>
        <v>Building Exterior Repairs</v>
      </c>
      <c r="C177" s="319"/>
      <c r="D177" s="431">
        <f t="shared" si="32"/>
        <v>450</v>
      </c>
      <c r="E177" s="319"/>
      <c r="F177" s="432">
        <f>'Operating Expenses'!C77</f>
        <v>0</v>
      </c>
      <c r="G177" s="432">
        <f>'Operating Expenses'!D77</f>
        <v>0</v>
      </c>
      <c r="H177" s="432">
        <f>'Operating Expenses'!E77</f>
        <v>50</v>
      </c>
      <c r="I177" s="432">
        <f>'Operating Expenses'!F77</f>
        <v>0</v>
      </c>
      <c r="J177" s="432">
        <f>'Operating Expenses'!G77</f>
        <v>0</v>
      </c>
      <c r="K177" s="432">
        <f>'Operating Expenses'!H77</f>
        <v>0</v>
      </c>
      <c r="L177" s="432">
        <f>'Operating Expenses'!I77</f>
        <v>50</v>
      </c>
      <c r="M177" s="432">
        <f>'Operating Expenses'!J77</f>
        <v>50</v>
      </c>
      <c r="N177" s="432">
        <f>'Operating Expenses'!K77</f>
        <v>50</v>
      </c>
      <c r="O177" s="432">
        <f>'Operating Expenses'!L77</f>
        <v>75</v>
      </c>
      <c r="P177" s="432">
        <f>'Operating Expenses'!M77</f>
        <v>75</v>
      </c>
      <c r="Q177" s="432">
        <f>'Operating Expenses'!N77</f>
        <v>100</v>
      </c>
      <c r="R177" s="431">
        <f t="shared" si="33"/>
        <v>450</v>
      </c>
      <c r="T177" s="448" t="str">
        <f>+IF('Operating Expenses'!Q77="","",'Operating Expenses'!Q77)</f>
        <v/>
      </c>
    </row>
    <row r="178" spans="1:20" ht="14" outlineLevel="1">
      <c r="A178" s="319">
        <f>INDEX(QS_Chart_Of_Accounts_Upload!$C:$O,MATCH(B178,QS_Chart_Of_Accounts_Upload!$E:$E,0),MATCH("ACCT_NO",QS_Chart_Of_Accounts_Upload!$C$1:$O$1,0))</f>
        <v>6020</v>
      </c>
      <c r="B178" s="319" t="str">
        <f>'Operating Expenses'!B78</f>
        <v>Building Interior Repairs</v>
      </c>
      <c r="C178" s="319"/>
      <c r="D178" s="431">
        <f t="shared" si="32"/>
        <v>450</v>
      </c>
      <c r="E178" s="319"/>
      <c r="F178" s="432">
        <f>'Operating Expenses'!C78</f>
        <v>0</v>
      </c>
      <c r="G178" s="432">
        <f>'Operating Expenses'!D78</f>
        <v>0</v>
      </c>
      <c r="H178" s="432">
        <f>'Operating Expenses'!E78</f>
        <v>50</v>
      </c>
      <c r="I178" s="432">
        <f>'Operating Expenses'!F78</f>
        <v>0</v>
      </c>
      <c r="J178" s="432">
        <f>'Operating Expenses'!G78</f>
        <v>0</v>
      </c>
      <c r="K178" s="432">
        <f>'Operating Expenses'!H78</f>
        <v>0</v>
      </c>
      <c r="L178" s="432">
        <f>'Operating Expenses'!I78</f>
        <v>50</v>
      </c>
      <c r="M178" s="432">
        <f>'Operating Expenses'!J78</f>
        <v>50</v>
      </c>
      <c r="N178" s="432">
        <f>'Operating Expenses'!K78</f>
        <v>50</v>
      </c>
      <c r="O178" s="432">
        <f>'Operating Expenses'!L78</f>
        <v>75</v>
      </c>
      <c r="P178" s="432">
        <f>'Operating Expenses'!M78</f>
        <v>75</v>
      </c>
      <c r="Q178" s="432">
        <f>'Operating Expenses'!N78</f>
        <v>100</v>
      </c>
      <c r="R178" s="431">
        <f t="shared" si="33"/>
        <v>450</v>
      </c>
      <c r="T178" s="448" t="str">
        <f>+IF('Operating Expenses'!Q78="","",'Operating Expenses'!Q78)</f>
        <v/>
      </c>
    </row>
    <row r="179" spans="1:20" ht="14" outlineLevel="1">
      <c r="A179" s="319">
        <f>INDEX(QS_Chart_Of_Accounts_Upload!$C:$O,MATCH(B179,QS_Chart_Of_Accounts_Upload!$E:$E,0),MATCH("ACCT_NO",QS_Chart_Of_Accounts_Upload!$C$1:$O$1,0))</f>
        <v>6100</v>
      </c>
      <c r="B179" s="319" t="str">
        <f>'Operating Expenses'!B79</f>
        <v>Business Center</v>
      </c>
      <c r="C179" s="319"/>
      <c r="D179" s="431">
        <f t="shared" si="32"/>
        <v>0</v>
      </c>
      <c r="E179" s="319"/>
      <c r="F179" s="432">
        <f>'Operating Expenses'!C79</f>
        <v>0</v>
      </c>
      <c r="G179" s="432">
        <f>'Operating Expenses'!D79</f>
        <v>0</v>
      </c>
      <c r="H179" s="432">
        <f>'Operating Expenses'!E79</f>
        <v>0</v>
      </c>
      <c r="I179" s="432">
        <f>'Operating Expenses'!F79</f>
        <v>0</v>
      </c>
      <c r="J179" s="432">
        <f>'Operating Expenses'!G79</f>
        <v>0</v>
      </c>
      <c r="K179" s="432">
        <f>'Operating Expenses'!H79</f>
        <v>0</v>
      </c>
      <c r="L179" s="432">
        <f>'Operating Expenses'!I79</f>
        <v>0</v>
      </c>
      <c r="M179" s="432">
        <f>'Operating Expenses'!J79</f>
        <v>0</v>
      </c>
      <c r="N179" s="432">
        <f>'Operating Expenses'!K79</f>
        <v>0</v>
      </c>
      <c r="O179" s="432">
        <f>'Operating Expenses'!L79</f>
        <v>0</v>
      </c>
      <c r="P179" s="432">
        <f>'Operating Expenses'!M79</f>
        <v>0</v>
      </c>
      <c r="Q179" s="432">
        <f>'Operating Expenses'!N79</f>
        <v>0</v>
      </c>
      <c r="R179" s="431">
        <f t="shared" si="33"/>
        <v>0</v>
      </c>
      <c r="T179" s="448" t="str">
        <f>+IF('Operating Expenses'!Q79="","",'Operating Expenses'!Q79)</f>
        <v/>
      </c>
    </row>
    <row r="180" spans="1:20" ht="14" outlineLevel="1">
      <c r="A180" s="319">
        <f>INDEX(QS_Chart_Of_Accounts_Upload!$C:$O,MATCH(B180,QS_Chart_Of_Accounts_Upload!$E:$E,0),MATCH("ACCT_NO",QS_Chart_Of_Accounts_Upload!$C$1:$O$1,0))</f>
        <v>6120</v>
      </c>
      <c r="B180" s="319" t="str">
        <f>'Operating Expenses'!B80</f>
        <v>Carpet and Floor Cleaning / Repair</v>
      </c>
      <c r="C180" s="319"/>
      <c r="D180" s="431">
        <f t="shared" si="32"/>
        <v>0</v>
      </c>
      <c r="E180" s="319"/>
      <c r="F180" s="432">
        <f>'Operating Expenses'!C80</f>
        <v>0</v>
      </c>
      <c r="G180" s="432">
        <f>'Operating Expenses'!D80</f>
        <v>0</v>
      </c>
      <c r="H180" s="432">
        <f>'Operating Expenses'!E80</f>
        <v>0</v>
      </c>
      <c r="I180" s="432">
        <f>'Operating Expenses'!F80</f>
        <v>0</v>
      </c>
      <c r="J180" s="432">
        <f>'Operating Expenses'!G80</f>
        <v>0</v>
      </c>
      <c r="K180" s="432">
        <f>'Operating Expenses'!H80</f>
        <v>0</v>
      </c>
      <c r="L180" s="432">
        <f>'Operating Expenses'!I80</f>
        <v>0</v>
      </c>
      <c r="M180" s="432">
        <f>'Operating Expenses'!J80</f>
        <v>0</v>
      </c>
      <c r="N180" s="432">
        <f>'Operating Expenses'!K80</f>
        <v>0</v>
      </c>
      <c r="O180" s="432">
        <f>'Operating Expenses'!L80</f>
        <v>0</v>
      </c>
      <c r="P180" s="432">
        <f>'Operating Expenses'!M80</f>
        <v>0</v>
      </c>
      <c r="Q180" s="432">
        <f>'Operating Expenses'!N80</f>
        <v>0</v>
      </c>
      <c r="R180" s="431">
        <f t="shared" si="33"/>
        <v>0</v>
      </c>
      <c r="T180" s="448" t="str">
        <f>+IF('Operating Expenses'!Q80="","",'Operating Expenses'!Q80)</f>
        <v/>
      </c>
    </row>
    <row r="181" spans="1:20" ht="14" outlineLevel="1">
      <c r="A181" s="319">
        <f>INDEX(QS_Chart_Of_Accounts_Upload!$C:$O,MATCH(B181,QS_Chart_Of_Accounts_Upload!$E:$E,0),MATCH("ACCT_NO",QS_Chart_Of_Accounts_Upload!$C$1:$O$1,0))</f>
        <v>6121</v>
      </c>
      <c r="B181" s="319" t="str">
        <f>'Operating Expenses'!B81</f>
        <v>Cleaning R&amp;M</v>
      </c>
      <c r="C181" s="319"/>
      <c r="D181" s="431">
        <f t="shared" si="32"/>
        <v>0</v>
      </c>
      <c r="E181" s="319"/>
      <c r="F181" s="432">
        <f>'Operating Expenses'!C81</f>
        <v>0</v>
      </c>
      <c r="G181" s="432">
        <f>'Operating Expenses'!D81</f>
        <v>0</v>
      </c>
      <c r="H181" s="432">
        <f>'Operating Expenses'!E81</f>
        <v>0</v>
      </c>
      <c r="I181" s="432">
        <f>'Operating Expenses'!F81</f>
        <v>0</v>
      </c>
      <c r="J181" s="432">
        <f>'Operating Expenses'!G81</f>
        <v>0</v>
      </c>
      <c r="K181" s="432">
        <f>'Operating Expenses'!H81</f>
        <v>0</v>
      </c>
      <c r="L181" s="432">
        <f>'Operating Expenses'!I81</f>
        <v>0</v>
      </c>
      <c r="M181" s="432">
        <f>'Operating Expenses'!J81</f>
        <v>0</v>
      </c>
      <c r="N181" s="432">
        <f>'Operating Expenses'!K81</f>
        <v>0</v>
      </c>
      <c r="O181" s="432">
        <f>'Operating Expenses'!L81</f>
        <v>0</v>
      </c>
      <c r="P181" s="432">
        <f>'Operating Expenses'!M81</f>
        <v>0</v>
      </c>
      <c r="Q181" s="432">
        <f>'Operating Expenses'!N81</f>
        <v>0</v>
      </c>
      <c r="R181" s="431">
        <f t="shared" si="33"/>
        <v>0</v>
      </c>
      <c r="T181" s="448" t="str">
        <f>+IF('Operating Expenses'!Q81="","",'Operating Expenses'!Q81)</f>
        <v/>
      </c>
    </row>
    <row r="182" spans="1:20" ht="14" outlineLevel="1">
      <c r="A182" s="319">
        <f>INDEX(QS_Chart_Of_Accounts_Upload!$C:$O,MATCH(B182,QS_Chart_Of_Accounts_Upload!$E:$E,0),MATCH("ACCT_NO",QS_Chart_Of_Accounts_Upload!$C$1:$O$1,0))</f>
        <v>6130</v>
      </c>
      <c r="B182" s="319" t="str">
        <f>'Operating Expenses'!B82</f>
        <v>Club Room</v>
      </c>
      <c r="C182" s="319"/>
      <c r="D182" s="431">
        <f t="shared" si="32"/>
        <v>0</v>
      </c>
      <c r="E182" s="319"/>
      <c r="F182" s="432">
        <f>'Operating Expenses'!C82</f>
        <v>0</v>
      </c>
      <c r="G182" s="432">
        <f>'Operating Expenses'!D82</f>
        <v>0</v>
      </c>
      <c r="H182" s="432">
        <f>'Operating Expenses'!E82</f>
        <v>0</v>
      </c>
      <c r="I182" s="432">
        <f>'Operating Expenses'!F82</f>
        <v>0</v>
      </c>
      <c r="J182" s="432">
        <f>'Operating Expenses'!G82</f>
        <v>0</v>
      </c>
      <c r="K182" s="432">
        <f>'Operating Expenses'!H82</f>
        <v>0</v>
      </c>
      <c r="L182" s="432">
        <f>'Operating Expenses'!I82</f>
        <v>0</v>
      </c>
      <c r="M182" s="432">
        <f>'Operating Expenses'!J82</f>
        <v>0</v>
      </c>
      <c r="N182" s="432">
        <f>'Operating Expenses'!K82</f>
        <v>0</v>
      </c>
      <c r="O182" s="432">
        <f>'Operating Expenses'!L82</f>
        <v>0</v>
      </c>
      <c r="P182" s="432">
        <f>'Operating Expenses'!M82</f>
        <v>0</v>
      </c>
      <c r="Q182" s="432">
        <f>'Operating Expenses'!N82</f>
        <v>0</v>
      </c>
      <c r="R182" s="431">
        <f t="shared" si="33"/>
        <v>0</v>
      </c>
      <c r="T182" s="448" t="str">
        <f>+IF('Operating Expenses'!Q82="","",'Operating Expenses'!Q82)</f>
        <v/>
      </c>
    </row>
    <row r="183" spans="1:20" ht="14" outlineLevel="1">
      <c r="A183" s="319">
        <f>INDEX(QS_Chart_Of_Accounts_Upload!$C:$O,MATCH(B183,QS_Chart_Of_Accounts_Upload!$E:$E,0),MATCH("ACCT_NO",QS_Chart_Of_Accounts_Upload!$C$1:$O$1,0))</f>
        <v>6140</v>
      </c>
      <c r="B183" s="319" t="str">
        <f>'Operating Expenses'!B83</f>
        <v>Common Area Repairs</v>
      </c>
      <c r="C183" s="319"/>
      <c r="D183" s="431">
        <f t="shared" si="32"/>
        <v>0</v>
      </c>
      <c r="E183" s="319"/>
      <c r="F183" s="432">
        <f>'Operating Expenses'!C83</f>
        <v>0</v>
      </c>
      <c r="G183" s="432">
        <f>'Operating Expenses'!D83</f>
        <v>0</v>
      </c>
      <c r="H183" s="432">
        <f>'Operating Expenses'!E83</f>
        <v>0</v>
      </c>
      <c r="I183" s="432">
        <f>'Operating Expenses'!F83</f>
        <v>0</v>
      </c>
      <c r="J183" s="432">
        <f>'Operating Expenses'!G83</f>
        <v>0</v>
      </c>
      <c r="K183" s="432">
        <f>'Operating Expenses'!H83</f>
        <v>0</v>
      </c>
      <c r="L183" s="432">
        <f>'Operating Expenses'!I83</f>
        <v>0</v>
      </c>
      <c r="M183" s="432">
        <f>'Operating Expenses'!J83</f>
        <v>0</v>
      </c>
      <c r="N183" s="432">
        <f>'Operating Expenses'!K83</f>
        <v>0</v>
      </c>
      <c r="O183" s="432">
        <f>'Operating Expenses'!L83</f>
        <v>0</v>
      </c>
      <c r="P183" s="432">
        <f>'Operating Expenses'!M83</f>
        <v>0</v>
      </c>
      <c r="Q183" s="432">
        <f>'Operating Expenses'!N83</f>
        <v>0</v>
      </c>
      <c r="R183" s="431">
        <f t="shared" si="33"/>
        <v>0</v>
      </c>
      <c r="T183" s="448" t="str">
        <f>+IF('Operating Expenses'!Q83="","",'Operating Expenses'!Q83)</f>
        <v/>
      </c>
    </row>
    <row r="184" spans="1:20" ht="14" outlineLevel="1">
      <c r="A184" s="319">
        <f>INDEX(QS_Chart_Of_Accounts_Upload!$C:$O,MATCH(B184,QS_Chart_Of_Accounts_Upload!$E:$E,0),MATCH("ACCT_NO",QS_Chart_Of_Accounts_Upload!$C$1:$O$1,0))</f>
        <v>6145.1</v>
      </c>
      <c r="B184" s="319" t="str">
        <f>'Operating Expenses'!B84</f>
        <v>Compactor</v>
      </c>
      <c r="C184" s="319"/>
      <c r="D184" s="431">
        <f t="shared" si="32"/>
        <v>0</v>
      </c>
      <c r="E184" s="319"/>
      <c r="F184" s="432">
        <f>'Operating Expenses'!C84</f>
        <v>0</v>
      </c>
      <c r="G184" s="432">
        <f>'Operating Expenses'!D84</f>
        <v>0</v>
      </c>
      <c r="H184" s="432">
        <f>'Operating Expenses'!E84</f>
        <v>0</v>
      </c>
      <c r="I184" s="432">
        <f>'Operating Expenses'!F84</f>
        <v>0</v>
      </c>
      <c r="J184" s="432">
        <f>'Operating Expenses'!G84</f>
        <v>0</v>
      </c>
      <c r="K184" s="432">
        <f>'Operating Expenses'!H84</f>
        <v>0</v>
      </c>
      <c r="L184" s="432">
        <f>'Operating Expenses'!I84</f>
        <v>0</v>
      </c>
      <c r="M184" s="432">
        <f>'Operating Expenses'!J84</f>
        <v>0</v>
      </c>
      <c r="N184" s="432">
        <f>'Operating Expenses'!K84</f>
        <v>0</v>
      </c>
      <c r="O184" s="432">
        <f>'Operating Expenses'!L84</f>
        <v>0</v>
      </c>
      <c r="P184" s="432">
        <f>'Operating Expenses'!M84</f>
        <v>0</v>
      </c>
      <c r="Q184" s="432">
        <f>'Operating Expenses'!N84</f>
        <v>0</v>
      </c>
      <c r="R184" s="431">
        <f t="shared" si="33"/>
        <v>0</v>
      </c>
      <c r="T184" s="448" t="str">
        <f>+IF('Operating Expenses'!Q84="","",'Operating Expenses'!Q84)</f>
        <v/>
      </c>
    </row>
    <row r="185" spans="1:20" ht="14" outlineLevel="1">
      <c r="A185" s="319">
        <f>INDEX(QS_Chart_Of_Accounts_Upload!$C:$O,MATCH(B185,QS_Chart_Of_Accounts_Upload!$E:$E,0),MATCH("ACCT_NO",QS_Chart_Of_Accounts_Upload!$C$1:$O$1,0))</f>
        <v>6146</v>
      </c>
      <c r="B185" s="319" t="str">
        <f>'Operating Expenses'!B85</f>
        <v>Generator</v>
      </c>
      <c r="C185" s="319"/>
      <c r="D185" s="431">
        <f t="shared" si="32"/>
        <v>0</v>
      </c>
      <c r="E185" s="319"/>
      <c r="F185" s="432">
        <f>'Operating Expenses'!C85</f>
        <v>0</v>
      </c>
      <c r="G185" s="432">
        <f>'Operating Expenses'!D85</f>
        <v>0</v>
      </c>
      <c r="H185" s="432">
        <f>'Operating Expenses'!E85</f>
        <v>0</v>
      </c>
      <c r="I185" s="432">
        <f>'Operating Expenses'!F85</f>
        <v>0</v>
      </c>
      <c r="J185" s="432">
        <f>'Operating Expenses'!G85</f>
        <v>0</v>
      </c>
      <c r="K185" s="432">
        <f>'Operating Expenses'!H85</f>
        <v>0</v>
      </c>
      <c r="L185" s="432">
        <f>'Operating Expenses'!I85</f>
        <v>0</v>
      </c>
      <c r="M185" s="432">
        <f>'Operating Expenses'!J85</f>
        <v>0</v>
      </c>
      <c r="N185" s="432">
        <f>'Operating Expenses'!K85</f>
        <v>0</v>
      </c>
      <c r="O185" s="432">
        <f>'Operating Expenses'!L85</f>
        <v>0</v>
      </c>
      <c r="P185" s="432">
        <f>'Operating Expenses'!M85</f>
        <v>0</v>
      </c>
      <c r="Q185" s="432">
        <f>'Operating Expenses'!N85</f>
        <v>0</v>
      </c>
      <c r="R185" s="431">
        <f t="shared" si="33"/>
        <v>0</v>
      </c>
      <c r="T185" s="448" t="str">
        <f>+IF('Operating Expenses'!Q85="","",'Operating Expenses'!Q85)</f>
        <v/>
      </c>
    </row>
    <row r="186" spans="1:20" ht="14" outlineLevel="1">
      <c r="A186" s="319">
        <f>INDEX(QS_Chart_Of_Accounts_Upload!$C:$O,MATCH(B186,QS_Chart_Of_Accounts_Upload!$E:$E,0),MATCH("ACCT_NO",QS_Chart_Of_Accounts_Upload!$C$1:$O$1,0))</f>
        <v>6160</v>
      </c>
      <c r="B186" s="319" t="str">
        <f>'Operating Expenses'!B86</f>
        <v>Electrical Supplies and Services</v>
      </c>
      <c r="C186" s="319"/>
      <c r="D186" s="431">
        <f t="shared" si="32"/>
        <v>450</v>
      </c>
      <c r="E186" s="319"/>
      <c r="F186" s="432">
        <f>'Operating Expenses'!C86</f>
        <v>0</v>
      </c>
      <c r="G186" s="432">
        <f>'Operating Expenses'!D86</f>
        <v>0</v>
      </c>
      <c r="H186" s="432">
        <f>'Operating Expenses'!E86</f>
        <v>50</v>
      </c>
      <c r="I186" s="432">
        <f>'Operating Expenses'!F86</f>
        <v>0</v>
      </c>
      <c r="J186" s="432">
        <f>'Operating Expenses'!G86</f>
        <v>0</v>
      </c>
      <c r="K186" s="432">
        <f>'Operating Expenses'!H86</f>
        <v>0</v>
      </c>
      <c r="L186" s="432">
        <f>'Operating Expenses'!I86</f>
        <v>50</v>
      </c>
      <c r="M186" s="432">
        <f>'Operating Expenses'!J86</f>
        <v>50</v>
      </c>
      <c r="N186" s="432">
        <f>'Operating Expenses'!K86</f>
        <v>50</v>
      </c>
      <c r="O186" s="432">
        <f>'Operating Expenses'!L86</f>
        <v>75</v>
      </c>
      <c r="P186" s="432">
        <f>'Operating Expenses'!M86</f>
        <v>75</v>
      </c>
      <c r="Q186" s="432">
        <f>'Operating Expenses'!N86</f>
        <v>100</v>
      </c>
      <c r="R186" s="431">
        <f t="shared" si="33"/>
        <v>450</v>
      </c>
      <c r="T186" s="448" t="str">
        <f>+IF('Operating Expenses'!Q86="","",'Operating Expenses'!Q86)</f>
        <v/>
      </c>
    </row>
    <row r="187" spans="1:20" ht="14" outlineLevel="1">
      <c r="A187" s="319">
        <f>INDEX(QS_Chart_Of_Accounts_Upload!$C:$O,MATCH(B187,QS_Chart_Of_Accounts_Upload!$E:$E,0),MATCH("ACCT_NO",QS_Chart_Of_Accounts_Upload!$C$1:$O$1,0))</f>
        <v>6165</v>
      </c>
      <c r="B187" s="319" t="str">
        <f>'Operating Expenses'!B87</f>
        <v>Elevator Repairs</v>
      </c>
      <c r="C187" s="319"/>
      <c r="D187" s="431">
        <f t="shared" si="32"/>
        <v>0</v>
      </c>
      <c r="E187" s="319"/>
      <c r="F187" s="432">
        <f>'Operating Expenses'!C87</f>
        <v>0</v>
      </c>
      <c r="G187" s="432">
        <f>'Operating Expenses'!D87</f>
        <v>0</v>
      </c>
      <c r="H187" s="432">
        <f>'Operating Expenses'!E87</f>
        <v>0</v>
      </c>
      <c r="I187" s="432">
        <f>'Operating Expenses'!F87</f>
        <v>0</v>
      </c>
      <c r="J187" s="432">
        <f>'Operating Expenses'!G87</f>
        <v>0</v>
      </c>
      <c r="K187" s="432">
        <f>'Operating Expenses'!H87</f>
        <v>0</v>
      </c>
      <c r="L187" s="432">
        <f>'Operating Expenses'!I87</f>
        <v>0</v>
      </c>
      <c r="M187" s="432">
        <f>'Operating Expenses'!J87</f>
        <v>0</v>
      </c>
      <c r="N187" s="432">
        <f>'Operating Expenses'!K87</f>
        <v>0</v>
      </c>
      <c r="O187" s="432">
        <f>'Operating Expenses'!L87</f>
        <v>0</v>
      </c>
      <c r="P187" s="432">
        <f>'Operating Expenses'!M87</f>
        <v>0</v>
      </c>
      <c r="Q187" s="432">
        <f>'Operating Expenses'!N87</f>
        <v>0</v>
      </c>
      <c r="R187" s="431">
        <f t="shared" si="33"/>
        <v>0</v>
      </c>
      <c r="T187" s="448" t="str">
        <f>+IF('Operating Expenses'!Q87="","",'Operating Expenses'!Q87)</f>
        <v/>
      </c>
    </row>
    <row r="188" spans="1:20" ht="14" outlineLevel="1">
      <c r="A188" s="319">
        <f>INDEX(QS_Chart_Of_Accounts_Upload!$C:$O,MATCH(B188,QS_Chart_Of_Accounts_Upload!$E:$E,0),MATCH("ACCT_NO",QS_Chart_Of_Accounts_Upload!$C$1:$O$1,0))</f>
        <v>6170</v>
      </c>
      <c r="B188" s="319" t="str">
        <f>'Operating Expenses'!B88</f>
        <v>Equipment Repairs</v>
      </c>
      <c r="C188" s="319"/>
      <c r="D188" s="431">
        <f t="shared" si="32"/>
        <v>0</v>
      </c>
      <c r="E188" s="319"/>
      <c r="F188" s="432">
        <f>'Operating Expenses'!C88</f>
        <v>0</v>
      </c>
      <c r="G188" s="432">
        <f>'Operating Expenses'!D88</f>
        <v>0</v>
      </c>
      <c r="H188" s="432">
        <f>'Operating Expenses'!E88</f>
        <v>0</v>
      </c>
      <c r="I188" s="432">
        <f>'Operating Expenses'!F88</f>
        <v>0</v>
      </c>
      <c r="J188" s="432">
        <f>'Operating Expenses'!G88</f>
        <v>0</v>
      </c>
      <c r="K188" s="432">
        <f>'Operating Expenses'!H88</f>
        <v>0</v>
      </c>
      <c r="L188" s="432">
        <f>'Operating Expenses'!I88</f>
        <v>0</v>
      </c>
      <c r="M188" s="432">
        <f>'Operating Expenses'!J88</f>
        <v>0</v>
      </c>
      <c r="N188" s="432">
        <f>'Operating Expenses'!K88</f>
        <v>0</v>
      </c>
      <c r="O188" s="432">
        <f>'Operating Expenses'!L88</f>
        <v>0</v>
      </c>
      <c r="P188" s="432">
        <f>'Operating Expenses'!M88</f>
        <v>0</v>
      </c>
      <c r="Q188" s="432">
        <f>'Operating Expenses'!N88</f>
        <v>0</v>
      </c>
      <c r="R188" s="431">
        <f t="shared" si="33"/>
        <v>0</v>
      </c>
      <c r="T188" s="448" t="str">
        <f>+IF('Operating Expenses'!Q88="","",'Operating Expenses'!Q88)</f>
        <v/>
      </c>
    </row>
    <row r="189" spans="1:20" ht="14" outlineLevel="1">
      <c r="A189" s="319">
        <f>INDEX(QS_Chart_Of_Accounts_Upload!$C:$O,MATCH(B189,QS_Chart_Of_Accounts_Upload!$E:$E,0),MATCH("ACCT_NO",QS_Chart_Of_Accounts_Upload!$C$1:$O$1,0))</f>
        <v>6180</v>
      </c>
      <c r="B189" s="319" t="str">
        <f>'Operating Expenses'!B89</f>
        <v>Fitness Center</v>
      </c>
      <c r="C189" s="319"/>
      <c r="D189" s="431">
        <f t="shared" si="32"/>
        <v>0</v>
      </c>
      <c r="E189" s="319"/>
      <c r="F189" s="432">
        <f>'Operating Expenses'!C89</f>
        <v>0</v>
      </c>
      <c r="G189" s="432">
        <f>'Operating Expenses'!D89</f>
        <v>0</v>
      </c>
      <c r="H189" s="432">
        <f>'Operating Expenses'!E89</f>
        <v>0</v>
      </c>
      <c r="I189" s="432">
        <f>'Operating Expenses'!F89</f>
        <v>0</v>
      </c>
      <c r="J189" s="432">
        <f>'Operating Expenses'!G89</f>
        <v>0</v>
      </c>
      <c r="K189" s="432">
        <f>'Operating Expenses'!H89</f>
        <v>0</v>
      </c>
      <c r="L189" s="432">
        <f>'Operating Expenses'!I89</f>
        <v>0</v>
      </c>
      <c r="M189" s="432">
        <f>'Operating Expenses'!J89</f>
        <v>0</v>
      </c>
      <c r="N189" s="432">
        <f>'Operating Expenses'!K89</f>
        <v>0</v>
      </c>
      <c r="O189" s="432">
        <f>'Operating Expenses'!L89</f>
        <v>0</v>
      </c>
      <c r="P189" s="432">
        <f>'Operating Expenses'!M89</f>
        <v>0</v>
      </c>
      <c r="Q189" s="432">
        <f>'Operating Expenses'!N89</f>
        <v>0</v>
      </c>
      <c r="R189" s="431">
        <f t="shared" si="33"/>
        <v>0</v>
      </c>
      <c r="T189" s="448" t="str">
        <f>+IF('Operating Expenses'!Q89="","",'Operating Expenses'!Q89)</f>
        <v/>
      </c>
    </row>
    <row r="190" spans="1:20" ht="14" outlineLevel="1">
      <c r="A190" s="319">
        <f>INDEX(QS_Chart_Of_Accounts_Upload!$C:$O,MATCH(B190,QS_Chart_Of_Accounts_Upload!$E:$E,0),MATCH("ACCT_NO",QS_Chart_Of_Accounts_Upload!$C$1:$O$1,0))</f>
        <v>6190</v>
      </c>
      <c r="B190" s="319" t="str">
        <f>'Operating Expenses'!B90</f>
        <v>Garage Repairs and Maintenance</v>
      </c>
      <c r="C190" s="319"/>
      <c r="D190" s="431">
        <f t="shared" si="32"/>
        <v>0</v>
      </c>
      <c r="E190" s="319"/>
      <c r="F190" s="432">
        <f>'Operating Expenses'!C90</f>
        <v>0</v>
      </c>
      <c r="G190" s="432">
        <f>'Operating Expenses'!D90</f>
        <v>0</v>
      </c>
      <c r="H190" s="432">
        <f>'Operating Expenses'!E90</f>
        <v>0</v>
      </c>
      <c r="I190" s="432">
        <f>'Operating Expenses'!F90</f>
        <v>0</v>
      </c>
      <c r="J190" s="432">
        <f>'Operating Expenses'!G90</f>
        <v>0</v>
      </c>
      <c r="K190" s="432">
        <f>'Operating Expenses'!H90</f>
        <v>0</v>
      </c>
      <c r="L190" s="432">
        <f>'Operating Expenses'!I90</f>
        <v>0</v>
      </c>
      <c r="M190" s="432">
        <f>'Operating Expenses'!J90</f>
        <v>0</v>
      </c>
      <c r="N190" s="432">
        <f>'Operating Expenses'!K90</f>
        <v>0</v>
      </c>
      <c r="O190" s="432">
        <f>'Operating Expenses'!L90</f>
        <v>0</v>
      </c>
      <c r="P190" s="432">
        <f>'Operating Expenses'!M90</f>
        <v>0</v>
      </c>
      <c r="Q190" s="432">
        <f>'Operating Expenses'!N90</f>
        <v>0</v>
      </c>
      <c r="R190" s="431">
        <f t="shared" si="33"/>
        <v>0</v>
      </c>
      <c r="T190" s="448" t="str">
        <f>+IF('Operating Expenses'!Q90="","",'Operating Expenses'!Q90)</f>
        <v/>
      </c>
    </row>
    <row r="191" spans="1:20" ht="14" outlineLevel="1">
      <c r="A191" s="319">
        <f>INDEX(QS_Chart_Of_Accounts_Upload!$C:$O,MATCH(B191,QS_Chart_Of_Accounts_Upload!$E:$E,0),MATCH("ACCT_NO",QS_Chart_Of_Accounts_Upload!$C$1:$O$1,0))</f>
        <v>6200</v>
      </c>
      <c r="B191" s="319" t="str">
        <f>'Operating Expenses'!B91</f>
        <v>Garbage Disposals</v>
      </c>
      <c r="C191" s="319"/>
      <c r="D191" s="431">
        <f t="shared" si="32"/>
        <v>0</v>
      </c>
      <c r="E191" s="319"/>
      <c r="F191" s="432">
        <f>'Operating Expenses'!C91</f>
        <v>0</v>
      </c>
      <c r="G191" s="432">
        <f>'Operating Expenses'!D91</f>
        <v>0</v>
      </c>
      <c r="H191" s="432">
        <f>'Operating Expenses'!E91</f>
        <v>0</v>
      </c>
      <c r="I191" s="432">
        <f>'Operating Expenses'!F91</f>
        <v>0</v>
      </c>
      <c r="J191" s="432">
        <f>'Operating Expenses'!G91</f>
        <v>0</v>
      </c>
      <c r="K191" s="432">
        <f>'Operating Expenses'!H91</f>
        <v>0</v>
      </c>
      <c r="L191" s="432">
        <f>'Operating Expenses'!I91</f>
        <v>0</v>
      </c>
      <c r="M191" s="432">
        <f>'Operating Expenses'!J91</f>
        <v>0</v>
      </c>
      <c r="N191" s="432">
        <f>'Operating Expenses'!K91</f>
        <v>0</v>
      </c>
      <c r="O191" s="432">
        <f>'Operating Expenses'!L91</f>
        <v>0</v>
      </c>
      <c r="P191" s="432">
        <f>'Operating Expenses'!M91</f>
        <v>0</v>
      </c>
      <c r="Q191" s="432">
        <f>'Operating Expenses'!N91</f>
        <v>0</v>
      </c>
      <c r="R191" s="431">
        <f t="shared" si="33"/>
        <v>0</v>
      </c>
      <c r="T191" s="448" t="str">
        <f>+IF('Operating Expenses'!Q91="","",'Operating Expenses'!Q91)</f>
        <v/>
      </c>
    </row>
    <row r="192" spans="1:20" ht="14" outlineLevel="1">
      <c r="A192" s="319">
        <f>INDEX(QS_Chart_Of_Accounts_Upload!$C:$O,MATCH(B192,QS_Chart_Of_Accounts_Upload!$E:$E,0),MATCH("ACCT_NO",QS_Chart_Of_Accounts_Upload!$C$1:$O$1,0))</f>
        <v>6210</v>
      </c>
      <c r="B192" s="319" t="str">
        <f>'Operating Expenses'!B92</f>
        <v>Garbage Repairs and Maintenance</v>
      </c>
      <c r="C192" s="319"/>
      <c r="D192" s="431">
        <f t="shared" si="32"/>
        <v>0</v>
      </c>
      <c r="E192" s="319"/>
      <c r="F192" s="432">
        <f>'Operating Expenses'!C92</f>
        <v>0</v>
      </c>
      <c r="G192" s="432">
        <f>'Operating Expenses'!D92</f>
        <v>0</v>
      </c>
      <c r="H192" s="432">
        <f>'Operating Expenses'!E92</f>
        <v>0</v>
      </c>
      <c r="I192" s="432">
        <f>'Operating Expenses'!F92</f>
        <v>0</v>
      </c>
      <c r="J192" s="432">
        <f>'Operating Expenses'!G92</f>
        <v>0</v>
      </c>
      <c r="K192" s="432">
        <f>'Operating Expenses'!H92</f>
        <v>0</v>
      </c>
      <c r="L192" s="432">
        <f>'Operating Expenses'!I92</f>
        <v>0</v>
      </c>
      <c r="M192" s="432">
        <f>'Operating Expenses'!J92</f>
        <v>0</v>
      </c>
      <c r="N192" s="432">
        <f>'Operating Expenses'!K92</f>
        <v>0</v>
      </c>
      <c r="O192" s="432">
        <f>'Operating Expenses'!L92</f>
        <v>0</v>
      </c>
      <c r="P192" s="432">
        <f>'Operating Expenses'!M92</f>
        <v>0</v>
      </c>
      <c r="Q192" s="432">
        <f>'Operating Expenses'!N92</f>
        <v>0</v>
      </c>
      <c r="R192" s="431">
        <f t="shared" si="33"/>
        <v>0</v>
      </c>
      <c r="T192" s="448" t="str">
        <f>+IF('Operating Expenses'!Q92="","",'Operating Expenses'!Q92)</f>
        <v/>
      </c>
    </row>
    <row r="193" spans="1:20" ht="14" outlineLevel="1">
      <c r="A193" s="319">
        <f>INDEX(QS_Chart_Of_Accounts_Upload!$C:$O,MATCH(B193,QS_Chart_Of_Accounts_Upload!$E:$E,0),MATCH("ACCT_NO",QS_Chart_Of_Accounts_Upload!$C$1:$O$1,0))</f>
        <v>6220</v>
      </c>
      <c r="B193" s="319" t="str">
        <f>'Operating Expenses'!B93</f>
        <v>Golf Cart Repairs</v>
      </c>
      <c r="C193" s="319"/>
      <c r="D193" s="431">
        <f t="shared" si="32"/>
        <v>0</v>
      </c>
      <c r="E193" s="319"/>
      <c r="F193" s="432">
        <f>'Operating Expenses'!C93</f>
        <v>0</v>
      </c>
      <c r="G193" s="432">
        <f>'Operating Expenses'!D93</f>
        <v>0</v>
      </c>
      <c r="H193" s="432">
        <f>'Operating Expenses'!E93</f>
        <v>0</v>
      </c>
      <c r="I193" s="432">
        <f>'Operating Expenses'!F93</f>
        <v>0</v>
      </c>
      <c r="J193" s="432">
        <f>'Operating Expenses'!G93</f>
        <v>0</v>
      </c>
      <c r="K193" s="432">
        <f>'Operating Expenses'!H93</f>
        <v>0</v>
      </c>
      <c r="L193" s="432">
        <f>'Operating Expenses'!I93</f>
        <v>0</v>
      </c>
      <c r="M193" s="432">
        <f>'Operating Expenses'!J93</f>
        <v>0</v>
      </c>
      <c r="N193" s="432">
        <f>'Operating Expenses'!K93</f>
        <v>0</v>
      </c>
      <c r="O193" s="432">
        <f>'Operating Expenses'!L93</f>
        <v>0</v>
      </c>
      <c r="P193" s="432">
        <f>'Operating Expenses'!M93</f>
        <v>0</v>
      </c>
      <c r="Q193" s="432">
        <f>'Operating Expenses'!N93</f>
        <v>0</v>
      </c>
      <c r="R193" s="431">
        <f t="shared" si="33"/>
        <v>0</v>
      </c>
      <c r="T193" s="448" t="str">
        <f>+IF('Operating Expenses'!Q93="","",'Operating Expenses'!Q93)</f>
        <v/>
      </c>
    </row>
    <row r="194" spans="1:20" ht="14" outlineLevel="1">
      <c r="A194" s="319">
        <f>INDEX(QS_Chart_Of_Accounts_Upload!$C:$O,MATCH(B194,QS_Chart_Of_Accounts_Upload!$E:$E,0),MATCH("ACCT_NO",QS_Chart_Of_Accounts_Upload!$C$1:$O$1,0))</f>
        <v>6225</v>
      </c>
      <c r="B194" s="319" t="str">
        <f>'Operating Expenses'!B94</f>
        <v>Grounds Repairs and Maintenance</v>
      </c>
      <c r="C194" s="319"/>
      <c r="D194" s="431">
        <f t="shared" si="32"/>
        <v>0</v>
      </c>
      <c r="E194" s="319"/>
      <c r="F194" s="432">
        <f>'Operating Expenses'!C94</f>
        <v>0</v>
      </c>
      <c r="G194" s="432">
        <f>'Operating Expenses'!D94</f>
        <v>0</v>
      </c>
      <c r="H194" s="432">
        <f>'Operating Expenses'!E94</f>
        <v>0</v>
      </c>
      <c r="I194" s="432">
        <f>'Operating Expenses'!F94</f>
        <v>0</v>
      </c>
      <c r="J194" s="432">
        <f>'Operating Expenses'!G94</f>
        <v>0</v>
      </c>
      <c r="K194" s="432">
        <f>'Operating Expenses'!H94</f>
        <v>0</v>
      </c>
      <c r="L194" s="432">
        <f>'Operating Expenses'!I94</f>
        <v>0</v>
      </c>
      <c r="M194" s="432">
        <f>'Operating Expenses'!J94</f>
        <v>0</v>
      </c>
      <c r="N194" s="432">
        <f>'Operating Expenses'!K94</f>
        <v>0</v>
      </c>
      <c r="O194" s="432">
        <f>'Operating Expenses'!L94</f>
        <v>0</v>
      </c>
      <c r="P194" s="432">
        <f>'Operating Expenses'!M94</f>
        <v>0</v>
      </c>
      <c r="Q194" s="432">
        <f>'Operating Expenses'!N94</f>
        <v>0</v>
      </c>
      <c r="R194" s="431">
        <f t="shared" si="33"/>
        <v>0</v>
      </c>
      <c r="T194" s="448" t="str">
        <f>+IF('Operating Expenses'!Q94="","",'Operating Expenses'!Q94)</f>
        <v/>
      </c>
    </row>
    <row r="195" spans="1:20" ht="14" outlineLevel="1">
      <c r="A195" s="319">
        <f>INDEX(QS_Chart_Of_Accounts_Upload!$C:$O,MATCH(B195,QS_Chart_Of_Accounts_Upload!$E:$E,0),MATCH("ACCT_NO",QS_Chart_Of_Accounts_Upload!$C$1:$O$1,0))</f>
        <v>6230</v>
      </c>
      <c r="B195" s="319" t="str">
        <f>'Operating Expenses'!B95</f>
        <v>HVAC</v>
      </c>
      <c r="C195" s="319"/>
      <c r="D195" s="431">
        <f t="shared" si="32"/>
        <v>1000</v>
      </c>
      <c r="E195" s="319"/>
      <c r="F195" s="432">
        <f>'Operating Expenses'!C95</f>
        <v>0</v>
      </c>
      <c r="G195" s="432">
        <f>'Operating Expenses'!D95</f>
        <v>0</v>
      </c>
      <c r="H195" s="432">
        <f>'Operating Expenses'!E95</f>
        <v>0</v>
      </c>
      <c r="I195" s="432">
        <f>'Operating Expenses'!F95</f>
        <v>0</v>
      </c>
      <c r="J195" s="432">
        <f>'Operating Expenses'!G95</f>
        <v>0</v>
      </c>
      <c r="K195" s="432">
        <f>'Operating Expenses'!H95</f>
        <v>0</v>
      </c>
      <c r="L195" s="432">
        <f>'Operating Expenses'!I95</f>
        <v>500</v>
      </c>
      <c r="M195" s="432">
        <f>'Operating Expenses'!J95</f>
        <v>0</v>
      </c>
      <c r="N195" s="432">
        <f>'Operating Expenses'!K95</f>
        <v>0</v>
      </c>
      <c r="O195" s="432">
        <f>'Operating Expenses'!L95</f>
        <v>0</v>
      </c>
      <c r="P195" s="432">
        <f>'Operating Expenses'!M95</f>
        <v>0</v>
      </c>
      <c r="Q195" s="432">
        <f>'Operating Expenses'!N95</f>
        <v>500</v>
      </c>
      <c r="R195" s="431">
        <f t="shared" si="33"/>
        <v>1000</v>
      </c>
      <c r="T195" s="448" t="str">
        <f>+IF('Operating Expenses'!Q95="","",'Operating Expenses'!Q95)</f>
        <v/>
      </c>
    </row>
    <row r="196" spans="1:20" ht="14" outlineLevel="1">
      <c r="A196" s="319">
        <f>INDEX(QS_Chart_Of_Accounts_Upload!$C:$O,MATCH(B196,QS_Chart_Of_Accounts_Upload!$E:$E,0),MATCH("ACCT_NO",QS_Chart_Of_Accounts_Upload!$C$1:$O$1,0))</f>
        <v>6230.1</v>
      </c>
      <c r="B196" s="319" t="str">
        <f>'Operating Expenses'!B96</f>
        <v>HVAC - Filter Replacement</v>
      </c>
      <c r="C196" s="319"/>
      <c r="D196" s="431">
        <f t="shared" si="32"/>
        <v>332</v>
      </c>
      <c r="E196" s="319"/>
      <c r="F196" s="432">
        <f>'Operating Expenses'!C96</f>
        <v>0</v>
      </c>
      <c r="G196" s="432">
        <f>'Operating Expenses'!D96</f>
        <v>0</v>
      </c>
      <c r="H196" s="432">
        <f>'Operating Expenses'!E96</f>
        <v>83</v>
      </c>
      <c r="I196" s="432">
        <f>'Operating Expenses'!F96</f>
        <v>0</v>
      </c>
      <c r="J196" s="432">
        <f>'Operating Expenses'!G96</f>
        <v>0</v>
      </c>
      <c r="K196" s="432">
        <f>'Operating Expenses'!H96</f>
        <v>83</v>
      </c>
      <c r="L196" s="432">
        <f>'Operating Expenses'!I96</f>
        <v>0</v>
      </c>
      <c r="M196" s="432">
        <f>'Operating Expenses'!J96</f>
        <v>0</v>
      </c>
      <c r="N196" s="432">
        <f>'Operating Expenses'!K96</f>
        <v>83</v>
      </c>
      <c r="O196" s="432">
        <f>'Operating Expenses'!L96</f>
        <v>0</v>
      </c>
      <c r="P196" s="432">
        <f>'Operating Expenses'!M96</f>
        <v>0</v>
      </c>
      <c r="Q196" s="432">
        <f>'Operating Expenses'!N96</f>
        <v>83</v>
      </c>
      <c r="R196" s="431">
        <f t="shared" si="33"/>
        <v>332</v>
      </c>
      <c r="T196" s="448" t="str">
        <f>+IF('Operating Expenses'!Q96="","",'Operating Expenses'!Q96)</f>
        <v/>
      </c>
    </row>
    <row r="197" spans="1:20" ht="14" outlineLevel="1">
      <c r="A197" s="319">
        <f>INDEX(QS_Chart_Of_Accounts_Upload!$C:$O,MATCH(B197,QS_Chart_Of_Accounts_Upload!$E:$E,0),MATCH("ACCT_NO",QS_Chart_Of_Accounts_Upload!$C$1:$O$1,0))</f>
        <v>6240</v>
      </c>
      <c r="B197" s="319" t="str">
        <f>'Operating Expenses'!B97</f>
        <v>Keys and Locks</v>
      </c>
      <c r="C197" s="319"/>
      <c r="D197" s="431">
        <f t="shared" si="32"/>
        <v>0</v>
      </c>
      <c r="E197" s="319"/>
      <c r="F197" s="432">
        <f>'Operating Expenses'!C97</f>
        <v>0</v>
      </c>
      <c r="G197" s="432">
        <f>'Operating Expenses'!D97</f>
        <v>0</v>
      </c>
      <c r="H197" s="432">
        <f>'Operating Expenses'!E97</f>
        <v>0</v>
      </c>
      <c r="I197" s="432">
        <f>'Operating Expenses'!F97</f>
        <v>0</v>
      </c>
      <c r="J197" s="432">
        <f>'Operating Expenses'!G97</f>
        <v>0</v>
      </c>
      <c r="K197" s="432">
        <f>'Operating Expenses'!H97</f>
        <v>0</v>
      </c>
      <c r="L197" s="432">
        <f>'Operating Expenses'!I97</f>
        <v>0</v>
      </c>
      <c r="M197" s="432">
        <f>'Operating Expenses'!J97</f>
        <v>0</v>
      </c>
      <c r="N197" s="432">
        <f>'Operating Expenses'!K97</f>
        <v>0</v>
      </c>
      <c r="O197" s="432">
        <f>'Operating Expenses'!L97</f>
        <v>0</v>
      </c>
      <c r="P197" s="432">
        <f>'Operating Expenses'!M97</f>
        <v>0</v>
      </c>
      <c r="Q197" s="432">
        <f>'Operating Expenses'!N97</f>
        <v>0</v>
      </c>
      <c r="R197" s="431">
        <f t="shared" si="33"/>
        <v>0</v>
      </c>
      <c r="T197" s="448" t="str">
        <f>+IF('Operating Expenses'!Q97="","",'Operating Expenses'!Q97)</f>
        <v/>
      </c>
    </row>
    <row r="198" spans="1:20" ht="14" outlineLevel="1">
      <c r="A198" s="319">
        <f>INDEX(QS_Chart_Of_Accounts_Upload!$C:$O,MATCH(B198,QS_Chart_Of_Accounts_Upload!$E:$E,0),MATCH("ACCT_NO",QS_Chart_Of_Accounts_Upload!$C$1:$O$1,0))</f>
        <v>6250</v>
      </c>
      <c r="B198" s="319" t="str">
        <f>'Operating Expenses'!B98</f>
        <v>Lighting Supplies and Repairs</v>
      </c>
      <c r="C198" s="319"/>
      <c r="D198" s="431">
        <f t="shared" si="32"/>
        <v>500</v>
      </c>
      <c r="E198" s="319"/>
      <c r="F198" s="432">
        <f>'Operating Expenses'!C98</f>
        <v>0</v>
      </c>
      <c r="G198" s="432">
        <f>'Operating Expenses'!D98</f>
        <v>0</v>
      </c>
      <c r="H198" s="432">
        <f>'Operating Expenses'!E98</f>
        <v>50</v>
      </c>
      <c r="I198" s="432">
        <f>'Operating Expenses'!F98</f>
        <v>0</v>
      </c>
      <c r="J198" s="432">
        <f>'Operating Expenses'!G98</f>
        <v>0</v>
      </c>
      <c r="K198" s="432">
        <f>'Operating Expenses'!H98</f>
        <v>0</v>
      </c>
      <c r="L198" s="432">
        <f>'Operating Expenses'!I98</f>
        <v>50</v>
      </c>
      <c r="M198" s="432">
        <f>'Operating Expenses'!J98</f>
        <v>50</v>
      </c>
      <c r="N198" s="432">
        <f>'Operating Expenses'!K98</f>
        <v>75</v>
      </c>
      <c r="O198" s="432">
        <f>'Operating Expenses'!L98</f>
        <v>75</v>
      </c>
      <c r="P198" s="432">
        <f>'Operating Expenses'!M98</f>
        <v>100</v>
      </c>
      <c r="Q198" s="432">
        <f>'Operating Expenses'!N98</f>
        <v>100</v>
      </c>
      <c r="R198" s="431">
        <f t="shared" si="33"/>
        <v>500</v>
      </c>
      <c r="T198" s="448" t="str">
        <f>+IF('Operating Expenses'!Q98="","",'Operating Expenses'!Q98)</f>
        <v/>
      </c>
    </row>
    <row r="199" spans="1:20" s="7" customFormat="1" ht="14" outlineLevel="1">
      <c r="A199" s="319">
        <f>INDEX(QS_Chart_Of_Accounts_Upload!$C:$O,MATCH(B199,QS_Chart_Of_Accounts_Upload!$E:$E,0),MATCH("ACCT_NO",QS_Chart_Of_Accounts_Upload!$C$1:$O$1,0))</f>
        <v>6260</v>
      </c>
      <c r="B199" s="319" t="str">
        <f>'Operating Expenses'!B99</f>
        <v>Maintenance Supplies</v>
      </c>
      <c r="C199" s="319"/>
      <c r="D199" s="431">
        <f t="shared" si="32"/>
        <v>350</v>
      </c>
      <c r="E199" s="319"/>
      <c r="F199" s="432">
        <f>'Operating Expenses'!C99</f>
        <v>0</v>
      </c>
      <c r="G199" s="432">
        <f>'Operating Expenses'!D99</f>
        <v>0</v>
      </c>
      <c r="H199" s="432">
        <f>'Operating Expenses'!E99</f>
        <v>50</v>
      </c>
      <c r="I199" s="432">
        <f>'Operating Expenses'!F99</f>
        <v>0</v>
      </c>
      <c r="J199" s="432">
        <f>'Operating Expenses'!G99</f>
        <v>0</v>
      </c>
      <c r="K199" s="432">
        <f>'Operating Expenses'!H99</f>
        <v>0</v>
      </c>
      <c r="L199" s="432">
        <f>'Operating Expenses'!I99</f>
        <v>50</v>
      </c>
      <c r="M199" s="432">
        <f>'Operating Expenses'!J99</f>
        <v>50</v>
      </c>
      <c r="N199" s="432">
        <f>'Operating Expenses'!K99</f>
        <v>50</v>
      </c>
      <c r="O199" s="432">
        <f>'Operating Expenses'!L99</f>
        <v>50</v>
      </c>
      <c r="P199" s="432">
        <f>'Operating Expenses'!M99</f>
        <v>50</v>
      </c>
      <c r="Q199" s="432">
        <f>'Operating Expenses'!N99</f>
        <v>50</v>
      </c>
      <c r="R199" s="431">
        <f t="shared" si="33"/>
        <v>350</v>
      </c>
      <c r="S199" s="2"/>
      <c r="T199" s="448" t="str">
        <f>+IF('Operating Expenses'!Q99="","",'Operating Expenses'!Q99)</f>
        <v/>
      </c>
    </row>
    <row r="200" spans="1:20" ht="14" outlineLevel="1">
      <c r="A200" s="319">
        <f>INDEX(QS_Chart_Of_Accounts_Upload!$C:$O,MATCH(B200,QS_Chart_Of_Accounts_Upload!$E:$E,0),MATCH("ACCT_NO",QS_Chart_Of_Accounts_Upload!$C$1:$O$1,0))</f>
        <v>6270</v>
      </c>
      <c r="B200" s="319" t="str">
        <f>'Operating Expenses'!B100</f>
        <v>Other Recreational Repair</v>
      </c>
      <c r="C200" s="319"/>
      <c r="D200" s="431">
        <f t="shared" si="32"/>
        <v>0</v>
      </c>
      <c r="E200" s="319"/>
      <c r="F200" s="432">
        <f>'Operating Expenses'!C100</f>
        <v>0</v>
      </c>
      <c r="G200" s="432">
        <f>'Operating Expenses'!D100</f>
        <v>0</v>
      </c>
      <c r="H200" s="432">
        <f>'Operating Expenses'!E100</f>
        <v>0</v>
      </c>
      <c r="I200" s="432">
        <f>'Operating Expenses'!F100</f>
        <v>0</v>
      </c>
      <c r="J200" s="432">
        <f>'Operating Expenses'!G100</f>
        <v>0</v>
      </c>
      <c r="K200" s="432">
        <f>'Operating Expenses'!H100</f>
        <v>0</v>
      </c>
      <c r="L200" s="432">
        <f>'Operating Expenses'!I100</f>
        <v>0</v>
      </c>
      <c r="M200" s="432">
        <f>'Operating Expenses'!J100</f>
        <v>0</v>
      </c>
      <c r="N200" s="432">
        <f>'Operating Expenses'!K100</f>
        <v>0</v>
      </c>
      <c r="O200" s="432">
        <f>'Operating Expenses'!L100</f>
        <v>0</v>
      </c>
      <c r="P200" s="432">
        <f>'Operating Expenses'!M100</f>
        <v>0</v>
      </c>
      <c r="Q200" s="432">
        <f>'Operating Expenses'!N100</f>
        <v>0</v>
      </c>
      <c r="R200" s="431">
        <f t="shared" si="33"/>
        <v>0</v>
      </c>
      <c r="T200" s="448" t="str">
        <f>+IF('Operating Expenses'!Q100="","",'Operating Expenses'!Q100)</f>
        <v/>
      </c>
    </row>
    <row r="201" spans="1:20" ht="14" outlineLevel="1">
      <c r="A201" s="319">
        <f>INDEX(QS_Chart_Of_Accounts_Upload!$C:$O,MATCH(B201,QS_Chart_Of_Accounts_Upload!$E:$E,0),MATCH("ACCT_NO",QS_Chart_Of_Accounts_Upload!$C$1:$O$1,0))</f>
        <v>6280</v>
      </c>
      <c r="B201" s="319" t="str">
        <f>'Operating Expenses'!B101</f>
        <v>Parking Lot Repairs and Maint.</v>
      </c>
      <c r="C201" s="319"/>
      <c r="D201" s="431">
        <f t="shared" si="32"/>
        <v>0</v>
      </c>
      <c r="E201" s="319"/>
      <c r="F201" s="432">
        <f>'Operating Expenses'!C101</f>
        <v>0</v>
      </c>
      <c r="G201" s="432">
        <f>'Operating Expenses'!D101</f>
        <v>0</v>
      </c>
      <c r="H201" s="432">
        <f>'Operating Expenses'!E101</f>
        <v>0</v>
      </c>
      <c r="I201" s="432">
        <f>'Operating Expenses'!F101</f>
        <v>0</v>
      </c>
      <c r="J201" s="432">
        <f>'Operating Expenses'!G101</f>
        <v>0</v>
      </c>
      <c r="K201" s="432">
        <f>'Operating Expenses'!H101</f>
        <v>0</v>
      </c>
      <c r="L201" s="432">
        <f>'Operating Expenses'!I101</f>
        <v>0</v>
      </c>
      <c r="M201" s="432">
        <f>'Operating Expenses'!J101</f>
        <v>0</v>
      </c>
      <c r="N201" s="432">
        <f>'Operating Expenses'!K101</f>
        <v>0</v>
      </c>
      <c r="O201" s="432">
        <f>'Operating Expenses'!L101</f>
        <v>0</v>
      </c>
      <c r="P201" s="432">
        <f>'Operating Expenses'!M101</f>
        <v>0</v>
      </c>
      <c r="Q201" s="432">
        <f>'Operating Expenses'!N101</f>
        <v>0</v>
      </c>
      <c r="R201" s="431">
        <f t="shared" si="33"/>
        <v>0</v>
      </c>
      <c r="T201" s="448" t="str">
        <f>+IF('Operating Expenses'!Q101="","",'Operating Expenses'!Q101)</f>
        <v/>
      </c>
    </row>
    <row r="202" spans="1:20" ht="14" outlineLevel="1">
      <c r="A202" s="319">
        <f>INDEX(QS_Chart_Of_Accounts_Upload!$C:$O,MATCH(B202,QS_Chart_Of_Accounts_Upload!$E:$E,0),MATCH("ACCT_NO",QS_Chart_Of_Accounts_Upload!$C$1:$O$1,0))</f>
        <v>6290</v>
      </c>
      <c r="B202" s="319" t="str">
        <f>'Operating Expenses'!B102</f>
        <v>Playground</v>
      </c>
      <c r="C202" s="319"/>
      <c r="D202" s="431">
        <f t="shared" si="32"/>
        <v>0</v>
      </c>
      <c r="E202" s="319"/>
      <c r="F202" s="432">
        <f>'Operating Expenses'!C102</f>
        <v>0</v>
      </c>
      <c r="G202" s="432">
        <f>'Operating Expenses'!D102</f>
        <v>0</v>
      </c>
      <c r="H202" s="432">
        <f>'Operating Expenses'!E102</f>
        <v>0</v>
      </c>
      <c r="I202" s="432">
        <f>'Operating Expenses'!F102</f>
        <v>0</v>
      </c>
      <c r="J202" s="432">
        <f>'Operating Expenses'!G102</f>
        <v>0</v>
      </c>
      <c r="K202" s="432">
        <f>'Operating Expenses'!H102</f>
        <v>0</v>
      </c>
      <c r="L202" s="432">
        <f>'Operating Expenses'!I102</f>
        <v>0</v>
      </c>
      <c r="M202" s="432">
        <f>'Operating Expenses'!J102</f>
        <v>0</v>
      </c>
      <c r="N202" s="432">
        <f>'Operating Expenses'!K102</f>
        <v>0</v>
      </c>
      <c r="O202" s="432">
        <f>'Operating Expenses'!L102</f>
        <v>0</v>
      </c>
      <c r="P202" s="432">
        <f>'Operating Expenses'!M102</f>
        <v>0</v>
      </c>
      <c r="Q202" s="432">
        <f>'Operating Expenses'!N102</f>
        <v>0</v>
      </c>
      <c r="R202" s="431">
        <f t="shared" si="33"/>
        <v>0</v>
      </c>
      <c r="T202" s="448" t="str">
        <f>+IF('Operating Expenses'!Q102="","",'Operating Expenses'!Q102)</f>
        <v/>
      </c>
    </row>
    <row r="203" spans="1:20" ht="14" outlineLevel="1">
      <c r="A203" s="319">
        <f>INDEX(QS_Chart_Of_Accounts_Upload!$C:$O,MATCH(B203,QS_Chart_Of_Accounts_Upload!$E:$E,0),MATCH("ACCT_NO",QS_Chart_Of_Accounts_Upload!$C$1:$O$1,0))</f>
        <v>6300</v>
      </c>
      <c r="B203" s="319" t="str">
        <f>'Operating Expenses'!B103</f>
        <v>Plumbing Supplies and Services</v>
      </c>
      <c r="C203" s="319"/>
      <c r="D203" s="431">
        <f t="shared" si="32"/>
        <v>500</v>
      </c>
      <c r="E203" s="319"/>
      <c r="F203" s="432">
        <f>'Operating Expenses'!C103</f>
        <v>0</v>
      </c>
      <c r="G203" s="432">
        <f>'Operating Expenses'!D103</f>
        <v>0</v>
      </c>
      <c r="H203" s="432">
        <f>'Operating Expenses'!E103</f>
        <v>50</v>
      </c>
      <c r="I203" s="432">
        <f>'Operating Expenses'!F103</f>
        <v>0</v>
      </c>
      <c r="J203" s="432">
        <f>'Operating Expenses'!G103</f>
        <v>0</v>
      </c>
      <c r="K203" s="432">
        <f>'Operating Expenses'!H103</f>
        <v>0</v>
      </c>
      <c r="L203" s="432">
        <f>'Operating Expenses'!I103</f>
        <v>50</v>
      </c>
      <c r="M203" s="432">
        <f>'Operating Expenses'!J103</f>
        <v>50</v>
      </c>
      <c r="N203" s="432">
        <f>'Operating Expenses'!K103</f>
        <v>75</v>
      </c>
      <c r="O203" s="432">
        <f>'Operating Expenses'!L103</f>
        <v>75</v>
      </c>
      <c r="P203" s="432">
        <f>'Operating Expenses'!M103</f>
        <v>100</v>
      </c>
      <c r="Q203" s="432">
        <f>'Operating Expenses'!N103</f>
        <v>100</v>
      </c>
      <c r="R203" s="431">
        <f t="shared" si="33"/>
        <v>500</v>
      </c>
      <c r="T203" s="448" t="str">
        <f>+IF('Operating Expenses'!Q103="","",'Operating Expenses'!Q103)</f>
        <v/>
      </c>
    </row>
    <row r="204" spans="1:20" ht="14" outlineLevel="1">
      <c r="A204" s="319">
        <f>INDEX(QS_Chart_Of_Accounts_Upload!$C:$O,MATCH(B204,QS_Chart_Of_Accounts_Upload!$E:$E,0),MATCH("ACCT_NO",QS_Chart_Of_Accounts_Upload!$C$1:$O$1,0))</f>
        <v>6310</v>
      </c>
      <c r="B204" s="319" t="str">
        <f>'Operating Expenses'!B104</f>
        <v>Pool Repairs and Services</v>
      </c>
      <c r="C204" s="319"/>
      <c r="D204" s="431">
        <f t="shared" si="32"/>
        <v>0</v>
      </c>
      <c r="E204" s="319"/>
      <c r="F204" s="432">
        <f>'Operating Expenses'!C104</f>
        <v>0</v>
      </c>
      <c r="G204" s="432">
        <f>'Operating Expenses'!D104</f>
        <v>0</v>
      </c>
      <c r="H204" s="432">
        <f>'Operating Expenses'!E104</f>
        <v>0</v>
      </c>
      <c r="I204" s="432">
        <f>'Operating Expenses'!F104</f>
        <v>0</v>
      </c>
      <c r="J204" s="432">
        <f>'Operating Expenses'!G104</f>
        <v>0</v>
      </c>
      <c r="K204" s="432">
        <f>'Operating Expenses'!H104</f>
        <v>0</v>
      </c>
      <c r="L204" s="432">
        <f>'Operating Expenses'!I104</f>
        <v>0</v>
      </c>
      <c r="M204" s="432">
        <f>'Operating Expenses'!J104</f>
        <v>0</v>
      </c>
      <c r="N204" s="432">
        <f>'Operating Expenses'!K104</f>
        <v>0</v>
      </c>
      <c r="O204" s="432">
        <f>'Operating Expenses'!L104</f>
        <v>0</v>
      </c>
      <c r="P204" s="432">
        <f>'Operating Expenses'!M104</f>
        <v>0</v>
      </c>
      <c r="Q204" s="432">
        <f>'Operating Expenses'!N104</f>
        <v>0</v>
      </c>
      <c r="R204" s="431">
        <f t="shared" si="33"/>
        <v>0</v>
      </c>
      <c r="T204" s="448" t="str">
        <f>+IF('Operating Expenses'!Q104="","",'Operating Expenses'!Q104)</f>
        <v/>
      </c>
    </row>
    <row r="205" spans="1:20" ht="14" outlineLevel="1">
      <c r="A205" s="319">
        <f>INDEX(QS_Chart_Of_Accounts_Upload!$C:$O,MATCH(B205,QS_Chart_Of_Accounts_Upload!$E:$E,0),MATCH("ACCT_NO",QS_Chart_Of_Accounts_Upload!$C$1:$O$1,0))</f>
        <v>6320</v>
      </c>
      <c r="B205" s="319" t="str">
        <f>'Operating Expenses'!B105</f>
        <v>Roof Repairs</v>
      </c>
      <c r="C205" s="319"/>
      <c r="D205" s="431">
        <f t="shared" si="32"/>
        <v>0</v>
      </c>
      <c r="E205" s="319"/>
      <c r="F205" s="432">
        <f>'Operating Expenses'!C105</f>
        <v>0</v>
      </c>
      <c r="G205" s="432">
        <f>'Operating Expenses'!D105</f>
        <v>0</v>
      </c>
      <c r="H205" s="432">
        <f>'Operating Expenses'!E105</f>
        <v>0</v>
      </c>
      <c r="I205" s="432">
        <f>'Operating Expenses'!F105</f>
        <v>0</v>
      </c>
      <c r="J205" s="432">
        <f>'Operating Expenses'!G105</f>
        <v>0</v>
      </c>
      <c r="K205" s="432">
        <f>'Operating Expenses'!H105</f>
        <v>0</v>
      </c>
      <c r="L205" s="432">
        <f>'Operating Expenses'!I105</f>
        <v>0</v>
      </c>
      <c r="M205" s="432">
        <f>'Operating Expenses'!J105</f>
        <v>0</v>
      </c>
      <c r="N205" s="432">
        <f>'Operating Expenses'!K105</f>
        <v>0</v>
      </c>
      <c r="O205" s="432">
        <f>'Operating Expenses'!L105</f>
        <v>0</v>
      </c>
      <c r="P205" s="432">
        <f>'Operating Expenses'!M105</f>
        <v>0</v>
      </c>
      <c r="Q205" s="432">
        <f>'Operating Expenses'!N105</f>
        <v>0</v>
      </c>
      <c r="R205" s="431">
        <f t="shared" si="33"/>
        <v>0</v>
      </c>
      <c r="T205" s="448" t="str">
        <f>+IF('Operating Expenses'!Q105="","",'Operating Expenses'!Q105)</f>
        <v/>
      </c>
    </row>
    <row r="206" spans="1:20" ht="14" outlineLevel="1">
      <c r="A206" s="319">
        <f>INDEX(QS_Chart_Of_Accounts_Upload!$C:$O,MATCH(B206,QS_Chart_Of_Accounts_Upload!$E:$E,0),MATCH("ACCT_NO",QS_Chart_Of_Accounts_Upload!$C$1:$O$1,0))</f>
        <v>6330</v>
      </c>
      <c r="B206" s="319" t="str">
        <f>'Operating Expenses'!B106</f>
        <v>Safety and Fire Supplies</v>
      </c>
      <c r="C206" s="319"/>
      <c r="D206" s="431">
        <f t="shared" si="32"/>
        <v>400</v>
      </c>
      <c r="E206" s="319"/>
      <c r="F206" s="432">
        <f>'Operating Expenses'!C106</f>
        <v>100</v>
      </c>
      <c r="G206" s="432">
        <f>'Operating Expenses'!D106</f>
        <v>0</v>
      </c>
      <c r="H206" s="432">
        <f>'Operating Expenses'!E106</f>
        <v>0</v>
      </c>
      <c r="I206" s="432">
        <f>'Operating Expenses'!F106</f>
        <v>100</v>
      </c>
      <c r="J206" s="432">
        <f>'Operating Expenses'!G106</f>
        <v>0</v>
      </c>
      <c r="K206" s="432">
        <f>'Operating Expenses'!H106</f>
        <v>0</v>
      </c>
      <c r="L206" s="432">
        <f>'Operating Expenses'!I106</f>
        <v>100</v>
      </c>
      <c r="M206" s="432">
        <f>'Operating Expenses'!J106</f>
        <v>0</v>
      </c>
      <c r="N206" s="432">
        <f>'Operating Expenses'!K106</f>
        <v>0</v>
      </c>
      <c r="O206" s="432">
        <f>'Operating Expenses'!L106</f>
        <v>100</v>
      </c>
      <c r="P206" s="432">
        <f>'Operating Expenses'!M106</f>
        <v>0</v>
      </c>
      <c r="Q206" s="432">
        <f>'Operating Expenses'!N106</f>
        <v>0</v>
      </c>
      <c r="R206" s="431">
        <f t="shared" si="33"/>
        <v>400</v>
      </c>
      <c r="T206" s="448" t="str">
        <f>+IF('Operating Expenses'!Q106="","",'Operating Expenses'!Q106)</f>
        <v/>
      </c>
    </row>
    <row r="207" spans="1:20" ht="14" outlineLevel="1">
      <c r="A207" s="319">
        <f>INDEX(QS_Chart_Of_Accounts_Upload!$C:$O,MATCH(B207,QS_Chart_Of_Accounts_Upload!$E:$E,0),MATCH("ACCT_NO",QS_Chart_Of_Accounts_Upload!$C$1:$O$1,0))</f>
        <v>6331</v>
      </c>
      <c r="B207" s="319" t="str">
        <f>'Operating Expenses'!B107</f>
        <v>Sheetrock R&amp;M</v>
      </c>
      <c r="C207" s="319"/>
      <c r="D207" s="431">
        <f t="shared" si="32"/>
        <v>0</v>
      </c>
      <c r="E207" s="319"/>
      <c r="F207" s="432">
        <f>'Operating Expenses'!C107</f>
        <v>0</v>
      </c>
      <c r="G207" s="432">
        <f>'Operating Expenses'!D107</f>
        <v>0</v>
      </c>
      <c r="H207" s="432">
        <f>'Operating Expenses'!E107</f>
        <v>0</v>
      </c>
      <c r="I207" s="432">
        <f>'Operating Expenses'!F107</f>
        <v>0</v>
      </c>
      <c r="J207" s="432">
        <f>'Operating Expenses'!G107</f>
        <v>0</v>
      </c>
      <c r="K207" s="432">
        <f>'Operating Expenses'!H107</f>
        <v>0</v>
      </c>
      <c r="L207" s="432">
        <f>'Operating Expenses'!I107</f>
        <v>0</v>
      </c>
      <c r="M207" s="432">
        <f>'Operating Expenses'!J107</f>
        <v>0</v>
      </c>
      <c r="N207" s="432">
        <f>'Operating Expenses'!K107</f>
        <v>0</v>
      </c>
      <c r="O207" s="432">
        <f>'Operating Expenses'!L107</f>
        <v>0</v>
      </c>
      <c r="P207" s="432">
        <f>'Operating Expenses'!M107</f>
        <v>0</v>
      </c>
      <c r="Q207" s="432">
        <f>'Operating Expenses'!N107</f>
        <v>0</v>
      </c>
      <c r="R207" s="431">
        <f t="shared" si="33"/>
        <v>0</v>
      </c>
      <c r="T207" s="448" t="str">
        <f>+IF('Operating Expenses'!Q107="","",'Operating Expenses'!Q107)</f>
        <v/>
      </c>
    </row>
    <row r="208" spans="1:20" ht="14" outlineLevel="1">
      <c r="A208" s="319">
        <f>INDEX(QS_Chart_Of_Accounts_Upload!$C:$O,MATCH(B208,QS_Chart_Of_Accounts_Upload!$E:$E,0),MATCH("ACCT_NO",QS_Chart_Of_Accounts_Upload!$C$1:$O$1,0))</f>
        <v>6340</v>
      </c>
      <c r="B208" s="319" t="str">
        <f>'Operating Expenses'!B108</f>
        <v>Signage Supplies and Repairs</v>
      </c>
      <c r="C208" s="319"/>
      <c r="D208" s="431">
        <f t="shared" si="32"/>
        <v>0</v>
      </c>
      <c r="E208" s="319"/>
      <c r="F208" s="432">
        <f>'Operating Expenses'!C108</f>
        <v>0</v>
      </c>
      <c r="G208" s="432">
        <f>'Operating Expenses'!D108</f>
        <v>0</v>
      </c>
      <c r="H208" s="432">
        <f>'Operating Expenses'!E108</f>
        <v>0</v>
      </c>
      <c r="I208" s="432">
        <f>'Operating Expenses'!F108</f>
        <v>0</v>
      </c>
      <c r="J208" s="432">
        <f>'Operating Expenses'!G108</f>
        <v>0</v>
      </c>
      <c r="K208" s="432">
        <f>'Operating Expenses'!H108</f>
        <v>0</v>
      </c>
      <c r="L208" s="432">
        <f>'Operating Expenses'!I108</f>
        <v>0</v>
      </c>
      <c r="M208" s="432">
        <f>'Operating Expenses'!J108</f>
        <v>0</v>
      </c>
      <c r="N208" s="432">
        <f>'Operating Expenses'!K108</f>
        <v>0</v>
      </c>
      <c r="O208" s="432">
        <f>'Operating Expenses'!L108</f>
        <v>0</v>
      </c>
      <c r="P208" s="432">
        <f>'Operating Expenses'!M108</f>
        <v>0</v>
      </c>
      <c r="Q208" s="432">
        <f>'Operating Expenses'!N108</f>
        <v>0</v>
      </c>
      <c r="R208" s="431">
        <f t="shared" si="33"/>
        <v>0</v>
      </c>
      <c r="T208" s="448" t="str">
        <f>+IF('Operating Expenses'!Q108="","",'Operating Expenses'!Q108)</f>
        <v/>
      </c>
    </row>
    <row r="209" spans="1:24" ht="14" outlineLevel="1">
      <c r="A209" s="319">
        <f>INDEX(QS_Chart_Of_Accounts_Upload!$C:$O,MATCH(B209,QS_Chart_Of_Accounts_Upload!$E:$E,0),MATCH("ACCT_NO",QS_Chart_Of_Accounts_Upload!$C$1:$O$1,0))</f>
        <v>6350</v>
      </c>
      <c r="B209" s="319" t="str">
        <f>'Operating Expenses'!B109</f>
        <v>Spare Parts</v>
      </c>
      <c r="C209" s="319"/>
      <c r="D209" s="431">
        <f t="shared" si="32"/>
        <v>0</v>
      </c>
      <c r="E209" s="319"/>
      <c r="F209" s="432">
        <f>'Operating Expenses'!C109</f>
        <v>0</v>
      </c>
      <c r="G209" s="432">
        <f>'Operating Expenses'!D109</f>
        <v>0</v>
      </c>
      <c r="H209" s="432">
        <f>'Operating Expenses'!E109</f>
        <v>0</v>
      </c>
      <c r="I209" s="432">
        <f>'Operating Expenses'!F109</f>
        <v>0</v>
      </c>
      <c r="J209" s="432">
        <f>'Operating Expenses'!G109</f>
        <v>0</v>
      </c>
      <c r="K209" s="432">
        <f>'Operating Expenses'!H109</f>
        <v>0</v>
      </c>
      <c r="L209" s="432">
        <f>'Operating Expenses'!I109</f>
        <v>0</v>
      </c>
      <c r="M209" s="432">
        <f>'Operating Expenses'!J109</f>
        <v>0</v>
      </c>
      <c r="N209" s="432">
        <f>'Operating Expenses'!K109</f>
        <v>0</v>
      </c>
      <c r="O209" s="432">
        <f>'Operating Expenses'!L109</f>
        <v>0</v>
      </c>
      <c r="P209" s="432">
        <f>'Operating Expenses'!M109</f>
        <v>0</v>
      </c>
      <c r="Q209" s="432">
        <f>'Operating Expenses'!N109</f>
        <v>0</v>
      </c>
      <c r="R209" s="431">
        <f t="shared" si="33"/>
        <v>0</v>
      </c>
      <c r="T209" s="448" t="str">
        <f>+IF('Operating Expenses'!Q109="","",'Operating Expenses'!Q109)</f>
        <v/>
      </c>
    </row>
    <row r="210" spans="1:24" ht="14" outlineLevel="1">
      <c r="A210" s="319">
        <f>INDEX(QS_Chart_Of_Accounts_Upload!$C:$O,MATCH(B210,QS_Chart_Of_Accounts_Upload!$E:$E,0),MATCH("ACCT_NO",QS_Chart_Of_Accounts_Upload!$C$1:$O$1,0))</f>
        <v>6351</v>
      </c>
      <c r="B210" s="319" t="str">
        <f>'Operating Expenses'!B110</f>
        <v>Scent Air</v>
      </c>
      <c r="C210" s="319"/>
      <c r="D210" s="431">
        <f t="shared" si="32"/>
        <v>2340</v>
      </c>
      <c r="E210" s="319"/>
      <c r="F210" s="432">
        <f>'Operating Expenses'!C110</f>
        <v>195</v>
      </c>
      <c r="G210" s="432">
        <f>'Operating Expenses'!D110</f>
        <v>195</v>
      </c>
      <c r="H210" s="432">
        <f>'Operating Expenses'!E110</f>
        <v>195</v>
      </c>
      <c r="I210" s="432">
        <f>'Operating Expenses'!F110</f>
        <v>195</v>
      </c>
      <c r="J210" s="432">
        <f>'Operating Expenses'!G110</f>
        <v>195</v>
      </c>
      <c r="K210" s="432">
        <f>'Operating Expenses'!H110</f>
        <v>195</v>
      </c>
      <c r="L210" s="432">
        <f>'Operating Expenses'!I110</f>
        <v>195</v>
      </c>
      <c r="M210" s="432">
        <f>'Operating Expenses'!J110</f>
        <v>195</v>
      </c>
      <c r="N210" s="432">
        <f>'Operating Expenses'!K110</f>
        <v>195</v>
      </c>
      <c r="O210" s="432">
        <f>'Operating Expenses'!L110</f>
        <v>195</v>
      </c>
      <c r="P210" s="432">
        <f>'Operating Expenses'!M110</f>
        <v>195</v>
      </c>
      <c r="Q210" s="432">
        <f>'Operating Expenses'!N110</f>
        <v>195</v>
      </c>
      <c r="R210" s="431">
        <f t="shared" si="33"/>
        <v>2340</v>
      </c>
      <c r="T210" s="448" t="str">
        <f>+IF('Operating Expenses'!Q110="","",'Operating Expenses'!Q110)</f>
        <v/>
      </c>
    </row>
    <row r="211" spans="1:24" ht="14" outlineLevel="1">
      <c r="A211" s="319">
        <f>INDEX(QS_Chart_Of_Accounts_Upload!$C:$O,MATCH(B211,QS_Chart_Of_Accounts_Upload!$E:$E,0),MATCH("ACCT_NO",QS_Chart_Of_Accounts_Upload!$C$1:$O$1,0))</f>
        <v>6360</v>
      </c>
      <c r="B211" s="319" t="str">
        <f>'Operating Expenses'!B111</f>
        <v>Sprinkler/Irrigation Supplies/Repair</v>
      </c>
      <c r="C211" s="319"/>
      <c r="D211" s="431">
        <f t="shared" si="32"/>
        <v>0</v>
      </c>
      <c r="E211" s="319"/>
      <c r="F211" s="432">
        <f>'Operating Expenses'!C111</f>
        <v>0</v>
      </c>
      <c r="G211" s="432">
        <f>'Operating Expenses'!D111</f>
        <v>0</v>
      </c>
      <c r="H211" s="432">
        <f>'Operating Expenses'!E111</f>
        <v>0</v>
      </c>
      <c r="I211" s="432">
        <f>'Operating Expenses'!F111</f>
        <v>0</v>
      </c>
      <c r="J211" s="432">
        <f>'Operating Expenses'!G111</f>
        <v>0</v>
      </c>
      <c r="K211" s="432">
        <f>'Operating Expenses'!H111</f>
        <v>0</v>
      </c>
      <c r="L211" s="432">
        <f>'Operating Expenses'!I111</f>
        <v>0</v>
      </c>
      <c r="M211" s="432">
        <f>'Operating Expenses'!J111</f>
        <v>0</v>
      </c>
      <c r="N211" s="432">
        <f>'Operating Expenses'!K111</f>
        <v>0</v>
      </c>
      <c r="O211" s="432">
        <f>'Operating Expenses'!L111</f>
        <v>0</v>
      </c>
      <c r="P211" s="432">
        <f>'Operating Expenses'!M111</f>
        <v>0</v>
      </c>
      <c r="Q211" s="432">
        <f>'Operating Expenses'!N111</f>
        <v>0</v>
      </c>
      <c r="R211" s="431">
        <f t="shared" si="33"/>
        <v>0</v>
      </c>
      <c r="T211" s="448" t="str">
        <f>+IF('Operating Expenses'!Q111="","",'Operating Expenses'!Q111)</f>
        <v/>
      </c>
    </row>
    <row r="212" spans="1:24" ht="14" outlineLevel="1">
      <c r="A212" s="319">
        <f>INDEX(QS_Chart_Of_Accounts_Upload!$C:$O,MATCH(B212,QS_Chart_Of_Accounts_Upload!$E:$E,0),MATCH("ACCT_NO",QS_Chart_Of_Accounts_Upload!$C$1:$O$1,0))</f>
        <v>6367</v>
      </c>
      <c r="B212" s="319" t="str">
        <f>'Operating Expenses'!B112</f>
        <v>Water Treatment</v>
      </c>
      <c r="C212" s="319"/>
      <c r="D212" s="431">
        <f t="shared" si="32"/>
        <v>0</v>
      </c>
      <c r="E212" s="319"/>
      <c r="F212" s="432">
        <f>'Operating Expenses'!C112</f>
        <v>0</v>
      </c>
      <c r="G212" s="432">
        <f>'Operating Expenses'!D112</f>
        <v>0</v>
      </c>
      <c r="H212" s="432">
        <f>'Operating Expenses'!E112</f>
        <v>0</v>
      </c>
      <c r="I212" s="432">
        <f>'Operating Expenses'!F112</f>
        <v>0</v>
      </c>
      <c r="J212" s="432">
        <f>'Operating Expenses'!G112</f>
        <v>0</v>
      </c>
      <c r="K212" s="432">
        <f>'Operating Expenses'!H112</f>
        <v>0</v>
      </c>
      <c r="L212" s="432">
        <f>'Operating Expenses'!I112</f>
        <v>0</v>
      </c>
      <c r="M212" s="432">
        <f>'Operating Expenses'!J112</f>
        <v>0</v>
      </c>
      <c r="N212" s="432">
        <f>'Operating Expenses'!K112</f>
        <v>0</v>
      </c>
      <c r="O212" s="432">
        <f>'Operating Expenses'!L112</f>
        <v>0</v>
      </c>
      <c r="P212" s="432">
        <f>'Operating Expenses'!M112</f>
        <v>0</v>
      </c>
      <c r="Q212" s="432">
        <f>'Operating Expenses'!N112</f>
        <v>0</v>
      </c>
      <c r="R212" s="431">
        <f t="shared" si="33"/>
        <v>0</v>
      </c>
      <c r="T212" s="448" t="str">
        <f>+IF('Operating Expenses'!Q112="","",'Operating Expenses'!Q112)</f>
        <v/>
      </c>
    </row>
    <row r="213" spans="1:24" ht="14" outlineLevel="1">
      <c r="A213" s="319">
        <f>INDEX(QS_Chart_Of_Accounts_Upload!$C:$O,MATCH(B213,QS_Chart_Of_Accounts_Upload!$E:$E,0),MATCH("ACCT_NO",QS_Chart_Of_Accounts_Upload!$C$1:$O$1,0))</f>
        <v>6370</v>
      </c>
      <c r="B213" s="319" t="str">
        <f>'Operating Expenses'!B113</f>
        <v>Window and Door Repairs</v>
      </c>
      <c r="C213" s="319"/>
      <c r="D213" s="431">
        <f t="shared" si="32"/>
        <v>0</v>
      </c>
      <c r="E213" s="319"/>
      <c r="F213" s="432">
        <f>'Operating Expenses'!C113</f>
        <v>0</v>
      </c>
      <c r="G213" s="432">
        <f>'Operating Expenses'!D113</f>
        <v>0</v>
      </c>
      <c r="H213" s="432">
        <f>'Operating Expenses'!E113</f>
        <v>0</v>
      </c>
      <c r="I213" s="432">
        <f>'Operating Expenses'!F113</f>
        <v>0</v>
      </c>
      <c r="J213" s="432">
        <f>'Operating Expenses'!G113</f>
        <v>0</v>
      </c>
      <c r="K213" s="432">
        <f>'Operating Expenses'!H113</f>
        <v>0</v>
      </c>
      <c r="L213" s="432">
        <f>'Operating Expenses'!I113</f>
        <v>0</v>
      </c>
      <c r="M213" s="432">
        <f>'Operating Expenses'!J113</f>
        <v>0</v>
      </c>
      <c r="N213" s="432">
        <f>'Operating Expenses'!K113</f>
        <v>0</v>
      </c>
      <c r="O213" s="432">
        <f>'Operating Expenses'!L113</f>
        <v>0</v>
      </c>
      <c r="P213" s="432">
        <f>'Operating Expenses'!M113</f>
        <v>0</v>
      </c>
      <c r="Q213" s="432">
        <f>'Operating Expenses'!N113</f>
        <v>0</v>
      </c>
      <c r="R213" s="431">
        <f t="shared" si="33"/>
        <v>0</v>
      </c>
      <c r="T213" s="448" t="str">
        <f>+IF('Operating Expenses'!Q113="","",'Operating Expenses'!Q113)</f>
        <v/>
      </c>
    </row>
    <row r="214" spans="1:24" ht="7.5" customHeight="1" outlineLevel="1">
      <c r="A214" s="319"/>
      <c r="B214" s="319"/>
      <c r="C214" s="319"/>
      <c r="D214" s="437"/>
      <c r="E214" s="319"/>
      <c r="F214" s="436"/>
      <c r="G214" s="436"/>
      <c r="H214" s="436"/>
      <c r="I214" s="436"/>
      <c r="J214" s="436"/>
      <c r="K214" s="436"/>
      <c r="L214" s="436"/>
      <c r="M214" s="436"/>
      <c r="N214" s="436"/>
      <c r="O214" s="436"/>
      <c r="P214" s="436"/>
      <c r="Q214" s="436"/>
      <c r="R214" s="437"/>
    </row>
    <row r="215" spans="1:24">
      <c r="A215" s="319"/>
      <c r="B215" s="427" t="s">
        <v>46</v>
      </c>
      <c r="C215" s="427"/>
      <c r="D215" s="431">
        <f>+SUBTOTAL(9,F215:R215)</f>
        <v>7097</v>
      </c>
      <c r="E215" s="427"/>
      <c r="F215" s="456">
        <f t="shared" ref="F215" si="34">SUM(F172:F213)</f>
        <v>295</v>
      </c>
      <c r="G215" s="456">
        <f t="shared" ref="G215:Q215" si="35">SUM(G172:G213)</f>
        <v>195</v>
      </c>
      <c r="H215" s="456">
        <f t="shared" si="35"/>
        <v>578</v>
      </c>
      <c r="I215" s="456">
        <f t="shared" si="35"/>
        <v>295</v>
      </c>
      <c r="J215" s="456">
        <f t="shared" si="35"/>
        <v>195</v>
      </c>
      <c r="K215" s="456">
        <f t="shared" si="35"/>
        <v>278</v>
      </c>
      <c r="L215" s="456">
        <f t="shared" si="35"/>
        <v>1095</v>
      </c>
      <c r="M215" s="456">
        <f t="shared" si="35"/>
        <v>545</v>
      </c>
      <c r="N215" s="456">
        <f t="shared" si="35"/>
        <v>678</v>
      </c>
      <c r="O215" s="456">
        <f t="shared" si="35"/>
        <v>795</v>
      </c>
      <c r="P215" s="456">
        <f t="shared" si="35"/>
        <v>745</v>
      </c>
      <c r="Q215" s="456">
        <f t="shared" si="35"/>
        <v>1403</v>
      </c>
      <c r="R215" s="431">
        <f>+SUBTOTAL(9,F215:Q215)</f>
        <v>7097</v>
      </c>
      <c r="W215" s="61"/>
      <c r="X215" s="61"/>
    </row>
    <row r="216" spans="1:24">
      <c r="A216" s="319"/>
      <c r="B216" s="439"/>
      <c r="C216" s="439"/>
      <c r="D216" s="440"/>
      <c r="E216" s="439"/>
      <c r="F216" s="464"/>
      <c r="G216" s="464"/>
      <c r="H216" s="464"/>
      <c r="I216" s="464"/>
      <c r="J216" s="464"/>
      <c r="K216" s="464"/>
      <c r="L216" s="464"/>
      <c r="M216" s="464"/>
      <c r="N216" s="464"/>
      <c r="O216" s="464"/>
      <c r="P216" s="464"/>
      <c r="Q216" s="464"/>
      <c r="R216" s="440"/>
    </row>
    <row r="217" spans="1:24" ht="14">
      <c r="A217" s="319"/>
      <c r="B217" s="427" t="s">
        <v>75</v>
      </c>
      <c r="C217" s="427"/>
      <c r="D217" s="440"/>
      <c r="E217" s="427"/>
      <c r="F217" s="464"/>
      <c r="G217" s="464"/>
      <c r="H217" s="464"/>
      <c r="I217" s="464"/>
      <c r="J217" s="464"/>
      <c r="K217" s="464"/>
      <c r="L217" s="464"/>
      <c r="M217" s="464"/>
      <c r="N217" s="464"/>
      <c r="O217" s="464"/>
      <c r="P217" s="464"/>
      <c r="Q217" s="464"/>
      <c r="R217" s="440"/>
      <c r="T217" s="448" t="str">
        <f>+IF('Make Ready Worksheet'!Q21="","",'Make Ready Worksheet'!Q21)</f>
        <v/>
      </c>
    </row>
    <row r="218" spans="1:24" ht="7.5" customHeight="1" outlineLevel="1">
      <c r="A218" s="319"/>
      <c r="B218" s="427"/>
      <c r="C218" s="427"/>
      <c r="D218" s="440"/>
      <c r="E218" s="427"/>
      <c r="F218" s="464"/>
      <c r="G218" s="464"/>
      <c r="H218" s="464"/>
      <c r="I218" s="464"/>
      <c r="J218" s="464"/>
      <c r="K218" s="464"/>
      <c r="L218" s="464"/>
      <c r="M218" s="464"/>
      <c r="N218" s="464"/>
      <c r="O218" s="464"/>
      <c r="P218" s="464"/>
      <c r="Q218" s="464"/>
      <c r="R218" s="440"/>
      <c r="T218" s="448" t="str">
        <f>+IF('Make Ready Worksheet'!Q22="","",'Make Ready Worksheet'!Q22)</f>
        <v/>
      </c>
    </row>
    <row r="219" spans="1:24" ht="14" outlineLevel="1">
      <c r="A219" s="319">
        <f>INDEX(QS_Chart_Of_Accounts_Upload!$C:$O,MATCH(B219,QS_Chart_Of_Accounts_Upload!$E:$E,0),MATCH("ACCT_NO",QS_Chart_Of_Accounts_Upload!$C$1:$O$1,0))</f>
        <v>6800</v>
      </c>
      <c r="B219" s="439" t="str">
        <f>'Make Ready Worksheet'!B21</f>
        <v>Blinds/Drapes Repair</v>
      </c>
      <c r="C219" s="439"/>
      <c r="D219" s="431">
        <f t="shared" ref="D219:D231" si="36">+SUBTOTAL(9,F219:R219)</f>
        <v>0</v>
      </c>
      <c r="E219" s="439"/>
      <c r="F219" s="441">
        <f>'Make Ready Worksheet'!C21</f>
        <v>0</v>
      </c>
      <c r="G219" s="441">
        <f>'Make Ready Worksheet'!D21</f>
        <v>0</v>
      </c>
      <c r="H219" s="441">
        <f>'Make Ready Worksheet'!E21</f>
        <v>0</v>
      </c>
      <c r="I219" s="441">
        <f>'Make Ready Worksheet'!F21</f>
        <v>0</v>
      </c>
      <c r="J219" s="441">
        <f>'Make Ready Worksheet'!G21</f>
        <v>0</v>
      </c>
      <c r="K219" s="441">
        <f>'Make Ready Worksheet'!H21</f>
        <v>0</v>
      </c>
      <c r="L219" s="441">
        <f>'Make Ready Worksheet'!I21</f>
        <v>0</v>
      </c>
      <c r="M219" s="441">
        <f>'Make Ready Worksheet'!J21</f>
        <v>0</v>
      </c>
      <c r="N219" s="441">
        <f>'Make Ready Worksheet'!K21</f>
        <v>0</v>
      </c>
      <c r="O219" s="441">
        <f>'Make Ready Worksheet'!L21</f>
        <v>0</v>
      </c>
      <c r="P219" s="441">
        <f>'Make Ready Worksheet'!M21</f>
        <v>0</v>
      </c>
      <c r="Q219" s="441">
        <f>'Make Ready Worksheet'!N21</f>
        <v>0</v>
      </c>
      <c r="R219" s="431">
        <f t="shared" ref="R219:R231" si="37">+SUBTOTAL(9,F219:Q219)</f>
        <v>0</v>
      </c>
      <c r="T219" s="448" t="str">
        <f>+IF('Make Ready Worksheet'!Q23="","",'Make Ready Worksheet'!Q23)</f>
        <v/>
      </c>
    </row>
    <row r="220" spans="1:24" ht="14" outlineLevel="1">
      <c r="A220" s="319">
        <f>INDEX(QS_Chart_Of_Accounts_Upload!$C:$O,MATCH(B220,QS_Chart_Of_Accounts_Upload!$E:$E,0),MATCH("ACCT_NO",QS_Chart_Of_Accounts_Upload!$C$1:$O$1,0))</f>
        <v>6810</v>
      </c>
      <c r="B220" s="439" t="str">
        <f>'Make Ready Worksheet'!B22</f>
        <v>Carpet Cleaning/Repair</v>
      </c>
      <c r="C220" s="439"/>
      <c r="D220" s="431">
        <f t="shared" si="36"/>
        <v>0</v>
      </c>
      <c r="E220" s="439"/>
      <c r="F220" s="441">
        <f>'Make Ready Worksheet'!C22</f>
        <v>0</v>
      </c>
      <c r="G220" s="441">
        <f>'Make Ready Worksheet'!D22</f>
        <v>0</v>
      </c>
      <c r="H220" s="441">
        <f>'Make Ready Worksheet'!E22</f>
        <v>0</v>
      </c>
      <c r="I220" s="441">
        <f>'Make Ready Worksheet'!F22</f>
        <v>0</v>
      </c>
      <c r="J220" s="441">
        <f>'Make Ready Worksheet'!G22</f>
        <v>0</v>
      </c>
      <c r="K220" s="441">
        <f>'Make Ready Worksheet'!H22</f>
        <v>0</v>
      </c>
      <c r="L220" s="441">
        <f>'Make Ready Worksheet'!I22</f>
        <v>0</v>
      </c>
      <c r="M220" s="441">
        <f>'Make Ready Worksheet'!J22</f>
        <v>0</v>
      </c>
      <c r="N220" s="441">
        <f>'Make Ready Worksheet'!K22</f>
        <v>0</v>
      </c>
      <c r="O220" s="441">
        <f>'Make Ready Worksheet'!L22</f>
        <v>0</v>
      </c>
      <c r="P220" s="441">
        <f>'Make Ready Worksheet'!M22</f>
        <v>0</v>
      </c>
      <c r="Q220" s="441">
        <f>'Make Ready Worksheet'!N22</f>
        <v>0</v>
      </c>
      <c r="R220" s="431">
        <f t="shared" si="37"/>
        <v>0</v>
      </c>
      <c r="T220" s="448" t="str">
        <f>+IF('Make Ready Worksheet'!Q24="","",'Make Ready Worksheet'!Q24)</f>
        <v/>
      </c>
    </row>
    <row r="221" spans="1:24" ht="14" outlineLevel="1">
      <c r="A221" s="319">
        <f>INDEX(QS_Chart_Of_Accounts_Upload!$C:$O,MATCH(B221,QS_Chart_Of_Accounts_Upload!$E:$E,0),MATCH("ACCT_NO",QS_Chart_Of_Accounts_Upload!$C$1:$O$1,0))</f>
        <v>6820</v>
      </c>
      <c r="B221" s="439" t="str">
        <f>'Make Ready Worksheet'!B23</f>
        <v>Ceiling Fans/Fixtures</v>
      </c>
      <c r="C221" s="439"/>
      <c r="D221" s="431">
        <f t="shared" si="36"/>
        <v>0</v>
      </c>
      <c r="E221" s="439"/>
      <c r="F221" s="441">
        <f>'Make Ready Worksheet'!C23</f>
        <v>0</v>
      </c>
      <c r="G221" s="441">
        <f>'Make Ready Worksheet'!D23</f>
        <v>0</v>
      </c>
      <c r="H221" s="441">
        <f>'Make Ready Worksheet'!E23</f>
        <v>0</v>
      </c>
      <c r="I221" s="441">
        <f>'Make Ready Worksheet'!F23</f>
        <v>0</v>
      </c>
      <c r="J221" s="441">
        <f>'Make Ready Worksheet'!G23</f>
        <v>0</v>
      </c>
      <c r="K221" s="441">
        <f>'Make Ready Worksheet'!H23</f>
        <v>0</v>
      </c>
      <c r="L221" s="441">
        <f>'Make Ready Worksheet'!I23</f>
        <v>0</v>
      </c>
      <c r="M221" s="441">
        <f>'Make Ready Worksheet'!J23</f>
        <v>0</v>
      </c>
      <c r="N221" s="441">
        <f>'Make Ready Worksheet'!K23</f>
        <v>0</v>
      </c>
      <c r="O221" s="441">
        <f>'Make Ready Worksheet'!L23</f>
        <v>0</v>
      </c>
      <c r="P221" s="441">
        <f>'Make Ready Worksheet'!M23</f>
        <v>0</v>
      </c>
      <c r="Q221" s="441">
        <f>'Make Ready Worksheet'!N23</f>
        <v>0</v>
      </c>
      <c r="R221" s="431">
        <f t="shared" si="37"/>
        <v>0</v>
      </c>
      <c r="T221" s="448" t="str">
        <f>+IF('Make Ready Worksheet'!Q25="","",'Make Ready Worksheet'!Q25)</f>
        <v/>
      </c>
    </row>
    <row r="222" spans="1:24" ht="14" outlineLevel="1">
      <c r="A222" s="319">
        <f>INDEX(QS_Chart_Of_Accounts_Upload!$C:$O,MATCH(B222,QS_Chart_Of_Accounts_Upload!$E:$E,0),MATCH("ACCT_NO",QS_Chart_Of_Accounts_Upload!$C$1:$O$1,0))</f>
        <v>6830</v>
      </c>
      <c r="B222" s="439" t="str">
        <f>'Make Ready Worksheet'!B24</f>
        <v>Cleaning Supplies</v>
      </c>
      <c r="C222" s="439"/>
      <c r="D222" s="431">
        <f t="shared" si="36"/>
        <v>0</v>
      </c>
      <c r="E222" s="439"/>
      <c r="F222" s="441">
        <f>'Make Ready Worksheet'!C24</f>
        <v>0</v>
      </c>
      <c r="G222" s="441">
        <f>'Make Ready Worksheet'!D24</f>
        <v>0</v>
      </c>
      <c r="H222" s="441">
        <f>'Make Ready Worksheet'!E24</f>
        <v>0</v>
      </c>
      <c r="I222" s="441">
        <f>'Make Ready Worksheet'!F24</f>
        <v>0</v>
      </c>
      <c r="J222" s="441">
        <f>'Make Ready Worksheet'!G24</f>
        <v>0</v>
      </c>
      <c r="K222" s="441">
        <f>'Make Ready Worksheet'!H24</f>
        <v>0</v>
      </c>
      <c r="L222" s="441">
        <f>'Make Ready Worksheet'!I24</f>
        <v>0</v>
      </c>
      <c r="M222" s="441">
        <f>'Make Ready Worksheet'!J24</f>
        <v>0</v>
      </c>
      <c r="N222" s="441">
        <f>'Make Ready Worksheet'!K24</f>
        <v>0</v>
      </c>
      <c r="O222" s="441">
        <f>'Make Ready Worksheet'!L24</f>
        <v>0</v>
      </c>
      <c r="P222" s="441">
        <f>'Make Ready Worksheet'!M24</f>
        <v>0</v>
      </c>
      <c r="Q222" s="441">
        <f>'Make Ready Worksheet'!N24</f>
        <v>0</v>
      </c>
      <c r="R222" s="431">
        <f t="shared" si="37"/>
        <v>0</v>
      </c>
      <c r="T222" s="448" t="str">
        <f>+IF('Make Ready Worksheet'!Q26="","",'Make Ready Worksheet'!Q26)</f>
        <v/>
      </c>
    </row>
    <row r="223" spans="1:24" ht="14" outlineLevel="1">
      <c r="A223" s="319">
        <f>INDEX(QS_Chart_Of_Accounts_Upload!$C:$O,MATCH(B223,QS_Chart_Of_Accounts_Upload!$E:$E,0),MATCH("ACCT_NO",QS_Chart_Of_Accounts_Upload!$C$1:$O$1,0))</f>
        <v>6840</v>
      </c>
      <c r="B223" s="439" t="str">
        <f>'Make Ready Worksheet'!B25</f>
        <v>Main/Cleaning Service</v>
      </c>
      <c r="C223" s="439"/>
      <c r="D223" s="431">
        <f t="shared" si="36"/>
        <v>0</v>
      </c>
      <c r="E223" s="439"/>
      <c r="F223" s="441">
        <f>'Make Ready Worksheet'!C25</f>
        <v>0</v>
      </c>
      <c r="G223" s="441">
        <f>'Make Ready Worksheet'!D25</f>
        <v>0</v>
      </c>
      <c r="H223" s="441">
        <f>'Make Ready Worksheet'!E25</f>
        <v>0</v>
      </c>
      <c r="I223" s="441">
        <f>'Make Ready Worksheet'!F25</f>
        <v>0</v>
      </c>
      <c r="J223" s="441">
        <f>'Make Ready Worksheet'!G25</f>
        <v>0</v>
      </c>
      <c r="K223" s="441">
        <f>'Make Ready Worksheet'!H25</f>
        <v>0</v>
      </c>
      <c r="L223" s="441">
        <f>'Make Ready Worksheet'!I25</f>
        <v>0</v>
      </c>
      <c r="M223" s="441">
        <f>'Make Ready Worksheet'!J25</f>
        <v>0</v>
      </c>
      <c r="N223" s="441">
        <f>'Make Ready Worksheet'!K25</f>
        <v>0</v>
      </c>
      <c r="O223" s="441">
        <f>'Make Ready Worksheet'!L25</f>
        <v>0</v>
      </c>
      <c r="P223" s="441">
        <f>'Make Ready Worksheet'!M25</f>
        <v>0</v>
      </c>
      <c r="Q223" s="441">
        <f>'Make Ready Worksheet'!N25</f>
        <v>0</v>
      </c>
      <c r="R223" s="431">
        <f t="shared" si="37"/>
        <v>0</v>
      </c>
      <c r="T223" s="448" t="str">
        <f>+IF('Make Ready Worksheet'!Q27="","",'Make Ready Worksheet'!Q27)</f>
        <v/>
      </c>
    </row>
    <row r="224" spans="1:24" ht="14" outlineLevel="1">
      <c r="A224" s="319">
        <f>INDEX(QS_Chart_Of_Accounts_Upload!$C:$O,MATCH(B224,QS_Chart_Of_Accounts_Upload!$E:$E,0),MATCH("ACCT_NO",QS_Chart_Of_Accounts_Upload!$C$1:$O$1,0))</f>
        <v>6850</v>
      </c>
      <c r="B224" s="439" t="str">
        <f>'Make Ready Worksheet'!B26</f>
        <v>Paint Contractor</v>
      </c>
      <c r="C224" s="439"/>
      <c r="D224" s="431">
        <f t="shared" si="36"/>
        <v>0</v>
      </c>
      <c r="E224" s="439"/>
      <c r="F224" s="441">
        <f>'Make Ready Worksheet'!C26</f>
        <v>0</v>
      </c>
      <c r="G224" s="441">
        <f>'Make Ready Worksheet'!D26</f>
        <v>0</v>
      </c>
      <c r="H224" s="441">
        <f>'Make Ready Worksheet'!E26</f>
        <v>0</v>
      </c>
      <c r="I224" s="441">
        <f>'Make Ready Worksheet'!F26</f>
        <v>0</v>
      </c>
      <c r="J224" s="441">
        <f>'Make Ready Worksheet'!G26</f>
        <v>0</v>
      </c>
      <c r="K224" s="441">
        <f>'Make Ready Worksheet'!H26</f>
        <v>0</v>
      </c>
      <c r="L224" s="441">
        <f>'Make Ready Worksheet'!I26</f>
        <v>0</v>
      </c>
      <c r="M224" s="441">
        <f>'Make Ready Worksheet'!J26</f>
        <v>0</v>
      </c>
      <c r="N224" s="441">
        <f>'Make Ready Worksheet'!K26</f>
        <v>0</v>
      </c>
      <c r="O224" s="441">
        <f>'Make Ready Worksheet'!L26</f>
        <v>0</v>
      </c>
      <c r="P224" s="441">
        <f>'Make Ready Worksheet'!M26</f>
        <v>0</v>
      </c>
      <c r="Q224" s="441">
        <f>'Make Ready Worksheet'!N26</f>
        <v>0</v>
      </c>
      <c r="R224" s="431">
        <f t="shared" si="37"/>
        <v>0</v>
      </c>
      <c r="T224" s="448" t="str">
        <f>+IF('Make Ready Worksheet'!Q28="","",'Make Ready Worksheet'!Q28)</f>
        <v/>
      </c>
    </row>
    <row r="225" spans="1:23" ht="14" outlineLevel="1">
      <c r="A225" s="319">
        <f>INDEX(QS_Chart_Of_Accounts_Upload!$C:$O,MATCH(B225,QS_Chart_Of_Accounts_Upload!$E:$E,0),MATCH("ACCT_NO",QS_Chart_Of_Accounts_Upload!$C$1:$O$1,0))</f>
        <v>6851</v>
      </c>
      <c r="B225" s="439" t="str">
        <f>'Make Ready Worksheet'!B27</f>
        <v>Sheetrock Repair</v>
      </c>
      <c r="C225" s="439"/>
      <c r="D225" s="431">
        <f t="shared" si="36"/>
        <v>0</v>
      </c>
      <c r="E225" s="439"/>
      <c r="F225" s="441">
        <f>'Make Ready Worksheet'!C27</f>
        <v>0</v>
      </c>
      <c r="G225" s="441">
        <f>'Make Ready Worksheet'!D27</f>
        <v>0</v>
      </c>
      <c r="H225" s="441">
        <f>'Make Ready Worksheet'!E27</f>
        <v>0</v>
      </c>
      <c r="I225" s="441">
        <f>'Make Ready Worksheet'!F27</f>
        <v>0</v>
      </c>
      <c r="J225" s="441">
        <f>'Make Ready Worksheet'!G27</f>
        <v>0</v>
      </c>
      <c r="K225" s="441">
        <f>'Make Ready Worksheet'!H27</f>
        <v>0</v>
      </c>
      <c r="L225" s="441">
        <f>'Make Ready Worksheet'!I27</f>
        <v>0</v>
      </c>
      <c r="M225" s="441">
        <f>'Make Ready Worksheet'!J27</f>
        <v>0</v>
      </c>
      <c r="N225" s="441">
        <f>'Make Ready Worksheet'!K27</f>
        <v>0</v>
      </c>
      <c r="O225" s="441">
        <f>'Make Ready Worksheet'!L27</f>
        <v>0</v>
      </c>
      <c r="P225" s="441">
        <f>'Make Ready Worksheet'!M27</f>
        <v>0</v>
      </c>
      <c r="Q225" s="441">
        <f>'Make Ready Worksheet'!N27</f>
        <v>0</v>
      </c>
      <c r="R225" s="431">
        <f t="shared" si="37"/>
        <v>0</v>
      </c>
      <c r="T225" s="448" t="str">
        <f>+IF('Make Ready Worksheet'!Q29="","",'Make Ready Worksheet'!Q29)</f>
        <v/>
      </c>
    </row>
    <row r="226" spans="1:23" ht="14" outlineLevel="1">
      <c r="A226" s="319">
        <f>INDEX(QS_Chart_Of_Accounts_Upload!$C:$O,MATCH(B226,QS_Chart_Of_Accounts_Upload!$E:$E,0),MATCH("ACCT_NO",QS_Chart_Of_Accounts_Upload!$C$1:$O$1,0))</f>
        <v>6852</v>
      </c>
      <c r="B226" s="439" t="str">
        <f>'Make Ready Worksheet'!B28</f>
        <v>Tile Repair</v>
      </c>
      <c r="C226" s="439"/>
      <c r="D226" s="431">
        <f t="shared" si="36"/>
        <v>0</v>
      </c>
      <c r="E226" s="439"/>
      <c r="F226" s="441">
        <f>'Make Ready Worksheet'!C28</f>
        <v>0</v>
      </c>
      <c r="G226" s="441">
        <f>'Make Ready Worksheet'!D28</f>
        <v>0</v>
      </c>
      <c r="H226" s="441">
        <f>'Make Ready Worksheet'!E28</f>
        <v>0</v>
      </c>
      <c r="I226" s="441">
        <f>'Make Ready Worksheet'!F28</f>
        <v>0</v>
      </c>
      <c r="J226" s="441">
        <f>'Make Ready Worksheet'!G28</f>
        <v>0</v>
      </c>
      <c r="K226" s="441">
        <f>'Make Ready Worksheet'!H28</f>
        <v>0</v>
      </c>
      <c r="L226" s="441">
        <f>'Make Ready Worksheet'!I28</f>
        <v>0</v>
      </c>
      <c r="M226" s="441">
        <f>'Make Ready Worksheet'!J28</f>
        <v>0</v>
      </c>
      <c r="N226" s="441">
        <f>'Make Ready Worksheet'!K28</f>
        <v>0</v>
      </c>
      <c r="O226" s="441">
        <f>'Make Ready Worksheet'!L28</f>
        <v>0</v>
      </c>
      <c r="P226" s="441">
        <f>'Make Ready Worksheet'!M28</f>
        <v>0</v>
      </c>
      <c r="Q226" s="441">
        <f>'Make Ready Worksheet'!N28</f>
        <v>0</v>
      </c>
      <c r="R226" s="431">
        <f t="shared" si="37"/>
        <v>0</v>
      </c>
      <c r="T226" s="448" t="str">
        <f>+IF('Make Ready Worksheet'!Q30="","",'Make Ready Worksheet'!Q30)</f>
        <v/>
      </c>
    </row>
    <row r="227" spans="1:23" ht="14" outlineLevel="1">
      <c r="A227" s="319">
        <f>INDEX(QS_Chart_Of_Accounts_Upload!$C:$O,MATCH(B227,QS_Chart_Of_Accounts_Upload!$E:$E,0),MATCH("ACCT_NO",QS_Chart_Of_Accounts_Upload!$C$1:$O$1,0))</f>
        <v>6853</v>
      </c>
      <c r="B227" s="439" t="str">
        <f>'Make Ready Worksheet'!B29</f>
        <v>Miscellaneous Unit Repair</v>
      </c>
      <c r="C227" s="439"/>
      <c r="D227" s="431">
        <f t="shared" si="36"/>
        <v>0</v>
      </c>
      <c r="E227" s="439"/>
      <c r="F227" s="441">
        <f>'Make Ready Worksheet'!C29</f>
        <v>0</v>
      </c>
      <c r="G227" s="441">
        <f>'Make Ready Worksheet'!D29</f>
        <v>0</v>
      </c>
      <c r="H227" s="441">
        <f>'Make Ready Worksheet'!E29</f>
        <v>0</v>
      </c>
      <c r="I227" s="441">
        <f>'Make Ready Worksheet'!F29</f>
        <v>0</v>
      </c>
      <c r="J227" s="441">
        <f>'Make Ready Worksheet'!G29</f>
        <v>0</v>
      </c>
      <c r="K227" s="441">
        <f>'Make Ready Worksheet'!H29</f>
        <v>0</v>
      </c>
      <c r="L227" s="441">
        <f>'Make Ready Worksheet'!I29</f>
        <v>0</v>
      </c>
      <c r="M227" s="441">
        <f>'Make Ready Worksheet'!J29</f>
        <v>0</v>
      </c>
      <c r="N227" s="441">
        <f>'Make Ready Worksheet'!K29</f>
        <v>0</v>
      </c>
      <c r="O227" s="441">
        <f>'Make Ready Worksheet'!L29</f>
        <v>0</v>
      </c>
      <c r="P227" s="441">
        <f>'Make Ready Worksheet'!M29</f>
        <v>0</v>
      </c>
      <c r="Q227" s="441">
        <f>'Make Ready Worksheet'!N29</f>
        <v>0</v>
      </c>
      <c r="R227" s="431">
        <f t="shared" si="37"/>
        <v>0</v>
      </c>
      <c r="T227" s="448" t="str">
        <f>+IF('Make Ready Worksheet'!Q31="","",'Make Ready Worksheet'!Q31)</f>
        <v/>
      </c>
    </row>
    <row r="228" spans="1:23" ht="14" outlineLevel="1">
      <c r="A228" s="319">
        <f>INDEX(QS_Chart_Of_Accounts_Upload!$C:$O,MATCH(B228,QS_Chart_Of_Accounts_Upload!$E:$E,0),MATCH("ACCT_NO",QS_Chart_Of_Accounts_Upload!$C$1:$O$1,0))</f>
        <v>6860</v>
      </c>
      <c r="B228" s="439" t="str">
        <f>'Make Ready Worksheet'!B30</f>
        <v>Paint Supplies</v>
      </c>
      <c r="C228" s="439"/>
      <c r="D228" s="431">
        <f t="shared" si="36"/>
        <v>0</v>
      </c>
      <c r="E228" s="439"/>
      <c r="F228" s="441">
        <f>'Make Ready Worksheet'!C30</f>
        <v>0</v>
      </c>
      <c r="G228" s="441">
        <f>'Make Ready Worksheet'!D30</f>
        <v>0</v>
      </c>
      <c r="H228" s="441">
        <f>'Make Ready Worksheet'!E30</f>
        <v>0</v>
      </c>
      <c r="I228" s="441">
        <f>'Make Ready Worksheet'!F30</f>
        <v>0</v>
      </c>
      <c r="J228" s="441">
        <f>'Make Ready Worksheet'!G30</f>
        <v>0</v>
      </c>
      <c r="K228" s="441">
        <f>'Make Ready Worksheet'!H30</f>
        <v>0</v>
      </c>
      <c r="L228" s="441">
        <f>'Make Ready Worksheet'!I30</f>
        <v>0</v>
      </c>
      <c r="M228" s="441">
        <f>'Make Ready Worksheet'!J30</f>
        <v>0</v>
      </c>
      <c r="N228" s="441">
        <f>'Make Ready Worksheet'!K30</f>
        <v>0</v>
      </c>
      <c r="O228" s="441">
        <f>'Make Ready Worksheet'!L30</f>
        <v>0</v>
      </c>
      <c r="P228" s="441">
        <f>'Make Ready Worksheet'!M30</f>
        <v>0</v>
      </c>
      <c r="Q228" s="441">
        <f>'Make Ready Worksheet'!N30</f>
        <v>0</v>
      </c>
      <c r="R228" s="431">
        <f t="shared" si="37"/>
        <v>0</v>
      </c>
      <c r="T228" s="448" t="str">
        <f>+IF('Make Ready Worksheet'!Q32="","",'Make Ready Worksheet'!Q32)</f>
        <v/>
      </c>
    </row>
    <row r="229" spans="1:23" ht="14" outlineLevel="1">
      <c r="A229" s="319">
        <f>INDEX(QS_Chart_Of_Accounts_Upload!$C:$O,MATCH(B229,QS_Chart_Of_Accounts_Upload!$E:$E,0),MATCH("ACCT_NO",QS_Chart_Of_Accounts_Upload!$C$1:$O$1,0))</f>
        <v>6870</v>
      </c>
      <c r="B229" s="439" t="str">
        <f>'Make Ready Worksheet'!B31</f>
        <v>Resurfacing Countertops</v>
      </c>
      <c r="C229" s="439"/>
      <c r="D229" s="431">
        <f t="shared" si="36"/>
        <v>0</v>
      </c>
      <c r="E229" s="439"/>
      <c r="F229" s="441">
        <f>'Make Ready Worksheet'!C31</f>
        <v>0</v>
      </c>
      <c r="G229" s="441">
        <f>'Make Ready Worksheet'!D31</f>
        <v>0</v>
      </c>
      <c r="H229" s="441">
        <f>'Make Ready Worksheet'!E31</f>
        <v>0</v>
      </c>
      <c r="I229" s="441">
        <f>'Make Ready Worksheet'!F31</f>
        <v>0</v>
      </c>
      <c r="J229" s="441">
        <f>'Make Ready Worksheet'!G31</f>
        <v>0</v>
      </c>
      <c r="K229" s="441">
        <f>'Make Ready Worksheet'!H31</f>
        <v>0</v>
      </c>
      <c r="L229" s="441">
        <f>'Make Ready Worksheet'!I31</f>
        <v>0</v>
      </c>
      <c r="M229" s="441">
        <f>'Make Ready Worksheet'!J31</f>
        <v>0</v>
      </c>
      <c r="N229" s="441">
        <f>'Make Ready Worksheet'!K31</f>
        <v>0</v>
      </c>
      <c r="O229" s="441">
        <f>'Make Ready Worksheet'!L31</f>
        <v>0</v>
      </c>
      <c r="P229" s="441">
        <f>'Make Ready Worksheet'!M31</f>
        <v>0</v>
      </c>
      <c r="Q229" s="441">
        <f>'Make Ready Worksheet'!N31</f>
        <v>0</v>
      </c>
      <c r="R229" s="431">
        <f t="shared" si="37"/>
        <v>0</v>
      </c>
      <c r="T229" s="448" t="str">
        <f>+IF('Make Ready Worksheet'!Q33="","",'Make Ready Worksheet'!Q33)</f>
        <v/>
      </c>
    </row>
    <row r="230" spans="1:23" ht="14" outlineLevel="1">
      <c r="A230" s="319">
        <f>INDEX(QS_Chart_Of_Accounts_Upload!$C:$O,MATCH(B230,QS_Chart_Of_Accounts_Upload!$E:$E,0),MATCH("ACCT_NO",QS_Chart_Of_Accounts_Upload!$C$1:$O$1,0))</f>
        <v>6880</v>
      </c>
      <c r="B230" s="439" t="str">
        <f>'Make Ready Worksheet'!B32</f>
        <v>Resurfacing Bathtubs</v>
      </c>
      <c r="C230" s="439"/>
      <c r="D230" s="431">
        <f t="shared" si="36"/>
        <v>0</v>
      </c>
      <c r="E230" s="439"/>
      <c r="F230" s="441">
        <f>'Make Ready Worksheet'!C32</f>
        <v>0</v>
      </c>
      <c r="G230" s="441">
        <f>'Make Ready Worksheet'!D32</f>
        <v>0</v>
      </c>
      <c r="H230" s="441">
        <f>'Make Ready Worksheet'!E32</f>
        <v>0</v>
      </c>
      <c r="I230" s="441">
        <f>'Make Ready Worksheet'!F32</f>
        <v>0</v>
      </c>
      <c r="J230" s="441">
        <f>'Make Ready Worksheet'!G32</f>
        <v>0</v>
      </c>
      <c r="K230" s="441">
        <f>'Make Ready Worksheet'!H32</f>
        <v>0</v>
      </c>
      <c r="L230" s="441">
        <f>'Make Ready Worksheet'!I32</f>
        <v>0</v>
      </c>
      <c r="M230" s="441">
        <f>'Make Ready Worksheet'!J32</f>
        <v>0</v>
      </c>
      <c r="N230" s="441">
        <f>'Make Ready Worksheet'!K32</f>
        <v>0</v>
      </c>
      <c r="O230" s="441">
        <f>'Make Ready Worksheet'!L32</f>
        <v>0</v>
      </c>
      <c r="P230" s="441">
        <f>'Make Ready Worksheet'!M32</f>
        <v>0</v>
      </c>
      <c r="Q230" s="441">
        <f>'Make Ready Worksheet'!N32</f>
        <v>0</v>
      </c>
      <c r="R230" s="431">
        <f t="shared" si="37"/>
        <v>0</v>
      </c>
      <c r="T230" s="448" t="str">
        <f>+IF('Make Ready Worksheet'!Q34="","",'Make Ready Worksheet'!Q34)</f>
        <v/>
      </c>
    </row>
    <row r="231" spans="1:23" ht="14" outlineLevel="1">
      <c r="A231" s="319">
        <f>INDEX(QS_Chart_Of_Accounts_Upload!$C:$O,MATCH(B231,QS_Chart_Of_Accounts_Upload!$E:$E,0),MATCH("ACCT_NO",QS_Chart_Of_Accounts_Upload!$C$1:$O$1,0))</f>
        <v>6900</v>
      </c>
      <c r="B231" s="439" t="str">
        <f>'Make Ready Worksheet'!B33</f>
        <v>Property Enhancement</v>
      </c>
      <c r="C231" s="439"/>
      <c r="D231" s="431">
        <f t="shared" si="36"/>
        <v>0</v>
      </c>
      <c r="E231" s="439"/>
      <c r="F231" s="441">
        <f>'Make Ready Worksheet'!C33</f>
        <v>0</v>
      </c>
      <c r="G231" s="441">
        <f>'Make Ready Worksheet'!D33</f>
        <v>0</v>
      </c>
      <c r="H231" s="441">
        <f>'Make Ready Worksheet'!E33</f>
        <v>0</v>
      </c>
      <c r="I231" s="441">
        <f>'Make Ready Worksheet'!F33</f>
        <v>0</v>
      </c>
      <c r="J231" s="441">
        <f>'Make Ready Worksheet'!G33</f>
        <v>0</v>
      </c>
      <c r="K231" s="441">
        <f>'Make Ready Worksheet'!H33</f>
        <v>0</v>
      </c>
      <c r="L231" s="441">
        <f>'Make Ready Worksheet'!I33</f>
        <v>0</v>
      </c>
      <c r="M231" s="441">
        <f>'Make Ready Worksheet'!J33</f>
        <v>0</v>
      </c>
      <c r="N231" s="441">
        <f>'Make Ready Worksheet'!K33</f>
        <v>0</v>
      </c>
      <c r="O231" s="441">
        <f>'Make Ready Worksheet'!L33</f>
        <v>0</v>
      </c>
      <c r="P231" s="441">
        <f>'Make Ready Worksheet'!M33</f>
        <v>0</v>
      </c>
      <c r="Q231" s="441">
        <f>'Make Ready Worksheet'!N33</f>
        <v>0</v>
      </c>
      <c r="R231" s="431">
        <f t="shared" si="37"/>
        <v>0</v>
      </c>
      <c r="T231" s="448" t="str">
        <f>+IF('Make Ready Worksheet'!Q35="","",'Make Ready Worksheet'!Q35)</f>
        <v/>
      </c>
    </row>
    <row r="232" spans="1:23" ht="7.5" customHeight="1" outlineLevel="1">
      <c r="A232" s="319"/>
      <c r="B232" s="439"/>
      <c r="C232" s="439"/>
      <c r="D232" s="465"/>
      <c r="E232" s="439"/>
      <c r="F232" s="466"/>
      <c r="G232" s="466"/>
      <c r="H232" s="466"/>
      <c r="I232" s="466"/>
      <c r="J232" s="466"/>
      <c r="K232" s="466"/>
      <c r="L232" s="466"/>
      <c r="M232" s="466"/>
      <c r="N232" s="466"/>
      <c r="O232" s="466"/>
      <c r="P232" s="466"/>
      <c r="Q232" s="466"/>
      <c r="R232" s="465"/>
      <c r="T232" s="448" t="str">
        <f>+IF('Make Ready Worksheet'!Q36="","",'Make Ready Worksheet'!Q36)</f>
        <v/>
      </c>
    </row>
    <row r="233" spans="1:23">
      <c r="A233" s="319"/>
      <c r="B233" s="463" t="s">
        <v>192</v>
      </c>
      <c r="C233" s="463"/>
      <c r="D233" s="431">
        <f>+SUBTOTAL(9,F233:R233)</f>
        <v>0</v>
      </c>
      <c r="E233" s="463"/>
      <c r="F233" s="456">
        <f t="shared" ref="F233" si="38">SUM(F218:F232)</f>
        <v>0</v>
      </c>
      <c r="G233" s="456">
        <f t="shared" ref="G233:Q233" si="39">SUM(G218:G232)</f>
        <v>0</v>
      </c>
      <c r="H233" s="456">
        <f t="shared" si="39"/>
        <v>0</v>
      </c>
      <c r="I233" s="456">
        <f t="shared" si="39"/>
        <v>0</v>
      </c>
      <c r="J233" s="456">
        <f t="shared" si="39"/>
        <v>0</v>
      </c>
      <c r="K233" s="456">
        <f t="shared" si="39"/>
        <v>0</v>
      </c>
      <c r="L233" s="456">
        <f t="shared" si="39"/>
        <v>0</v>
      </c>
      <c r="M233" s="456">
        <f t="shared" si="39"/>
        <v>0</v>
      </c>
      <c r="N233" s="456">
        <f t="shared" si="39"/>
        <v>0</v>
      </c>
      <c r="O233" s="456">
        <f t="shared" si="39"/>
        <v>0</v>
      </c>
      <c r="P233" s="456">
        <f t="shared" si="39"/>
        <v>0</v>
      </c>
      <c r="Q233" s="456">
        <f t="shared" si="39"/>
        <v>0</v>
      </c>
      <c r="R233" s="431">
        <f>+SUBTOTAL(9,F233:Q233)</f>
        <v>0</v>
      </c>
      <c r="W233" s="61"/>
    </row>
    <row r="234" spans="1:23">
      <c r="A234" s="319"/>
      <c r="B234" s="439"/>
      <c r="C234" s="439"/>
      <c r="D234" s="440"/>
      <c r="E234" s="439"/>
      <c r="F234" s="441"/>
      <c r="G234" s="441"/>
      <c r="H234" s="441"/>
      <c r="I234" s="441"/>
      <c r="J234" s="441"/>
      <c r="K234" s="441"/>
      <c r="L234" s="441"/>
      <c r="M234" s="441"/>
      <c r="N234" s="441"/>
      <c r="O234" s="441"/>
      <c r="P234" s="441"/>
      <c r="Q234" s="441"/>
      <c r="R234" s="440"/>
    </row>
    <row r="235" spans="1:23">
      <c r="A235" s="319"/>
      <c r="B235" s="463" t="s">
        <v>36</v>
      </c>
      <c r="C235" s="463"/>
      <c r="D235" s="440"/>
      <c r="E235" s="463"/>
      <c r="F235" s="464"/>
      <c r="G235" s="464"/>
      <c r="H235" s="464"/>
      <c r="I235" s="464"/>
      <c r="J235" s="464"/>
      <c r="K235" s="464"/>
      <c r="L235" s="464"/>
      <c r="M235" s="464"/>
      <c r="N235" s="464"/>
      <c r="O235" s="464"/>
      <c r="P235" s="464"/>
      <c r="Q235" s="464"/>
      <c r="R235" s="440"/>
      <c r="T235" s="470" t="s">
        <v>24</v>
      </c>
    </row>
    <row r="236" spans="1:23" ht="7.5" customHeight="1" outlineLevel="1">
      <c r="A236" s="319"/>
      <c r="B236" s="463"/>
      <c r="C236" s="463"/>
      <c r="D236" s="440"/>
      <c r="E236" s="463"/>
      <c r="F236" s="464"/>
      <c r="G236" s="464"/>
      <c r="H236" s="464"/>
      <c r="I236" s="464"/>
      <c r="J236" s="464"/>
      <c r="K236" s="464"/>
      <c r="L236" s="464"/>
      <c r="M236" s="464"/>
      <c r="N236" s="464"/>
      <c r="O236" s="464"/>
      <c r="P236" s="464"/>
      <c r="Q236" s="464"/>
      <c r="R236" s="440"/>
      <c r="T236" s="470"/>
    </row>
    <row r="237" spans="1:23" ht="15.75" customHeight="1" outlineLevel="1">
      <c r="A237" s="319">
        <f>INDEX(QS_Chart_Of_Accounts_Upload!$C:$O,MATCH(B237,QS_Chart_Of_Accounts_Upload!$E:$E,0),MATCH("ACCT_NO",QS_Chart_Of_Accounts_Upload!$C$1:$O$1,0))</f>
        <v>6508</v>
      </c>
      <c r="B237" s="439" t="str">
        <f>'Operating Expenses'!B121</f>
        <v>Cable Contract</v>
      </c>
      <c r="C237" s="439"/>
      <c r="D237" s="431">
        <f t="shared" ref="D237:D256" si="40">+SUBTOTAL(9,F237:R237)</f>
        <v>27680</v>
      </c>
      <c r="E237" s="439"/>
      <c r="F237" s="464">
        <f>'Operating Expenses'!C121</f>
        <v>800</v>
      </c>
      <c r="G237" s="464">
        <f>'Operating Expenses'!D121</f>
        <v>920</v>
      </c>
      <c r="H237" s="464">
        <f>'Operating Expenses'!E121</f>
        <v>920</v>
      </c>
      <c r="I237" s="464">
        <f>'Operating Expenses'!F121</f>
        <v>920</v>
      </c>
      <c r="J237" s="464">
        <f>'Operating Expenses'!G121</f>
        <v>1720</v>
      </c>
      <c r="K237" s="464">
        <f>'Operating Expenses'!H121</f>
        <v>2720</v>
      </c>
      <c r="L237" s="464">
        <f>'Operating Expenses'!I121</f>
        <v>3280</v>
      </c>
      <c r="M237" s="464">
        <f>'Operating Expenses'!J121</f>
        <v>3280</v>
      </c>
      <c r="N237" s="464">
        <f>'Operating Expenses'!K121</f>
        <v>3280</v>
      </c>
      <c r="O237" s="464">
        <f>'Operating Expenses'!L121</f>
        <v>3280</v>
      </c>
      <c r="P237" s="464">
        <f>'Operating Expenses'!M121</f>
        <v>3280</v>
      </c>
      <c r="Q237" s="464">
        <f>'Operating Expenses'!N121</f>
        <v>3280</v>
      </c>
      <c r="R237" s="431">
        <f t="shared" ref="R237:R256" si="41">+SUBTOTAL(9,F237:Q237)</f>
        <v>27680</v>
      </c>
      <c r="T237" s="448" t="str">
        <f>+IF('Operating Expenses'!Q121="","",'Operating Expenses'!Q121)</f>
        <v>Internet Only</v>
      </c>
    </row>
    <row r="238" spans="1:23" ht="14" outlineLevel="1">
      <c r="A238" s="319">
        <f>INDEX(QS_Chart_Of_Accounts_Upload!$C:$O,MATCH(B238,QS_Chart_Of_Accounts_Upload!$E:$E,0),MATCH("ACCT_NO",QS_Chart_Of_Accounts_Upload!$C$1:$O$1,0))</f>
        <v>6510</v>
      </c>
      <c r="B238" s="439" t="str">
        <f>'Operating Expenses'!B122</f>
        <v>Cleaning Services</v>
      </c>
      <c r="C238" s="439"/>
      <c r="D238" s="431">
        <f t="shared" si="40"/>
        <v>0</v>
      </c>
      <c r="E238" s="439"/>
      <c r="F238" s="464">
        <f>'Operating Expenses'!C122</f>
        <v>0</v>
      </c>
      <c r="G238" s="464">
        <f>'Operating Expenses'!D122</f>
        <v>0</v>
      </c>
      <c r="H238" s="464">
        <f>'Operating Expenses'!E122</f>
        <v>0</v>
      </c>
      <c r="I238" s="464">
        <f>'Operating Expenses'!F122</f>
        <v>0</v>
      </c>
      <c r="J238" s="464">
        <f>'Operating Expenses'!G122</f>
        <v>0</v>
      </c>
      <c r="K238" s="464">
        <f>'Operating Expenses'!H122</f>
        <v>0</v>
      </c>
      <c r="L238" s="464">
        <f>'Operating Expenses'!I122</f>
        <v>0</v>
      </c>
      <c r="M238" s="464">
        <f>'Operating Expenses'!J122</f>
        <v>0</v>
      </c>
      <c r="N238" s="464">
        <f>'Operating Expenses'!K122</f>
        <v>0</v>
      </c>
      <c r="O238" s="464">
        <f>'Operating Expenses'!L122</f>
        <v>0</v>
      </c>
      <c r="P238" s="464">
        <f>'Operating Expenses'!M122</f>
        <v>0</v>
      </c>
      <c r="Q238" s="464">
        <f>'Operating Expenses'!N122</f>
        <v>0</v>
      </c>
      <c r="R238" s="431">
        <f t="shared" si="41"/>
        <v>0</v>
      </c>
      <c r="T238" s="448" t="str">
        <f>+IF('Operating Expenses'!Q122="","",'Operating Expenses'!Q122)</f>
        <v/>
      </c>
    </row>
    <row r="239" spans="1:23" ht="14" outlineLevel="1">
      <c r="A239" s="319">
        <f>INDEX(QS_Chart_Of_Accounts_Upload!$C:$O,MATCH(B239,QS_Chart_Of_Accounts_Upload!$E:$E,0),MATCH("ACCT_NO",QS_Chart_Of_Accounts_Upload!$C$1:$O$1,0))</f>
        <v>6510.1</v>
      </c>
      <c r="B239" s="439" t="str">
        <f>'Operating Expenses'!B123</f>
        <v>Cleaning Services - Corporate Units</v>
      </c>
      <c r="C239" s="439"/>
      <c r="D239" s="431">
        <f t="shared" si="40"/>
        <v>0</v>
      </c>
      <c r="E239" s="439"/>
      <c r="F239" s="464">
        <f>'Operating Expenses'!C123</f>
        <v>0</v>
      </c>
      <c r="G239" s="464">
        <f>'Operating Expenses'!D123</f>
        <v>0</v>
      </c>
      <c r="H239" s="464">
        <f>'Operating Expenses'!E123</f>
        <v>0</v>
      </c>
      <c r="I239" s="464">
        <f>'Operating Expenses'!F123</f>
        <v>0</v>
      </c>
      <c r="J239" s="464">
        <f>'Operating Expenses'!G123</f>
        <v>0</v>
      </c>
      <c r="K239" s="464">
        <f>'Operating Expenses'!H123</f>
        <v>0</v>
      </c>
      <c r="L239" s="464">
        <f>'Operating Expenses'!I123</f>
        <v>0</v>
      </c>
      <c r="M239" s="464">
        <f>'Operating Expenses'!J123</f>
        <v>0</v>
      </c>
      <c r="N239" s="464">
        <f>'Operating Expenses'!K123</f>
        <v>0</v>
      </c>
      <c r="O239" s="464">
        <f>'Operating Expenses'!L123</f>
        <v>0</v>
      </c>
      <c r="P239" s="464">
        <f>'Operating Expenses'!M123</f>
        <v>0</v>
      </c>
      <c r="Q239" s="464">
        <f>'Operating Expenses'!N123</f>
        <v>0</v>
      </c>
      <c r="R239" s="431">
        <f t="shared" si="41"/>
        <v>0</v>
      </c>
      <c r="T239" s="448" t="str">
        <f>+IF('Operating Expenses'!Q123="","",'Operating Expenses'!Q123)</f>
        <v/>
      </c>
    </row>
    <row r="240" spans="1:23" ht="14" outlineLevel="1">
      <c r="A240" s="319">
        <f>INDEX(QS_Chart_Of_Accounts_Upload!$C:$O,MATCH(B240,QS_Chart_Of_Accounts_Upload!$E:$E,0),MATCH("ACCT_NO",QS_Chart_Of_Accounts_Upload!$C$1:$O$1,0))</f>
        <v>6512</v>
      </c>
      <c r="B240" s="439" t="str">
        <f>'Operating Expenses'!B124</f>
        <v>Common Area Music</v>
      </c>
      <c r="C240" s="439"/>
      <c r="D240" s="431">
        <f t="shared" si="40"/>
        <v>1068</v>
      </c>
      <c r="E240" s="439"/>
      <c r="F240" s="464">
        <f>'Operating Expenses'!C124</f>
        <v>89</v>
      </c>
      <c r="G240" s="464">
        <f>'Operating Expenses'!D124</f>
        <v>89</v>
      </c>
      <c r="H240" s="464">
        <f>'Operating Expenses'!E124</f>
        <v>89</v>
      </c>
      <c r="I240" s="464">
        <f>'Operating Expenses'!F124</f>
        <v>89</v>
      </c>
      <c r="J240" s="464">
        <f>'Operating Expenses'!G124</f>
        <v>89</v>
      </c>
      <c r="K240" s="464">
        <f>'Operating Expenses'!H124</f>
        <v>89</v>
      </c>
      <c r="L240" s="464">
        <f>'Operating Expenses'!I124</f>
        <v>89</v>
      </c>
      <c r="M240" s="464">
        <f>'Operating Expenses'!J124</f>
        <v>89</v>
      </c>
      <c r="N240" s="464">
        <f>'Operating Expenses'!K124</f>
        <v>89</v>
      </c>
      <c r="O240" s="464">
        <f>'Operating Expenses'!L124</f>
        <v>89</v>
      </c>
      <c r="P240" s="464">
        <f>'Operating Expenses'!M124</f>
        <v>89</v>
      </c>
      <c r="Q240" s="464">
        <f>'Operating Expenses'!N124</f>
        <v>89</v>
      </c>
      <c r="R240" s="431">
        <f t="shared" si="41"/>
        <v>1068</v>
      </c>
      <c r="T240" s="448" t="str">
        <f>+IF('Operating Expenses'!Q124="","",'Operating Expenses'!Q124)</f>
        <v/>
      </c>
    </row>
    <row r="241" spans="1:20" ht="14" outlineLevel="1">
      <c r="A241" s="319">
        <f>INDEX(QS_Chart_Of_Accounts_Upload!$C:$O,MATCH(B241,QS_Chart_Of_Accounts_Upload!$E:$E,0),MATCH("ACCT_NO",QS_Chart_Of_Accounts_Upload!$C$1:$O$1,0))</f>
        <v>6515</v>
      </c>
      <c r="B241" s="439" t="str">
        <f>'Operating Expenses'!B125</f>
        <v>Elevator Service Contract</v>
      </c>
      <c r="C241" s="439"/>
      <c r="D241" s="431">
        <f t="shared" si="40"/>
        <v>0</v>
      </c>
      <c r="E241" s="439"/>
      <c r="F241" s="464">
        <f>'Operating Expenses'!C125</f>
        <v>0</v>
      </c>
      <c r="G241" s="464">
        <f>'Operating Expenses'!D125</f>
        <v>0</v>
      </c>
      <c r="H241" s="464">
        <f>'Operating Expenses'!E125</f>
        <v>0</v>
      </c>
      <c r="I241" s="464">
        <f>'Operating Expenses'!F125</f>
        <v>0</v>
      </c>
      <c r="J241" s="464">
        <f>'Operating Expenses'!G125</f>
        <v>0</v>
      </c>
      <c r="K241" s="464">
        <f>'Operating Expenses'!H125</f>
        <v>0</v>
      </c>
      <c r="L241" s="464">
        <f>'Operating Expenses'!I125</f>
        <v>0</v>
      </c>
      <c r="M241" s="464">
        <f>'Operating Expenses'!J125</f>
        <v>0</v>
      </c>
      <c r="N241" s="464">
        <f>'Operating Expenses'!K125</f>
        <v>0</v>
      </c>
      <c r="O241" s="464">
        <f>'Operating Expenses'!L125</f>
        <v>0</v>
      </c>
      <c r="P241" s="464">
        <f>'Operating Expenses'!M125</f>
        <v>0</v>
      </c>
      <c r="Q241" s="464">
        <f>'Operating Expenses'!N125</f>
        <v>0</v>
      </c>
      <c r="R241" s="431">
        <f t="shared" si="41"/>
        <v>0</v>
      </c>
      <c r="T241" s="448" t="str">
        <f>+IF('Operating Expenses'!Q125="","",'Operating Expenses'!Q125)</f>
        <v/>
      </c>
    </row>
    <row r="242" spans="1:20" ht="14" outlineLevel="1">
      <c r="A242" s="319">
        <f>INDEX(QS_Chart_Of_Accounts_Upload!$C:$O,MATCH(B242,QS_Chart_Of_Accounts_Upload!$E:$E,0),MATCH("ACCT_NO",QS_Chart_Of_Accounts_Upload!$C$1:$O$1,0))</f>
        <v>6516</v>
      </c>
      <c r="B242" s="439" t="str">
        <f>'Operating Expenses'!B126</f>
        <v>Equipment Rental</v>
      </c>
      <c r="C242" s="439"/>
      <c r="D242" s="431">
        <f t="shared" si="40"/>
        <v>0</v>
      </c>
      <c r="E242" s="439"/>
      <c r="F242" s="464">
        <f>'Operating Expenses'!C126</f>
        <v>0</v>
      </c>
      <c r="G242" s="464">
        <f>'Operating Expenses'!D126</f>
        <v>0</v>
      </c>
      <c r="H242" s="464">
        <f>'Operating Expenses'!E126</f>
        <v>0</v>
      </c>
      <c r="I242" s="464">
        <f>'Operating Expenses'!F126</f>
        <v>0</v>
      </c>
      <c r="J242" s="464">
        <f>'Operating Expenses'!G126</f>
        <v>0</v>
      </c>
      <c r="K242" s="464">
        <f>'Operating Expenses'!H126</f>
        <v>0</v>
      </c>
      <c r="L242" s="464">
        <f>'Operating Expenses'!I126</f>
        <v>0</v>
      </c>
      <c r="M242" s="464">
        <f>'Operating Expenses'!J126</f>
        <v>0</v>
      </c>
      <c r="N242" s="464">
        <f>'Operating Expenses'!K126</f>
        <v>0</v>
      </c>
      <c r="O242" s="464">
        <f>'Operating Expenses'!L126</f>
        <v>0</v>
      </c>
      <c r="P242" s="464">
        <f>'Operating Expenses'!M126</f>
        <v>0</v>
      </c>
      <c r="Q242" s="464">
        <f>'Operating Expenses'!N126</f>
        <v>0</v>
      </c>
      <c r="R242" s="431">
        <f t="shared" si="41"/>
        <v>0</v>
      </c>
      <c r="T242" s="448" t="str">
        <f>+IF('Operating Expenses'!Q126="","",'Operating Expenses'!Q126)</f>
        <v/>
      </c>
    </row>
    <row r="243" spans="1:20" ht="14" outlineLevel="1">
      <c r="A243" s="319">
        <f>INDEX(QS_Chart_Of_Accounts_Upload!$C:$O,MATCH(B243,QS_Chart_Of_Accounts_Upload!$E:$E,0),MATCH("ACCT_NO",QS_Chart_Of_Accounts_Upload!$C$1:$O$1,0))</f>
        <v>6517</v>
      </c>
      <c r="B243" s="439" t="str">
        <f>'Operating Expenses'!B127</f>
        <v>Generator Maintenance Contract</v>
      </c>
      <c r="C243" s="439"/>
      <c r="D243" s="431">
        <f t="shared" si="40"/>
        <v>0</v>
      </c>
      <c r="E243" s="439"/>
      <c r="F243" s="464">
        <f>'Operating Expenses'!C127</f>
        <v>0</v>
      </c>
      <c r="G243" s="464">
        <f>'Operating Expenses'!D127</f>
        <v>0</v>
      </c>
      <c r="H243" s="464">
        <f>'Operating Expenses'!E127</f>
        <v>0</v>
      </c>
      <c r="I243" s="464">
        <f>'Operating Expenses'!F127</f>
        <v>0</v>
      </c>
      <c r="J243" s="464">
        <f>'Operating Expenses'!G127</f>
        <v>0</v>
      </c>
      <c r="K243" s="464">
        <f>'Operating Expenses'!H127</f>
        <v>0</v>
      </c>
      <c r="L243" s="464">
        <f>'Operating Expenses'!I127</f>
        <v>0</v>
      </c>
      <c r="M243" s="464">
        <f>'Operating Expenses'!J127</f>
        <v>0</v>
      </c>
      <c r="N243" s="464">
        <f>'Operating Expenses'!K127</f>
        <v>0</v>
      </c>
      <c r="O243" s="464">
        <f>'Operating Expenses'!L127</f>
        <v>0</v>
      </c>
      <c r="P243" s="464">
        <f>'Operating Expenses'!M127</f>
        <v>0</v>
      </c>
      <c r="Q243" s="464">
        <f>'Operating Expenses'!N127</f>
        <v>0</v>
      </c>
      <c r="R243" s="431">
        <f t="shared" si="41"/>
        <v>0</v>
      </c>
      <c r="T243" s="448" t="str">
        <f>+IF('Operating Expenses'!Q127="","",'Operating Expenses'!Q127)</f>
        <v/>
      </c>
    </row>
    <row r="244" spans="1:20" ht="14" outlineLevel="1">
      <c r="A244" s="319">
        <f>INDEX(QS_Chart_Of_Accounts_Upload!$C:$O,MATCH(B244,QS_Chart_Of_Accounts_Upload!$E:$E,0),MATCH("ACCT_NO",QS_Chart_Of_Accounts_Upload!$C$1:$O$1,0))</f>
        <v>6518</v>
      </c>
      <c r="B244" s="439" t="str">
        <f>'Operating Expenses'!B128</f>
        <v>HVAC Maintenance Contract</v>
      </c>
      <c r="C244" s="439"/>
      <c r="D244" s="431">
        <f t="shared" si="40"/>
        <v>0</v>
      </c>
      <c r="E244" s="439"/>
      <c r="F244" s="464">
        <f>'Operating Expenses'!C128</f>
        <v>0</v>
      </c>
      <c r="G244" s="464">
        <f>'Operating Expenses'!D128</f>
        <v>0</v>
      </c>
      <c r="H244" s="464">
        <f>'Operating Expenses'!E128</f>
        <v>0</v>
      </c>
      <c r="I244" s="464">
        <f>'Operating Expenses'!F128</f>
        <v>0</v>
      </c>
      <c r="J244" s="464">
        <f>'Operating Expenses'!G128</f>
        <v>0</v>
      </c>
      <c r="K244" s="464">
        <f>'Operating Expenses'!H128</f>
        <v>0</v>
      </c>
      <c r="L244" s="464">
        <f>'Operating Expenses'!I128</f>
        <v>0</v>
      </c>
      <c r="M244" s="464">
        <f>'Operating Expenses'!J128</f>
        <v>0</v>
      </c>
      <c r="N244" s="464">
        <f>'Operating Expenses'!K128</f>
        <v>0</v>
      </c>
      <c r="O244" s="464">
        <f>'Operating Expenses'!L128</f>
        <v>0</v>
      </c>
      <c r="P244" s="464">
        <f>'Operating Expenses'!M128</f>
        <v>0</v>
      </c>
      <c r="Q244" s="464">
        <f>'Operating Expenses'!N128</f>
        <v>0</v>
      </c>
      <c r="R244" s="431">
        <f t="shared" si="41"/>
        <v>0</v>
      </c>
      <c r="T244" s="448" t="str">
        <f>+IF('Operating Expenses'!Q128="","",'Operating Expenses'!Q128)</f>
        <v/>
      </c>
    </row>
    <row r="245" spans="1:20" ht="14" outlineLevel="1">
      <c r="A245" s="319">
        <f>INDEX(QS_Chart_Of_Accounts_Upload!$C:$O,MATCH(B245,QS_Chart_Of_Accounts_Upload!$E:$E,0),MATCH("ACCT_NO",QS_Chart_Of_Accounts_Upload!$C$1:$O$1,0))</f>
        <v>6520</v>
      </c>
      <c r="B245" s="439" t="str">
        <f>'Operating Expenses'!B129</f>
        <v>Fire Alarm Contract</v>
      </c>
      <c r="C245" s="439"/>
      <c r="D245" s="431">
        <f t="shared" si="40"/>
        <v>1140</v>
      </c>
      <c r="E245" s="439"/>
      <c r="F245" s="464">
        <f>'Operating Expenses'!C129</f>
        <v>95</v>
      </c>
      <c r="G245" s="464">
        <f>'Operating Expenses'!D129</f>
        <v>95</v>
      </c>
      <c r="H245" s="464">
        <f>'Operating Expenses'!E129</f>
        <v>95</v>
      </c>
      <c r="I245" s="464">
        <f>'Operating Expenses'!F129</f>
        <v>95</v>
      </c>
      <c r="J245" s="464">
        <f>'Operating Expenses'!G129</f>
        <v>95</v>
      </c>
      <c r="K245" s="464">
        <f>'Operating Expenses'!H129</f>
        <v>95</v>
      </c>
      <c r="L245" s="464">
        <f>'Operating Expenses'!I129</f>
        <v>95</v>
      </c>
      <c r="M245" s="464">
        <f>'Operating Expenses'!J129</f>
        <v>95</v>
      </c>
      <c r="N245" s="464">
        <f>'Operating Expenses'!K129</f>
        <v>95</v>
      </c>
      <c r="O245" s="464">
        <f>'Operating Expenses'!L129</f>
        <v>95</v>
      </c>
      <c r="P245" s="464">
        <f>'Operating Expenses'!M129</f>
        <v>95</v>
      </c>
      <c r="Q245" s="464">
        <f>'Operating Expenses'!N129</f>
        <v>95</v>
      </c>
      <c r="R245" s="431">
        <f t="shared" si="41"/>
        <v>1140</v>
      </c>
      <c r="T245" s="448" t="str">
        <f>+IF('Operating Expenses'!Q129="","",'Operating Expenses'!Q129)</f>
        <v/>
      </c>
    </row>
    <row r="246" spans="1:20" ht="14" outlineLevel="1">
      <c r="A246" s="319">
        <f>INDEX(QS_Chart_Of_Accounts_Upload!$C:$O,MATCH(B246,QS_Chart_Of_Accounts_Upload!$E:$E,0),MATCH("ACCT_NO",QS_Chart_Of_Accounts_Upload!$C$1:$O$1,0))</f>
        <v>6525</v>
      </c>
      <c r="B246" s="439" t="str">
        <f>'Operating Expenses'!B130</f>
        <v>Fire Sprinkler Contract</v>
      </c>
      <c r="C246" s="439"/>
      <c r="D246" s="431">
        <f t="shared" si="40"/>
        <v>2500</v>
      </c>
      <c r="E246" s="439"/>
      <c r="F246" s="464">
        <f>'Operating Expenses'!C130</f>
        <v>0</v>
      </c>
      <c r="G246" s="464">
        <f>'Operating Expenses'!D130</f>
        <v>0</v>
      </c>
      <c r="H246" s="464">
        <f>'Operating Expenses'!E130</f>
        <v>0</v>
      </c>
      <c r="I246" s="464">
        <f>'Operating Expenses'!F130</f>
        <v>0</v>
      </c>
      <c r="J246" s="464">
        <f>'Operating Expenses'!G130</f>
        <v>0</v>
      </c>
      <c r="K246" s="464">
        <f>'Operating Expenses'!H130</f>
        <v>2500</v>
      </c>
      <c r="L246" s="464">
        <f>'Operating Expenses'!I130</f>
        <v>0</v>
      </c>
      <c r="M246" s="464">
        <f>'Operating Expenses'!J130</f>
        <v>0</v>
      </c>
      <c r="N246" s="464">
        <f>'Operating Expenses'!K130</f>
        <v>0</v>
      </c>
      <c r="O246" s="464">
        <f>'Operating Expenses'!L130</f>
        <v>0</v>
      </c>
      <c r="P246" s="464">
        <f>'Operating Expenses'!M130</f>
        <v>0</v>
      </c>
      <c r="Q246" s="464">
        <f>'Operating Expenses'!N130</f>
        <v>0</v>
      </c>
      <c r="R246" s="431">
        <f t="shared" si="41"/>
        <v>2500</v>
      </c>
      <c r="T246" s="448" t="str">
        <f>+IF('Operating Expenses'!Q130="","",'Operating Expenses'!Q130)</f>
        <v/>
      </c>
    </row>
    <row r="247" spans="1:20" ht="14" outlineLevel="1">
      <c r="A247" s="319">
        <f>INDEX(QS_Chart_Of_Accounts_Upload!$C:$O,MATCH(B247,QS_Chart_Of_Accounts_Upload!$E:$E,0),MATCH("ACCT_NO",QS_Chart_Of_Accounts_Upload!$C$1:$O$1,0))</f>
        <v>6540</v>
      </c>
      <c r="B247" s="439" t="str">
        <f>'Operating Expenses'!B131</f>
        <v>Janitorial Contract</v>
      </c>
      <c r="C247" s="439"/>
      <c r="D247" s="431">
        <f t="shared" si="40"/>
        <v>2400</v>
      </c>
      <c r="E247" s="439"/>
      <c r="F247" s="464">
        <f>'Operating Expenses'!C131</f>
        <v>200</v>
      </c>
      <c r="G247" s="464">
        <f>'Operating Expenses'!D131</f>
        <v>200</v>
      </c>
      <c r="H247" s="464">
        <f>'Operating Expenses'!E131</f>
        <v>200</v>
      </c>
      <c r="I247" s="464">
        <f>'Operating Expenses'!F131</f>
        <v>200</v>
      </c>
      <c r="J247" s="464">
        <f>'Operating Expenses'!G131</f>
        <v>200</v>
      </c>
      <c r="K247" s="464">
        <f>'Operating Expenses'!H131</f>
        <v>200</v>
      </c>
      <c r="L247" s="464">
        <f>'Operating Expenses'!I131</f>
        <v>200</v>
      </c>
      <c r="M247" s="464">
        <f>'Operating Expenses'!J131</f>
        <v>200</v>
      </c>
      <c r="N247" s="464">
        <f>'Operating Expenses'!K131</f>
        <v>200</v>
      </c>
      <c r="O247" s="464">
        <f>'Operating Expenses'!L131</f>
        <v>200</v>
      </c>
      <c r="P247" s="464">
        <f>'Operating Expenses'!M131</f>
        <v>200</v>
      </c>
      <c r="Q247" s="464">
        <f>'Operating Expenses'!N131</f>
        <v>200</v>
      </c>
      <c r="R247" s="431">
        <f t="shared" si="41"/>
        <v>2400</v>
      </c>
      <c r="T247" s="448" t="str">
        <f>+IF('Operating Expenses'!Q131="","",'Operating Expenses'!Q131)</f>
        <v/>
      </c>
    </row>
    <row r="248" spans="1:20" ht="14" outlineLevel="1">
      <c r="A248" s="319">
        <f>INDEX(QS_Chart_Of_Accounts_Upload!$C:$O,MATCH(B248,QS_Chart_Of_Accounts_Upload!$E:$E,0),MATCH("ACCT_NO",QS_Chart_Of_Accounts_Upload!$C$1:$O$1,0))</f>
        <v>6550</v>
      </c>
      <c r="B248" s="439" t="str">
        <f>'Operating Expenses'!B132</f>
        <v>Landscape /Maintenance Contract</v>
      </c>
      <c r="C248" s="439"/>
      <c r="D248" s="431">
        <f t="shared" si="40"/>
        <v>9600</v>
      </c>
      <c r="E248" s="439"/>
      <c r="F248" s="464">
        <f>'Operating Expenses'!C132</f>
        <v>800</v>
      </c>
      <c r="G248" s="464">
        <f>'Operating Expenses'!D132</f>
        <v>800</v>
      </c>
      <c r="H248" s="464">
        <f>'Operating Expenses'!E132</f>
        <v>800</v>
      </c>
      <c r="I248" s="464">
        <f>'Operating Expenses'!F132</f>
        <v>800</v>
      </c>
      <c r="J248" s="464">
        <f>'Operating Expenses'!G132</f>
        <v>800</v>
      </c>
      <c r="K248" s="464">
        <f>'Operating Expenses'!H132</f>
        <v>800</v>
      </c>
      <c r="L248" s="464">
        <f>'Operating Expenses'!I132</f>
        <v>800</v>
      </c>
      <c r="M248" s="464">
        <f>'Operating Expenses'!J132</f>
        <v>800</v>
      </c>
      <c r="N248" s="464">
        <f>'Operating Expenses'!K132</f>
        <v>800</v>
      </c>
      <c r="O248" s="464">
        <f>'Operating Expenses'!L132</f>
        <v>800</v>
      </c>
      <c r="P248" s="464">
        <f>'Operating Expenses'!M132</f>
        <v>800</v>
      </c>
      <c r="Q248" s="464">
        <f>'Operating Expenses'!N132</f>
        <v>800</v>
      </c>
      <c r="R248" s="431">
        <f t="shared" si="41"/>
        <v>9600</v>
      </c>
      <c r="T248" s="448" t="str">
        <f>+IF('Operating Expenses'!Q132="","",'Operating Expenses'!Q132)</f>
        <v/>
      </c>
    </row>
    <row r="249" spans="1:20" ht="14" outlineLevel="1">
      <c r="A249" s="319">
        <f>INDEX(QS_Chart_Of_Accounts_Upload!$C:$O,MATCH(B249,QS_Chart_Of_Accounts_Upload!$E:$E,0),MATCH("ACCT_NO",QS_Chart_Of_Accounts_Upload!$C$1:$O$1,0))</f>
        <v>6560</v>
      </c>
      <c r="B249" s="439" t="str">
        <f>'Operating Expenses'!B133</f>
        <v>Landscape/Seasonal</v>
      </c>
      <c r="C249" s="439"/>
      <c r="D249" s="431">
        <f t="shared" si="40"/>
        <v>2080</v>
      </c>
      <c r="E249" s="439"/>
      <c r="F249" s="464">
        <f>'Operating Expenses'!C133</f>
        <v>0</v>
      </c>
      <c r="G249" s="464">
        <f>'Operating Expenses'!D133</f>
        <v>0</v>
      </c>
      <c r="H249" s="464">
        <f>'Operating Expenses'!E133</f>
        <v>1040</v>
      </c>
      <c r="I249" s="464">
        <f>'Operating Expenses'!F133</f>
        <v>0</v>
      </c>
      <c r="J249" s="464">
        <f>'Operating Expenses'!G133</f>
        <v>0</v>
      </c>
      <c r="K249" s="464">
        <f>'Operating Expenses'!H133</f>
        <v>0</v>
      </c>
      <c r="L249" s="464">
        <f>'Operating Expenses'!I133</f>
        <v>1040</v>
      </c>
      <c r="M249" s="464">
        <f>'Operating Expenses'!J133</f>
        <v>0</v>
      </c>
      <c r="N249" s="464">
        <f>'Operating Expenses'!K133</f>
        <v>0</v>
      </c>
      <c r="O249" s="464">
        <f>'Operating Expenses'!L133</f>
        <v>0</v>
      </c>
      <c r="P249" s="464">
        <f>'Operating Expenses'!M133</f>
        <v>0</v>
      </c>
      <c r="Q249" s="464">
        <f>'Operating Expenses'!N133</f>
        <v>0</v>
      </c>
      <c r="R249" s="431">
        <f t="shared" si="41"/>
        <v>2080</v>
      </c>
      <c r="T249" s="448" t="str">
        <f>+IF('Operating Expenses'!Q133="","",'Operating Expenses'!Q133)</f>
        <v/>
      </c>
    </row>
    <row r="250" spans="1:20" ht="14" outlineLevel="1">
      <c r="A250" s="319">
        <f>INDEX(QS_Chart_Of_Accounts_Upload!$C:$O,MATCH(B250,QS_Chart_Of_Accounts_Upload!$E:$E,0),MATCH("ACCT_NO",QS_Chart_Of_Accounts_Upload!$C$1:$O$1,0))</f>
        <v>6570</v>
      </c>
      <c r="B250" s="439" t="str">
        <f>'Operating Expenses'!B134</f>
        <v>Pest Control</v>
      </c>
      <c r="C250" s="439"/>
      <c r="D250" s="431">
        <f t="shared" si="40"/>
        <v>1494</v>
      </c>
      <c r="E250" s="439"/>
      <c r="F250" s="464">
        <f>'Operating Expenses'!C134</f>
        <v>124.5</v>
      </c>
      <c r="G250" s="464">
        <f>'Operating Expenses'!D134</f>
        <v>124.5</v>
      </c>
      <c r="H250" s="464">
        <f>'Operating Expenses'!E134</f>
        <v>124.5</v>
      </c>
      <c r="I250" s="464">
        <f>'Operating Expenses'!F134</f>
        <v>124.5</v>
      </c>
      <c r="J250" s="464">
        <f>'Operating Expenses'!G134</f>
        <v>124.5</v>
      </c>
      <c r="K250" s="464">
        <f>'Operating Expenses'!H134</f>
        <v>124.5</v>
      </c>
      <c r="L250" s="464">
        <f>'Operating Expenses'!I134</f>
        <v>124.5</v>
      </c>
      <c r="M250" s="464">
        <f>'Operating Expenses'!J134</f>
        <v>124.5</v>
      </c>
      <c r="N250" s="464">
        <f>'Operating Expenses'!K134</f>
        <v>124.5</v>
      </c>
      <c r="O250" s="464">
        <f>'Operating Expenses'!L134</f>
        <v>124.5</v>
      </c>
      <c r="P250" s="464">
        <f>'Operating Expenses'!M134</f>
        <v>124.5</v>
      </c>
      <c r="Q250" s="464">
        <f>'Operating Expenses'!N134</f>
        <v>124.5</v>
      </c>
      <c r="R250" s="431">
        <f t="shared" si="41"/>
        <v>1494</v>
      </c>
      <c r="T250" s="448" t="str">
        <f>+IF('Operating Expenses'!Q134="","",'Operating Expenses'!Q134)</f>
        <v/>
      </c>
    </row>
    <row r="251" spans="1:20" ht="14" outlineLevel="1">
      <c r="A251" s="319">
        <f>INDEX(QS_Chart_Of_Accounts_Upload!$C:$O,MATCH(B251,QS_Chart_Of_Accounts_Upload!$E:$E,0),MATCH("ACCT_NO",QS_Chart_Of_Accounts_Upload!$C$1:$O$1,0))</f>
        <v>6590</v>
      </c>
      <c r="B251" s="439" t="str">
        <f>'Operating Expenses'!B135</f>
        <v>Security Patrol</v>
      </c>
      <c r="C251" s="439"/>
      <c r="D251" s="431">
        <f t="shared" si="40"/>
        <v>0</v>
      </c>
      <c r="E251" s="439"/>
      <c r="F251" s="464">
        <f>'Operating Expenses'!C135</f>
        <v>0</v>
      </c>
      <c r="G251" s="464">
        <f>'Operating Expenses'!D135</f>
        <v>0</v>
      </c>
      <c r="H251" s="464">
        <f>'Operating Expenses'!E135</f>
        <v>0</v>
      </c>
      <c r="I251" s="464">
        <f>'Operating Expenses'!F135</f>
        <v>0</v>
      </c>
      <c r="J251" s="464">
        <f>'Operating Expenses'!G135</f>
        <v>0</v>
      </c>
      <c r="K251" s="464">
        <f>'Operating Expenses'!H135</f>
        <v>0</v>
      </c>
      <c r="L251" s="464">
        <f>'Operating Expenses'!I135</f>
        <v>0</v>
      </c>
      <c r="M251" s="464">
        <f>'Operating Expenses'!J135</f>
        <v>0</v>
      </c>
      <c r="N251" s="464">
        <f>'Operating Expenses'!K135</f>
        <v>0</v>
      </c>
      <c r="O251" s="464">
        <f>'Operating Expenses'!L135</f>
        <v>0</v>
      </c>
      <c r="P251" s="464">
        <f>'Operating Expenses'!M135</f>
        <v>0</v>
      </c>
      <c r="Q251" s="464">
        <f>'Operating Expenses'!N135</f>
        <v>0</v>
      </c>
      <c r="R251" s="431">
        <f t="shared" si="41"/>
        <v>0</v>
      </c>
      <c r="T251" s="448" t="str">
        <f>+IF('Operating Expenses'!Q135="","",'Operating Expenses'!Q135)</f>
        <v/>
      </c>
    </row>
    <row r="252" spans="1:20" ht="14" outlineLevel="1">
      <c r="A252" s="319">
        <f>INDEX(QS_Chart_Of_Accounts_Upload!$C:$O,MATCH(B252,QS_Chart_Of_Accounts_Upload!$E:$E,0),MATCH("ACCT_NO",QS_Chart_Of_Accounts_Upload!$C$1:$O$1,0))</f>
        <v>6591</v>
      </c>
      <c r="B252" s="439" t="str">
        <f>'Operating Expenses'!B136</f>
        <v>Parking Garage</v>
      </c>
      <c r="C252" s="439"/>
      <c r="D252" s="431">
        <f t="shared" si="40"/>
        <v>0</v>
      </c>
      <c r="E252" s="439"/>
      <c r="F252" s="464">
        <f>'Operating Expenses'!C136</f>
        <v>0</v>
      </c>
      <c r="G252" s="464">
        <f>'Operating Expenses'!D136</f>
        <v>0</v>
      </c>
      <c r="H252" s="464">
        <f>'Operating Expenses'!E136</f>
        <v>0</v>
      </c>
      <c r="I252" s="464">
        <f>'Operating Expenses'!F136</f>
        <v>0</v>
      </c>
      <c r="J252" s="464">
        <f>'Operating Expenses'!G136</f>
        <v>0</v>
      </c>
      <c r="K252" s="464">
        <f>'Operating Expenses'!H136</f>
        <v>0</v>
      </c>
      <c r="L252" s="464">
        <f>'Operating Expenses'!I136</f>
        <v>0</v>
      </c>
      <c r="M252" s="464">
        <f>'Operating Expenses'!J136</f>
        <v>0</v>
      </c>
      <c r="N252" s="464">
        <f>'Operating Expenses'!K136</f>
        <v>0</v>
      </c>
      <c r="O252" s="464">
        <f>'Operating Expenses'!L136</f>
        <v>0</v>
      </c>
      <c r="P252" s="464">
        <f>'Operating Expenses'!M136</f>
        <v>0</v>
      </c>
      <c r="Q252" s="464">
        <f>'Operating Expenses'!N136</f>
        <v>0</v>
      </c>
      <c r="R252" s="431">
        <f t="shared" si="41"/>
        <v>0</v>
      </c>
      <c r="T252" s="448" t="str">
        <f>+IF('Operating Expenses'!Q136="","",'Operating Expenses'!Q136)</f>
        <v/>
      </c>
    </row>
    <row r="253" spans="1:20" ht="14" outlineLevel="1">
      <c r="A253" s="319">
        <f>INDEX(QS_Chart_Of_Accounts_Upload!$C:$O,MATCH(B253,QS_Chart_Of_Accounts_Upload!$E:$E,0),MATCH("ACCT_NO",QS_Chart_Of_Accounts_Upload!$C$1:$O$1,0))</f>
        <v>6610</v>
      </c>
      <c r="B253" s="439" t="str">
        <f>'Operating Expenses'!B137</f>
        <v>Trash - Door to Door Pick Up</v>
      </c>
      <c r="C253" s="439"/>
      <c r="D253" s="431">
        <f t="shared" si="40"/>
        <v>7355.9599999999991</v>
      </c>
      <c r="E253" s="439"/>
      <c r="F253" s="464">
        <f>'Operating Expenses'!C137</f>
        <v>212.60000000000002</v>
      </c>
      <c r="G253" s="464">
        <f>'Operating Expenses'!D137</f>
        <v>244.49</v>
      </c>
      <c r="H253" s="464">
        <f>'Operating Expenses'!E137</f>
        <v>244.49</v>
      </c>
      <c r="I253" s="464">
        <f>'Operating Expenses'!F137</f>
        <v>244.49</v>
      </c>
      <c r="J253" s="464">
        <f>'Operating Expenses'!G137</f>
        <v>457.09000000000003</v>
      </c>
      <c r="K253" s="464">
        <f>'Operating Expenses'!H137</f>
        <v>722.84</v>
      </c>
      <c r="L253" s="464">
        <f>'Operating Expenses'!I137</f>
        <v>871.66000000000008</v>
      </c>
      <c r="M253" s="464">
        <f>'Operating Expenses'!J137</f>
        <v>871.66000000000008</v>
      </c>
      <c r="N253" s="464">
        <f>'Operating Expenses'!K137</f>
        <v>871.66000000000008</v>
      </c>
      <c r="O253" s="464">
        <f>'Operating Expenses'!L137</f>
        <v>871.66000000000008</v>
      </c>
      <c r="P253" s="464">
        <f>'Operating Expenses'!M137</f>
        <v>871.66000000000008</v>
      </c>
      <c r="Q253" s="464">
        <f>'Operating Expenses'!N137</f>
        <v>871.66000000000008</v>
      </c>
      <c r="R253" s="431">
        <f t="shared" si="41"/>
        <v>7355.9599999999991</v>
      </c>
      <c r="T253" s="448" t="str">
        <f>+IF('Operating Expenses'!Q137="","",'Operating Expenses'!Q137)</f>
        <v>Phased In</v>
      </c>
    </row>
    <row r="254" spans="1:20" ht="14" outlineLevel="1">
      <c r="A254" s="319">
        <f>INDEX(QS_Chart_Of_Accounts_Upload!$C:$O,MATCH(B254,QS_Chart_Of_Accounts_Upload!$E:$E,0),MATCH("ACCT_NO",QS_Chart_Of_Accounts_Upload!$C$1:$O$1,0))</f>
        <v>6620</v>
      </c>
      <c r="B254" s="439" t="str">
        <f>'Operating Expenses'!B138</f>
        <v>Trash Disposal</v>
      </c>
      <c r="C254" s="439"/>
      <c r="D254" s="431">
        <f t="shared" si="40"/>
        <v>1730</v>
      </c>
      <c r="E254" s="439"/>
      <c r="F254" s="464">
        <f>'Operating Expenses'!C138</f>
        <v>50</v>
      </c>
      <c r="G254" s="464">
        <f>'Operating Expenses'!D138</f>
        <v>57.5</v>
      </c>
      <c r="H254" s="464">
        <f>'Operating Expenses'!E138</f>
        <v>57.5</v>
      </c>
      <c r="I254" s="464">
        <f>'Operating Expenses'!F138</f>
        <v>57.5</v>
      </c>
      <c r="J254" s="464">
        <f>'Operating Expenses'!G138</f>
        <v>107.5</v>
      </c>
      <c r="K254" s="464">
        <f>'Operating Expenses'!H138</f>
        <v>170</v>
      </c>
      <c r="L254" s="464">
        <f>'Operating Expenses'!I138</f>
        <v>205</v>
      </c>
      <c r="M254" s="464">
        <f>'Operating Expenses'!J138</f>
        <v>205</v>
      </c>
      <c r="N254" s="464">
        <f>'Operating Expenses'!K138</f>
        <v>205</v>
      </c>
      <c r="O254" s="464">
        <f>'Operating Expenses'!L138</f>
        <v>205</v>
      </c>
      <c r="P254" s="464">
        <f>'Operating Expenses'!M138</f>
        <v>205</v>
      </c>
      <c r="Q254" s="464">
        <f>'Operating Expenses'!N138</f>
        <v>205</v>
      </c>
      <c r="R254" s="431">
        <f t="shared" si="41"/>
        <v>1730</v>
      </c>
      <c r="T254" s="448" t="str">
        <f>+IF('Operating Expenses'!Q138="","",'Operating Expenses'!Q138)</f>
        <v/>
      </c>
    </row>
    <row r="255" spans="1:20" ht="14" outlineLevel="1">
      <c r="A255" s="319">
        <f>INDEX(QS_Chart_Of_Accounts_Upload!$C:$O,MATCH(B255,QS_Chart_Of_Accounts_Upload!$E:$E,0),MATCH("ACCT_NO",QS_Chart_Of_Accounts_Upload!$C$1:$O$1,0))</f>
        <v>6630</v>
      </c>
      <c r="B255" s="439" t="str">
        <f>'Operating Expenses'!B139</f>
        <v>Window Washing</v>
      </c>
      <c r="C255" s="439"/>
      <c r="D255" s="431">
        <f t="shared" si="40"/>
        <v>0</v>
      </c>
      <c r="E255" s="439"/>
      <c r="F255" s="441">
        <f>'Operating Expenses'!C139</f>
        <v>0</v>
      </c>
      <c r="G255" s="441">
        <f>'Operating Expenses'!D139</f>
        <v>0</v>
      </c>
      <c r="H255" s="441">
        <f>'Operating Expenses'!E139</f>
        <v>0</v>
      </c>
      <c r="I255" s="441">
        <f>'Operating Expenses'!F139</f>
        <v>0</v>
      </c>
      <c r="J255" s="441">
        <f>'Operating Expenses'!G139</f>
        <v>0</v>
      </c>
      <c r="K255" s="441">
        <f>'Operating Expenses'!H139</f>
        <v>0</v>
      </c>
      <c r="L255" s="441">
        <f>'Operating Expenses'!I139</f>
        <v>0</v>
      </c>
      <c r="M255" s="441">
        <f>'Operating Expenses'!J139</f>
        <v>0</v>
      </c>
      <c r="N255" s="441">
        <f>'Operating Expenses'!K139</f>
        <v>0</v>
      </c>
      <c r="O255" s="441">
        <f>'Operating Expenses'!L139</f>
        <v>0</v>
      </c>
      <c r="P255" s="441">
        <f>'Operating Expenses'!M139</f>
        <v>0</v>
      </c>
      <c r="Q255" s="441">
        <f>'Operating Expenses'!N139</f>
        <v>0</v>
      </c>
      <c r="R255" s="431">
        <f t="shared" si="41"/>
        <v>0</v>
      </c>
      <c r="T255" s="448" t="str">
        <f>+IF('Operating Expenses'!Q139="","",'Operating Expenses'!Q139)</f>
        <v/>
      </c>
    </row>
    <row r="256" spans="1:20" ht="14" outlineLevel="1">
      <c r="A256" s="319">
        <f>INDEX(QS_Chart_Of_Accounts_Upload!$C:$O,MATCH(B256,QS_Chart_Of_Accounts_Upload!$E:$E,0),MATCH("ACCT_NO",QS_Chart_Of_Accounts_Upload!$C$1:$O$1,0))</f>
        <v>6650</v>
      </c>
      <c r="B256" s="439" t="str">
        <f>'Operating Expenses'!B140</f>
        <v>Washer/Dryer Rental</v>
      </c>
      <c r="C256" s="439"/>
      <c r="D256" s="431">
        <f t="shared" si="40"/>
        <v>0</v>
      </c>
      <c r="E256" s="439"/>
      <c r="F256" s="441">
        <f>'Operating Expenses'!C140</f>
        <v>0</v>
      </c>
      <c r="G256" s="441">
        <f>'Operating Expenses'!D140</f>
        <v>0</v>
      </c>
      <c r="H256" s="441">
        <f>'Operating Expenses'!E140</f>
        <v>0</v>
      </c>
      <c r="I256" s="441">
        <f>'Operating Expenses'!F140</f>
        <v>0</v>
      </c>
      <c r="J256" s="441">
        <f>'Operating Expenses'!G140</f>
        <v>0</v>
      </c>
      <c r="K256" s="441">
        <f>'Operating Expenses'!H140</f>
        <v>0</v>
      </c>
      <c r="L256" s="441">
        <f>'Operating Expenses'!I140</f>
        <v>0</v>
      </c>
      <c r="M256" s="441">
        <f>'Operating Expenses'!J140</f>
        <v>0</v>
      </c>
      <c r="N256" s="441">
        <f>'Operating Expenses'!K140</f>
        <v>0</v>
      </c>
      <c r="O256" s="441">
        <f>'Operating Expenses'!L140</f>
        <v>0</v>
      </c>
      <c r="P256" s="441">
        <f>'Operating Expenses'!M140</f>
        <v>0</v>
      </c>
      <c r="Q256" s="441">
        <f>'Operating Expenses'!N140</f>
        <v>0</v>
      </c>
      <c r="R256" s="431">
        <f t="shared" si="41"/>
        <v>0</v>
      </c>
      <c r="T256" s="448" t="str">
        <f>+IF('Operating Expenses'!Q140="","",'Operating Expenses'!Q140)</f>
        <v/>
      </c>
    </row>
    <row r="257" spans="1:24" outlineLevel="1">
      <c r="A257" s="319"/>
      <c r="B257" s="439"/>
      <c r="C257" s="439"/>
      <c r="D257" s="440"/>
      <c r="E257" s="439"/>
      <c r="F257" s="441"/>
      <c r="G257" s="441"/>
      <c r="H257" s="441"/>
      <c r="I257" s="441"/>
      <c r="J257" s="441"/>
      <c r="K257" s="441"/>
      <c r="L257" s="441"/>
      <c r="M257" s="441"/>
      <c r="N257" s="441"/>
      <c r="O257" s="441"/>
      <c r="P257" s="441"/>
      <c r="Q257" s="441"/>
      <c r="R257" s="440"/>
    </row>
    <row r="258" spans="1:24" outlineLevel="1">
      <c r="A258" s="319"/>
      <c r="B258" s="439"/>
      <c r="C258" s="439"/>
      <c r="D258" s="440"/>
      <c r="E258" s="439"/>
      <c r="F258" s="441"/>
      <c r="G258" s="441"/>
      <c r="H258" s="441"/>
      <c r="I258" s="441"/>
      <c r="J258" s="441"/>
      <c r="K258" s="441"/>
      <c r="L258" s="441"/>
      <c r="M258" s="441"/>
      <c r="N258" s="441"/>
      <c r="O258" s="441"/>
      <c r="P258" s="441"/>
      <c r="Q258" s="441"/>
      <c r="R258" s="440"/>
    </row>
    <row r="259" spans="1:24" outlineLevel="1">
      <c r="A259" s="319"/>
      <c r="B259" s="439"/>
      <c r="C259" s="439"/>
      <c r="D259" s="440"/>
      <c r="E259" s="439"/>
      <c r="F259" s="441"/>
      <c r="G259" s="441"/>
      <c r="H259" s="441"/>
      <c r="I259" s="441"/>
      <c r="J259" s="441"/>
      <c r="K259" s="441"/>
      <c r="L259" s="441"/>
      <c r="M259" s="441"/>
      <c r="N259" s="441"/>
      <c r="O259" s="441"/>
      <c r="P259" s="441"/>
      <c r="Q259" s="441"/>
      <c r="R259" s="440"/>
    </row>
    <row r="260" spans="1:24" outlineLevel="1">
      <c r="A260" s="319"/>
      <c r="B260" s="439"/>
      <c r="C260" s="439"/>
      <c r="D260" s="465"/>
      <c r="E260" s="439"/>
      <c r="F260" s="466"/>
      <c r="G260" s="466"/>
      <c r="H260" s="466"/>
      <c r="I260" s="466"/>
      <c r="J260" s="466"/>
      <c r="K260" s="466"/>
      <c r="L260" s="466"/>
      <c r="M260" s="466"/>
      <c r="N260" s="466"/>
      <c r="O260" s="466"/>
      <c r="P260" s="466"/>
      <c r="Q260" s="466"/>
      <c r="R260" s="465"/>
    </row>
    <row r="261" spans="1:24">
      <c r="A261" s="319"/>
      <c r="B261" s="471" t="s">
        <v>194</v>
      </c>
      <c r="C261" s="471"/>
      <c r="D261" s="431">
        <f>+SUBTOTAL(9,F261:R261)</f>
        <v>57047.960000000006</v>
      </c>
      <c r="E261" s="471"/>
      <c r="F261" s="456">
        <f t="shared" ref="F261:Q261" si="42">SUM(F236:F260)</f>
        <v>2371.1</v>
      </c>
      <c r="G261" s="456">
        <f t="shared" si="42"/>
        <v>2530.4899999999998</v>
      </c>
      <c r="H261" s="456">
        <f t="shared" si="42"/>
        <v>3570.49</v>
      </c>
      <c r="I261" s="456">
        <f t="shared" si="42"/>
        <v>2530.4899999999998</v>
      </c>
      <c r="J261" s="456">
        <f t="shared" si="42"/>
        <v>3593.09</v>
      </c>
      <c r="K261" s="456">
        <f t="shared" si="42"/>
        <v>7421.34</v>
      </c>
      <c r="L261" s="456">
        <f t="shared" si="42"/>
        <v>6705.16</v>
      </c>
      <c r="M261" s="456">
        <f t="shared" si="42"/>
        <v>5665.16</v>
      </c>
      <c r="N261" s="456">
        <f t="shared" si="42"/>
        <v>5665.16</v>
      </c>
      <c r="O261" s="456">
        <f t="shared" si="42"/>
        <v>5665.16</v>
      </c>
      <c r="P261" s="456">
        <f t="shared" si="42"/>
        <v>5665.16</v>
      </c>
      <c r="Q261" s="456">
        <f t="shared" si="42"/>
        <v>5665.16</v>
      </c>
      <c r="R261" s="431">
        <f>+SUBTOTAL(9,F261:Q261)</f>
        <v>57047.960000000006</v>
      </c>
      <c r="W261" s="61"/>
      <c r="X261" s="61"/>
    </row>
    <row r="262" spans="1:24">
      <c r="A262" s="319"/>
      <c r="B262" s="427"/>
      <c r="C262" s="427"/>
      <c r="D262" s="469"/>
      <c r="E262" s="427"/>
      <c r="F262" s="427"/>
      <c r="G262" s="427"/>
      <c r="H262" s="427"/>
      <c r="I262" s="427"/>
      <c r="J262" s="427"/>
      <c r="K262" s="427"/>
      <c r="L262" s="427"/>
      <c r="M262" s="427"/>
      <c r="N262" s="427"/>
      <c r="O262" s="427"/>
      <c r="P262" s="427"/>
      <c r="Q262" s="427"/>
      <c r="R262" s="469"/>
    </row>
    <row r="263" spans="1:24">
      <c r="A263" s="319"/>
      <c r="B263" s="427" t="s">
        <v>8</v>
      </c>
      <c r="C263" s="427"/>
      <c r="D263" s="443"/>
      <c r="E263" s="427"/>
      <c r="F263" s="444"/>
      <c r="G263" s="444"/>
      <c r="H263" s="444"/>
      <c r="I263" s="444"/>
      <c r="J263" s="444"/>
      <c r="K263" s="444"/>
      <c r="L263" s="444"/>
      <c r="M263" s="444"/>
      <c r="N263" s="444"/>
      <c r="O263" s="444"/>
      <c r="P263" s="444"/>
      <c r="Q263" s="444"/>
      <c r="R263" s="443"/>
    </row>
    <row r="264" spans="1:24" ht="7.5" customHeight="1" outlineLevel="1">
      <c r="A264" s="319"/>
      <c r="B264" s="427"/>
      <c r="C264" s="427"/>
      <c r="D264" s="443"/>
      <c r="E264" s="427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3"/>
    </row>
    <row r="265" spans="1:24" ht="14" outlineLevel="1">
      <c r="A265" s="319">
        <f>INDEX(QS_Chart_Of_Accounts_Upload!$C:$O,MATCH(B265,QS_Chart_Of_Accounts_Upload!$E:$E,0),MATCH("ACCT_NO",QS_Chart_Of_Accounts_Upload!$C$1:$O$1,0))</f>
        <v>8010</v>
      </c>
      <c r="B265" s="430" t="str">
        <f>'Operating Expenses'!B148</f>
        <v>Ad Valorem (Property) Taxes</v>
      </c>
      <c r="C265" s="430"/>
      <c r="D265" s="431">
        <f t="shared" ref="D265:D271" si="43">+SUBTOTAL(9,F265:R265)</f>
        <v>84000</v>
      </c>
      <c r="E265" s="430"/>
      <c r="F265" s="446">
        <f>'Operating Expenses'!C148</f>
        <v>7000</v>
      </c>
      <c r="G265" s="446">
        <f>'Operating Expenses'!D148</f>
        <v>7000</v>
      </c>
      <c r="H265" s="446">
        <f>'Operating Expenses'!E148</f>
        <v>7000</v>
      </c>
      <c r="I265" s="446">
        <f>'Operating Expenses'!F148</f>
        <v>7000</v>
      </c>
      <c r="J265" s="446">
        <f>'Operating Expenses'!G148</f>
        <v>7000</v>
      </c>
      <c r="K265" s="446">
        <f>'Operating Expenses'!H148</f>
        <v>7000</v>
      </c>
      <c r="L265" s="446">
        <f>'Operating Expenses'!I148</f>
        <v>7000</v>
      </c>
      <c r="M265" s="446">
        <f>'Operating Expenses'!J148</f>
        <v>7000</v>
      </c>
      <c r="N265" s="446">
        <f>'Operating Expenses'!K148</f>
        <v>7000</v>
      </c>
      <c r="O265" s="446">
        <f>'Operating Expenses'!L148</f>
        <v>7000</v>
      </c>
      <c r="P265" s="446">
        <f>'Operating Expenses'!M148</f>
        <v>7000</v>
      </c>
      <c r="Q265" s="446">
        <f>'Operating Expenses'!N148</f>
        <v>7000</v>
      </c>
      <c r="R265" s="431">
        <f t="shared" ref="R265:R271" si="44">+SUBTOTAL(9,F265:Q265)</f>
        <v>84000</v>
      </c>
      <c r="T265" s="448" t="str">
        <f>+IF('Operating Expenses'!Q148="","",'Operating Expenses'!Q148)</f>
        <v>Client to confirm</v>
      </c>
      <c r="W265" s="61"/>
      <c r="X265" s="61"/>
    </row>
    <row r="266" spans="1:24" ht="14" outlineLevel="1">
      <c r="A266" s="319">
        <f>INDEX(QS_Chart_Of_Accounts_Upload!$C:$O,MATCH(B266,QS_Chart_Of_Accounts_Upload!$E:$E,0),MATCH("ACCT_NO",QS_Chart_Of_Accounts_Upload!$C$1:$O$1,0))</f>
        <v>8015</v>
      </c>
      <c r="B266" s="430" t="str">
        <f>'Operating Expenses'!B149</f>
        <v>Personal Property Taxes</v>
      </c>
      <c r="C266" s="430"/>
      <c r="D266" s="431">
        <f t="shared" si="43"/>
        <v>0</v>
      </c>
      <c r="E266" s="430"/>
      <c r="F266" s="446">
        <f>'Operating Expenses'!C149</f>
        <v>0</v>
      </c>
      <c r="G266" s="446">
        <f>'Operating Expenses'!D149</f>
        <v>0</v>
      </c>
      <c r="H266" s="446">
        <f>'Operating Expenses'!E149</f>
        <v>0</v>
      </c>
      <c r="I266" s="446">
        <f>'Operating Expenses'!F149</f>
        <v>0</v>
      </c>
      <c r="J266" s="446">
        <f>'Operating Expenses'!G149</f>
        <v>0</v>
      </c>
      <c r="K266" s="446">
        <f>'Operating Expenses'!H149</f>
        <v>0</v>
      </c>
      <c r="L266" s="446">
        <f>'Operating Expenses'!I149</f>
        <v>0</v>
      </c>
      <c r="M266" s="446">
        <f>'Operating Expenses'!J149</f>
        <v>0</v>
      </c>
      <c r="N266" s="446">
        <f>'Operating Expenses'!K149</f>
        <v>0</v>
      </c>
      <c r="O266" s="446">
        <f>'Operating Expenses'!L149</f>
        <v>0</v>
      </c>
      <c r="P266" s="446">
        <f>'Operating Expenses'!M149</f>
        <v>0</v>
      </c>
      <c r="Q266" s="446">
        <f>'Operating Expenses'!N149</f>
        <v>0</v>
      </c>
      <c r="R266" s="431">
        <f t="shared" si="44"/>
        <v>0</v>
      </c>
      <c r="T266" s="448" t="str">
        <f>+IF('Operating Expenses'!Q149="","",'Operating Expenses'!Q149)</f>
        <v/>
      </c>
    </row>
    <row r="267" spans="1:24" ht="14" outlineLevel="1">
      <c r="A267" s="319">
        <f>INDEX(QS_Chart_Of_Accounts_Upload!$C:$O,MATCH(B267,QS_Chart_Of_Accounts_Upload!$E:$E,0),MATCH("ACCT_NO",QS_Chart_Of_Accounts_Upload!$C$1:$O$1,0))</f>
        <v>8025</v>
      </c>
      <c r="B267" s="430" t="str">
        <f>'Operating Expenses'!B150</f>
        <v>Homeowners Association Fees</v>
      </c>
      <c r="C267" s="430"/>
      <c r="D267" s="431">
        <f t="shared" si="43"/>
        <v>0</v>
      </c>
      <c r="E267" s="430"/>
      <c r="F267" s="446">
        <f>'Operating Expenses'!C150</f>
        <v>0</v>
      </c>
      <c r="G267" s="446">
        <f>'Operating Expenses'!D150</f>
        <v>0</v>
      </c>
      <c r="H267" s="446">
        <f>'Operating Expenses'!E150</f>
        <v>0</v>
      </c>
      <c r="I267" s="446">
        <f>'Operating Expenses'!F150</f>
        <v>0</v>
      </c>
      <c r="J267" s="446">
        <f>'Operating Expenses'!G150</f>
        <v>0</v>
      </c>
      <c r="K267" s="446">
        <f>'Operating Expenses'!H150</f>
        <v>0</v>
      </c>
      <c r="L267" s="446">
        <f>'Operating Expenses'!I150</f>
        <v>0</v>
      </c>
      <c r="M267" s="446">
        <f>'Operating Expenses'!J150</f>
        <v>0</v>
      </c>
      <c r="N267" s="446">
        <f>'Operating Expenses'!K150</f>
        <v>0</v>
      </c>
      <c r="O267" s="446">
        <f>'Operating Expenses'!L150</f>
        <v>0</v>
      </c>
      <c r="P267" s="446">
        <f>'Operating Expenses'!M150</f>
        <v>0</v>
      </c>
      <c r="Q267" s="446">
        <f>'Operating Expenses'!N150</f>
        <v>0</v>
      </c>
      <c r="R267" s="431">
        <f t="shared" si="44"/>
        <v>0</v>
      </c>
      <c r="T267" s="448" t="str">
        <f>+IF('Operating Expenses'!Q150="","",'Operating Expenses'!Q150)</f>
        <v/>
      </c>
    </row>
    <row r="268" spans="1:24" ht="14" outlineLevel="1">
      <c r="A268" s="319">
        <f>INDEX(QS_Chart_Of_Accounts_Upload!$C:$O,MATCH(B268,QS_Chart_Of_Accounts_Upload!$E:$E,0),MATCH("ACCT_NO",QS_Chart_Of_Accounts_Upload!$C$1:$O$1,0))</f>
        <v>8100</v>
      </c>
      <c r="B268" s="430" t="str">
        <f>'Operating Expenses'!B151</f>
        <v>Property Insurance</v>
      </c>
      <c r="C268" s="430"/>
      <c r="D268" s="431">
        <f t="shared" si="43"/>
        <v>45027</v>
      </c>
      <c r="E268" s="430"/>
      <c r="F268" s="446">
        <f>'Operating Expenses'!C151</f>
        <v>3752.25</v>
      </c>
      <c r="G268" s="446">
        <f>'Operating Expenses'!D151</f>
        <v>3752.25</v>
      </c>
      <c r="H268" s="446">
        <f>'Operating Expenses'!E151</f>
        <v>3752.25</v>
      </c>
      <c r="I268" s="446">
        <f>'Operating Expenses'!F151</f>
        <v>3752.25</v>
      </c>
      <c r="J268" s="446">
        <f>'Operating Expenses'!G151</f>
        <v>3752.25</v>
      </c>
      <c r="K268" s="446">
        <f>'Operating Expenses'!H151</f>
        <v>3752.25</v>
      </c>
      <c r="L268" s="446">
        <f>'Operating Expenses'!I151</f>
        <v>3752.25</v>
      </c>
      <c r="M268" s="446">
        <f>'Operating Expenses'!J151</f>
        <v>3752.25</v>
      </c>
      <c r="N268" s="446">
        <f>'Operating Expenses'!K151</f>
        <v>3752.25</v>
      </c>
      <c r="O268" s="446">
        <f>'Operating Expenses'!L151</f>
        <v>3752.25</v>
      </c>
      <c r="P268" s="446">
        <f>'Operating Expenses'!M151</f>
        <v>3752.25</v>
      </c>
      <c r="Q268" s="446">
        <f>'Operating Expenses'!N151</f>
        <v>3752.25</v>
      </c>
      <c r="R268" s="431">
        <f t="shared" si="44"/>
        <v>45027</v>
      </c>
      <c r="T268" s="448" t="str">
        <f>+IF('Operating Expenses'!Q151="","",'Operating Expenses'!Q151)</f>
        <v/>
      </c>
      <c r="W268" s="61"/>
      <c r="X268" s="61"/>
    </row>
    <row r="269" spans="1:24" ht="14" outlineLevel="1">
      <c r="A269" s="319">
        <f>INDEX(QS_Chart_Of_Accounts_Upload!$C:$O,MATCH(B269,QS_Chart_Of_Accounts_Upload!$E:$E,0),MATCH("ACCT_NO",QS_Chart_Of_Accounts_Upload!$C$1:$O$1,0))</f>
        <v>8145</v>
      </c>
      <c r="B269" s="430" t="str">
        <f>'Operating Expenses'!B152</f>
        <v>Mortgage Insurance Premium</v>
      </c>
      <c r="C269" s="430"/>
      <c r="D269" s="431">
        <f t="shared" si="43"/>
        <v>0</v>
      </c>
      <c r="E269" s="430"/>
      <c r="F269" s="446">
        <f>'Operating Expenses'!C152</f>
        <v>0</v>
      </c>
      <c r="G269" s="446">
        <f>'Operating Expenses'!D152</f>
        <v>0</v>
      </c>
      <c r="H269" s="446">
        <f>'Operating Expenses'!E152</f>
        <v>0</v>
      </c>
      <c r="I269" s="446">
        <f>'Operating Expenses'!F152</f>
        <v>0</v>
      </c>
      <c r="J269" s="446">
        <f>'Operating Expenses'!G152</f>
        <v>0</v>
      </c>
      <c r="K269" s="446">
        <f>'Operating Expenses'!H152</f>
        <v>0</v>
      </c>
      <c r="L269" s="446">
        <f>'Operating Expenses'!I152</f>
        <v>0</v>
      </c>
      <c r="M269" s="446">
        <f>'Operating Expenses'!J152</f>
        <v>0</v>
      </c>
      <c r="N269" s="446">
        <f>'Operating Expenses'!K152</f>
        <v>0</v>
      </c>
      <c r="O269" s="446">
        <f>'Operating Expenses'!L152</f>
        <v>0</v>
      </c>
      <c r="P269" s="446">
        <f>'Operating Expenses'!M152</f>
        <v>0</v>
      </c>
      <c r="Q269" s="446">
        <f>'Operating Expenses'!N152</f>
        <v>0</v>
      </c>
      <c r="R269" s="431">
        <f t="shared" si="44"/>
        <v>0</v>
      </c>
      <c r="T269" s="448" t="str">
        <f>+IF('Operating Expenses'!Q152="","",'Operating Expenses'!Q152)</f>
        <v/>
      </c>
    </row>
    <row r="270" spans="1:24" ht="14" outlineLevel="1">
      <c r="A270" s="319">
        <f>INDEX(QS_Chart_Of_Accounts_Upload!$C:$O,MATCH(B270,QS_Chart_Of_Accounts_Upload!$E:$E,0),MATCH("ACCT_NO",QS_Chart_Of_Accounts_Upload!$C$1:$O$1,0))</f>
        <v>8150</v>
      </c>
      <c r="B270" s="430" t="str">
        <f>'Operating Expenses'!B153</f>
        <v>Other Insurance</v>
      </c>
      <c r="C270" s="430"/>
      <c r="D270" s="431">
        <f t="shared" si="43"/>
        <v>0</v>
      </c>
      <c r="E270" s="430"/>
      <c r="F270" s="446">
        <f>'Operating Expenses'!C153</f>
        <v>0</v>
      </c>
      <c r="G270" s="446">
        <f>'Operating Expenses'!D153</f>
        <v>0</v>
      </c>
      <c r="H270" s="446">
        <f>'Operating Expenses'!E153</f>
        <v>0</v>
      </c>
      <c r="I270" s="446">
        <f>'Operating Expenses'!F153</f>
        <v>0</v>
      </c>
      <c r="J270" s="446">
        <f>'Operating Expenses'!G153</f>
        <v>0</v>
      </c>
      <c r="K270" s="446">
        <f>'Operating Expenses'!H153</f>
        <v>0</v>
      </c>
      <c r="L270" s="446">
        <f>'Operating Expenses'!I153</f>
        <v>0</v>
      </c>
      <c r="M270" s="446">
        <f>'Operating Expenses'!J153</f>
        <v>0</v>
      </c>
      <c r="N270" s="446">
        <f>'Operating Expenses'!K153</f>
        <v>0</v>
      </c>
      <c r="O270" s="446">
        <f>'Operating Expenses'!L153</f>
        <v>0</v>
      </c>
      <c r="P270" s="446">
        <f>'Operating Expenses'!M153</f>
        <v>0</v>
      </c>
      <c r="Q270" s="446">
        <f>'Operating Expenses'!N153</f>
        <v>0</v>
      </c>
      <c r="R270" s="431">
        <f t="shared" si="44"/>
        <v>0</v>
      </c>
      <c r="T270" s="448" t="str">
        <f>+IF('Operating Expenses'!Q153="","",'Operating Expenses'!Q153)</f>
        <v/>
      </c>
    </row>
    <row r="271" spans="1:24" ht="14" outlineLevel="1">
      <c r="A271" s="319">
        <f>INDEX(QS_Chart_Of_Accounts_Upload!$C:$O,MATCH(B271,QS_Chart_Of_Accounts_Upload!$E:$E,0),MATCH("ACCT_NO",QS_Chart_Of_Accounts_Upload!$C$1:$O$1,0))</f>
        <v>8155</v>
      </c>
      <c r="B271" s="430" t="str">
        <f>'Operating Expenses'!B154</f>
        <v>Property Tax Service &amp; Consulting Fee</v>
      </c>
      <c r="C271" s="430"/>
      <c r="D271" s="431">
        <f t="shared" si="43"/>
        <v>0</v>
      </c>
      <c r="E271" s="430"/>
      <c r="F271" s="446">
        <f>'Operating Expenses'!C154</f>
        <v>0</v>
      </c>
      <c r="G271" s="446">
        <f>'Operating Expenses'!D154</f>
        <v>0</v>
      </c>
      <c r="H271" s="446">
        <f>'Operating Expenses'!E154</f>
        <v>0</v>
      </c>
      <c r="I271" s="446">
        <f>'Operating Expenses'!F154</f>
        <v>0</v>
      </c>
      <c r="J271" s="446">
        <f>'Operating Expenses'!G154</f>
        <v>0</v>
      </c>
      <c r="K271" s="446">
        <f>'Operating Expenses'!H154</f>
        <v>0</v>
      </c>
      <c r="L271" s="446">
        <f>'Operating Expenses'!I154</f>
        <v>0</v>
      </c>
      <c r="M271" s="446">
        <f>'Operating Expenses'!J154</f>
        <v>0</v>
      </c>
      <c r="N271" s="446">
        <f>'Operating Expenses'!K154</f>
        <v>0</v>
      </c>
      <c r="O271" s="446">
        <f>'Operating Expenses'!L154</f>
        <v>0</v>
      </c>
      <c r="P271" s="446">
        <f>'Operating Expenses'!M154</f>
        <v>0</v>
      </c>
      <c r="Q271" s="446">
        <f>'Operating Expenses'!N154</f>
        <v>0</v>
      </c>
      <c r="R271" s="431">
        <f t="shared" si="44"/>
        <v>0</v>
      </c>
      <c r="T271" s="448" t="str">
        <f>+IF('Operating Expenses'!Q154="","",'Operating Expenses'!Q154)</f>
        <v/>
      </c>
    </row>
    <row r="272" spans="1:24" ht="7.5" customHeight="1" outlineLevel="1">
      <c r="A272" s="319"/>
      <c r="B272" s="430"/>
      <c r="C272" s="430"/>
      <c r="D272" s="437"/>
      <c r="E272" s="430"/>
      <c r="F272" s="436"/>
      <c r="G272" s="436"/>
      <c r="H272" s="436"/>
      <c r="I272" s="436"/>
      <c r="J272" s="436"/>
      <c r="K272" s="436"/>
      <c r="L272" s="436"/>
      <c r="M272" s="436"/>
      <c r="N272" s="436"/>
      <c r="O272" s="436"/>
      <c r="P272" s="436"/>
      <c r="Q272" s="436"/>
      <c r="R272" s="437"/>
    </row>
    <row r="273" spans="1:27">
      <c r="A273" s="319"/>
      <c r="B273" s="427" t="s">
        <v>18</v>
      </c>
      <c r="C273" s="427"/>
      <c r="D273" s="431">
        <f>+SUBTOTAL(9,F273:R273)</f>
        <v>129027</v>
      </c>
      <c r="E273" s="427"/>
      <c r="F273" s="456">
        <f t="shared" ref="F273" si="45">SUM(F264:F272)</f>
        <v>10752.25</v>
      </c>
      <c r="G273" s="456">
        <f t="shared" ref="G273:Q273" si="46">SUM(G264:G272)</f>
        <v>10752.25</v>
      </c>
      <c r="H273" s="456">
        <f t="shared" si="46"/>
        <v>10752.25</v>
      </c>
      <c r="I273" s="456">
        <f t="shared" si="46"/>
        <v>10752.25</v>
      </c>
      <c r="J273" s="456">
        <f t="shared" si="46"/>
        <v>10752.25</v>
      </c>
      <c r="K273" s="456">
        <f t="shared" si="46"/>
        <v>10752.25</v>
      </c>
      <c r="L273" s="456">
        <f t="shared" si="46"/>
        <v>10752.25</v>
      </c>
      <c r="M273" s="456">
        <f t="shared" si="46"/>
        <v>10752.25</v>
      </c>
      <c r="N273" s="456">
        <f t="shared" si="46"/>
        <v>10752.25</v>
      </c>
      <c r="O273" s="456">
        <f t="shared" si="46"/>
        <v>10752.25</v>
      </c>
      <c r="P273" s="456">
        <f t="shared" si="46"/>
        <v>10752.25</v>
      </c>
      <c r="Q273" s="456">
        <f t="shared" si="46"/>
        <v>10752.25</v>
      </c>
      <c r="R273" s="431">
        <f>+SUBTOTAL(9,F273:Q273)</f>
        <v>129027</v>
      </c>
      <c r="W273" s="61"/>
      <c r="X273" s="61"/>
    </row>
    <row r="274" spans="1:27">
      <c r="A274" s="319"/>
      <c r="B274" s="427"/>
      <c r="C274" s="427"/>
      <c r="D274" s="469"/>
      <c r="E274" s="427"/>
      <c r="F274" s="427"/>
      <c r="G274" s="427"/>
      <c r="H274" s="427"/>
      <c r="I274" s="427"/>
      <c r="J274" s="427"/>
      <c r="K274" s="427"/>
      <c r="L274" s="427"/>
      <c r="M274" s="427"/>
      <c r="N274" s="427"/>
      <c r="O274" s="427"/>
      <c r="P274" s="427"/>
      <c r="Q274" s="427"/>
      <c r="R274" s="469"/>
      <c r="T274" s="427"/>
      <c r="V274" s="427"/>
      <c r="W274" s="427"/>
      <c r="X274" s="427"/>
      <c r="Y274" s="427"/>
      <c r="Z274" s="427"/>
      <c r="AA274" s="427"/>
    </row>
    <row r="275" spans="1:27">
      <c r="A275" s="319">
        <f>INDEX(QS_Chart_Of_Accounts_Upload!$C:$O,MATCH(B275,QS_Chart_Of_Accounts_Upload!$E:$E,0),MATCH("ACCT_NO",QS_Chart_Of_Accounts_Upload!$C$1:$O$1,0))</f>
        <v>7900</v>
      </c>
      <c r="B275" s="430" t="str">
        <f>'Operating Expenses'!B158</f>
        <v>Management Fees</v>
      </c>
      <c r="C275" s="430"/>
      <c r="D275" s="431">
        <f>+SUBTOTAL(9,F275:R275)</f>
        <v>53490.838931325306</v>
      </c>
      <c r="E275" s="430"/>
      <c r="F275" s="472">
        <f>'Operating Expenses'!C158</f>
        <v>3500</v>
      </c>
      <c r="G275" s="472">
        <f>'Operating Expenses'!D158</f>
        <v>3500</v>
      </c>
      <c r="H275" s="472">
        <f>'Operating Expenses'!E158</f>
        <v>3500</v>
      </c>
      <c r="I275" s="472">
        <f>'Operating Expenses'!F158</f>
        <v>3500</v>
      </c>
      <c r="J275" s="472">
        <f>'Operating Expenses'!G158</f>
        <v>4500</v>
      </c>
      <c r="K275" s="472">
        <f>'Operating Expenses'!H158</f>
        <v>4500</v>
      </c>
      <c r="L275" s="472">
        <f>'Operating Expenses'!I158</f>
        <v>5187.6264885542168</v>
      </c>
      <c r="M275" s="472">
        <f>'Operating Expenses'!J158</f>
        <v>5055.2664885542172</v>
      </c>
      <c r="N275" s="472">
        <f>'Operating Expenses'!K158</f>
        <v>5057.6964885542166</v>
      </c>
      <c r="O275" s="472">
        <f>'Operating Expenses'!L158</f>
        <v>5062.6464885542164</v>
      </c>
      <c r="P275" s="472">
        <f>'Operating Expenses'!M158</f>
        <v>5062.5864885542169</v>
      </c>
      <c r="Q275" s="472">
        <f>'Operating Expenses'!N158</f>
        <v>5065.0164885542172</v>
      </c>
      <c r="R275" s="468">
        <f>+SUBTOTAL(9,F275:Q275)</f>
        <v>53490.838931325306</v>
      </c>
      <c r="T275" s="473"/>
      <c r="W275" s="61"/>
      <c r="X275" s="61"/>
    </row>
    <row r="276" spans="1:27">
      <c r="A276" s="319"/>
      <c r="B276" s="430"/>
      <c r="C276" s="430"/>
      <c r="D276" s="474"/>
      <c r="E276" s="430"/>
      <c r="F276" s="475"/>
      <c r="G276" s="475"/>
      <c r="H276" s="475"/>
      <c r="I276" s="475"/>
      <c r="J276" s="475"/>
      <c r="K276" s="475"/>
      <c r="L276" s="475"/>
      <c r="M276" s="475"/>
      <c r="N276" s="475"/>
      <c r="O276" s="475"/>
      <c r="P276" s="475"/>
      <c r="Q276" s="475"/>
      <c r="R276" s="474"/>
      <c r="T276" s="430"/>
      <c r="V276" s="430"/>
      <c r="W276" s="430"/>
      <c r="X276" s="430"/>
      <c r="Y276" s="430"/>
      <c r="Z276" s="430"/>
    </row>
    <row r="277" spans="1:27">
      <c r="A277" s="319"/>
      <c r="B277" s="427" t="s">
        <v>9</v>
      </c>
      <c r="C277" s="427"/>
      <c r="D277" s="431">
        <f>+SUBTOTAL(9,F277:R277)</f>
        <v>428203.93226465862</v>
      </c>
      <c r="E277" s="427"/>
      <c r="F277" s="456">
        <f t="shared" ref="F277:Q277" si="47">F90+F137+F153+F168+F215+F233+F261+F273+F275</f>
        <v>33317.083333333328</v>
      </c>
      <c r="G277" s="456">
        <f t="shared" si="47"/>
        <v>29016.723333333335</v>
      </c>
      <c r="H277" s="456">
        <f t="shared" si="47"/>
        <v>29002.723333333335</v>
      </c>
      <c r="I277" s="456">
        <f t="shared" si="47"/>
        <v>28504.723333333335</v>
      </c>
      <c r="J277" s="456">
        <f t="shared" si="47"/>
        <v>36518.990000000005</v>
      </c>
      <c r="K277" s="456">
        <f t="shared" si="47"/>
        <v>42643.990000000005</v>
      </c>
      <c r="L277" s="456">
        <f t="shared" si="47"/>
        <v>42836.936488554216</v>
      </c>
      <c r="M277" s="456">
        <f t="shared" si="47"/>
        <v>37958.576488554216</v>
      </c>
      <c r="N277" s="456">
        <f t="shared" si="47"/>
        <v>37257.006488554216</v>
      </c>
      <c r="O277" s="456">
        <f t="shared" si="47"/>
        <v>37028.956488554213</v>
      </c>
      <c r="P277" s="456">
        <f t="shared" si="47"/>
        <v>36778.896488554215</v>
      </c>
      <c r="Q277" s="456">
        <f t="shared" si="47"/>
        <v>37339.326488554216</v>
      </c>
      <c r="R277" s="431">
        <f>+SUBTOTAL(9,F277:Q277)</f>
        <v>428203.93226465862</v>
      </c>
      <c r="X277" s="61"/>
    </row>
    <row r="278" spans="1:27">
      <c r="A278" s="319"/>
      <c r="B278" s="427"/>
      <c r="C278" s="427"/>
      <c r="D278" s="476"/>
      <c r="E278" s="427"/>
      <c r="F278" s="477"/>
      <c r="G278" s="477"/>
      <c r="H278" s="477"/>
      <c r="I278" s="477"/>
      <c r="J278" s="477"/>
      <c r="K278" s="477"/>
      <c r="L278" s="477"/>
      <c r="M278" s="477"/>
      <c r="N278" s="477"/>
      <c r="O278" s="477"/>
      <c r="P278" s="477"/>
      <c r="Q278" s="477"/>
      <c r="R278" s="476"/>
    </row>
    <row r="279" spans="1:27" ht="14" thickBot="1">
      <c r="A279" s="319"/>
      <c r="B279" s="427" t="s">
        <v>30</v>
      </c>
      <c r="C279" s="427"/>
      <c r="D279" s="478">
        <f>+SUBTOTAL(9,F279:R279)</f>
        <v>1021476.077524498</v>
      </c>
      <c r="E279" s="427"/>
      <c r="F279" s="479">
        <f t="shared" ref="F279:Q279" si="48">F77-F277</f>
        <v>14226.040763052217</v>
      </c>
      <c r="G279" s="479">
        <f t="shared" si="48"/>
        <v>19332.269377510042</v>
      </c>
      <c r="H279" s="479">
        <f t="shared" si="48"/>
        <v>18482.269377510042</v>
      </c>
      <c r="I279" s="479">
        <f t="shared" si="48"/>
        <v>19144.269377510042</v>
      </c>
      <c r="J279" s="479">
        <f t="shared" si="48"/>
        <v>58210.570572289129</v>
      </c>
      <c r="K279" s="479">
        <f t="shared" si="48"/>
        <v>104919.05927710845</v>
      </c>
      <c r="L279" s="479">
        <f t="shared" si="48"/>
        <v>130083.94646325301</v>
      </c>
      <c r="M279" s="479">
        <f t="shared" si="48"/>
        <v>130550.30646325301</v>
      </c>
      <c r="N279" s="479">
        <f t="shared" si="48"/>
        <v>131332.87646325302</v>
      </c>
      <c r="O279" s="479">
        <f t="shared" si="48"/>
        <v>131725.92646325301</v>
      </c>
      <c r="P279" s="479">
        <f t="shared" si="48"/>
        <v>131973.98646325301</v>
      </c>
      <c r="Q279" s="479">
        <f t="shared" si="48"/>
        <v>131494.55646325301</v>
      </c>
      <c r="R279" s="480">
        <f>+SUBTOTAL(9,F279:Q279)</f>
        <v>1021476.077524498</v>
      </c>
    </row>
    <row r="280" spans="1:27" ht="14" thickTop="1">
      <c r="D280" s="60"/>
      <c r="R280" s="60"/>
    </row>
    <row r="281" spans="1:27">
      <c r="B281" s="7" t="s">
        <v>209</v>
      </c>
      <c r="C281" s="7"/>
      <c r="D281" s="60"/>
      <c r="E281" s="7"/>
      <c r="R281" s="60"/>
    </row>
    <row r="282" spans="1:27" ht="7.5" customHeight="1" outlineLevel="1">
      <c r="B282" s="7"/>
      <c r="C282" s="7"/>
      <c r="D282" s="60"/>
      <c r="E282" s="7"/>
      <c r="R282" s="60"/>
    </row>
    <row r="283" spans="1:27" outlineLevel="1">
      <c r="A283" s="319">
        <f>INDEX(QS_Chart_Of_Accounts_Upload!$C:$O,MATCH(B283,QS_Chart_Of_Accounts_Upload!$E:$E,0),MATCH("ACCT_NO",QS_Chart_Of_Accounts_Upload!$C$1:$O$1,0))</f>
        <v>7910</v>
      </c>
      <c r="B283" s="2" t="str">
        <f>'Non-Operating Expenses'!B6</f>
        <v>Asset Management Fee</v>
      </c>
      <c r="D283" s="431">
        <f t="shared" ref="D283:D312" si="49">+SUBTOTAL(9,F283:R283)</f>
        <v>0</v>
      </c>
      <c r="F283" s="481">
        <f>'Non-Operating Expenses'!C6</f>
        <v>0</v>
      </c>
      <c r="G283" s="481">
        <f>'Non-Operating Expenses'!D6</f>
        <v>0</v>
      </c>
      <c r="H283" s="481">
        <f>'Non-Operating Expenses'!E6</f>
        <v>0</v>
      </c>
      <c r="I283" s="481">
        <f>'Non-Operating Expenses'!F6</f>
        <v>0</v>
      </c>
      <c r="J283" s="481">
        <f>'Non-Operating Expenses'!G6</f>
        <v>0</v>
      </c>
      <c r="K283" s="481">
        <f>'Non-Operating Expenses'!H6</f>
        <v>0</v>
      </c>
      <c r="L283" s="481">
        <f>'Non-Operating Expenses'!I6</f>
        <v>0</v>
      </c>
      <c r="M283" s="481">
        <f>'Non-Operating Expenses'!J6</f>
        <v>0</v>
      </c>
      <c r="N283" s="481">
        <f>'Non-Operating Expenses'!K6</f>
        <v>0</v>
      </c>
      <c r="O283" s="481">
        <f>'Non-Operating Expenses'!L6</f>
        <v>0</v>
      </c>
      <c r="P283" s="481">
        <f>'Non-Operating Expenses'!M6</f>
        <v>0</v>
      </c>
      <c r="Q283" s="481">
        <f>'Non-Operating Expenses'!N6</f>
        <v>0</v>
      </c>
      <c r="R283" s="431">
        <f t="shared" ref="R283:R312" si="50">+SUBTOTAL(9,F283:Q283)</f>
        <v>0</v>
      </c>
    </row>
    <row r="284" spans="1:27" outlineLevel="1">
      <c r="A284" s="319">
        <f>INDEX(QS_Chart_Of_Accounts_Upload!$C:$O,MATCH(B284,QS_Chart_Of_Accounts_Upload!$E:$E,0),MATCH("ACCT_NO",QS_Chart_Of_Accounts_Upload!$C$1:$O$1,0))</f>
        <v>8080</v>
      </c>
      <c r="B284" s="2" t="str">
        <f>'Non-Operating Expenses'!B7</f>
        <v>Mortgage Interest</v>
      </c>
      <c r="D284" s="431">
        <f t="shared" si="49"/>
        <v>0</v>
      </c>
      <c r="F284" s="481">
        <f>'Non-Operating Expenses'!C7</f>
        <v>0</v>
      </c>
      <c r="G284" s="481">
        <f>'Non-Operating Expenses'!D7</f>
        <v>0</v>
      </c>
      <c r="H284" s="481">
        <f>'Non-Operating Expenses'!E7</f>
        <v>0</v>
      </c>
      <c r="I284" s="481">
        <f>'Non-Operating Expenses'!F7</f>
        <v>0</v>
      </c>
      <c r="J284" s="481">
        <f>'Non-Operating Expenses'!G7</f>
        <v>0</v>
      </c>
      <c r="K284" s="481">
        <f>'Non-Operating Expenses'!H7</f>
        <v>0</v>
      </c>
      <c r="L284" s="481">
        <f>'Non-Operating Expenses'!I7</f>
        <v>0</v>
      </c>
      <c r="M284" s="481">
        <f>'Non-Operating Expenses'!J7</f>
        <v>0</v>
      </c>
      <c r="N284" s="481">
        <f>'Non-Operating Expenses'!K7</f>
        <v>0</v>
      </c>
      <c r="O284" s="481">
        <f>'Non-Operating Expenses'!L7</f>
        <v>0</v>
      </c>
      <c r="P284" s="481">
        <f>'Non-Operating Expenses'!M7</f>
        <v>0</v>
      </c>
      <c r="Q284" s="481">
        <f>'Non-Operating Expenses'!N7</f>
        <v>0</v>
      </c>
      <c r="R284" s="431">
        <f t="shared" si="50"/>
        <v>0</v>
      </c>
    </row>
    <row r="285" spans="1:27" outlineLevel="1">
      <c r="A285" s="319">
        <f>INDEX(QS_Chart_Of_Accounts_Upload!$C:$O,MATCH(B285,QS_Chart_Of_Accounts_Upload!$E:$E,0),MATCH("ACCT_NO",QS_Chart_Of_Accounts_Upload!$C$1:$O$1,0))</f>
        <v>8080.1</v>
      </c>
      <c r="B285" s="2" t="str">
        <f>'Non-Operating Expenses'!B8</f>
        <v>Loan Cost/FMV Adj - Interest Expense</v>
      </c>
      <c r="D285" s="431">
        <f t="shared" si="49"/>
        <v>0</v>
      </c>
      <c r="F285" s="481">
        <f>'Non-Operating Expenses'!C8</f>
        <v>0</v>
      </c>
      <c r="G285" s="481">
        <f>'Non-Operating Expenses'!D8</f>
        <v>0</v>
      </c>
      <c r="H285" s="481">
        <f>'Non-Operating Expenses'!E8</f>
        <v>0</v>
      </c>
      <c r="I285" s="481">
        <f>'Non-Operating Expenses'!F8</f>
        <v>0</v>
      </c>
      <c r="J285" s="481">
        <f>'Non-Operating Expenses'!G8</f>
        <v>0</v>
      </c>
      <c r="K285" s="481">
        <f>'Non-Operating Expenses'!H8</f>
        <v>0</v>
      </c>
      <c r="L285" s="481">
        <f>'Non-Operating Expenses'!I8</f>
        <v>0</v>
      </c>
      <c r="M285" s="481">
        <f>'Non-Operating Expenses'!J8</f>
        <v>0</v>
      </c>
      <c r="N285" s="481">
        <f>'Non-Operating Expenses'!K8</f>
        <v>0</v>
      </c>
      <c r="O285" s="481">
        <f>'Non-Operating Expenses'!L8</f>
        <v>0</v>
      </c>
      <c r="P285" s="481">
        <f>'Non-Operating Expenses'!M8</f>
        <v>0</v>
      </c>
      <c r="Q285" s="481">
        <f>'Non-Operating Expenses'!N8</f>
        <v>0</v>
      </c>
      <c r="R285" s="431">
        <f t="shared" si="50"/>
        <v>0</v>
      </c>
    </row>
    <row r="286" spans="1:27" outlineLevel="1">
      <c r="A286" s="319">
        <f>INDEX(QS_Chart_Of_Accounts_Upload!$C:$O,MATCH(B286,QS_Chart_Of_Accounts_Upload!$E:$E,0),MATCH("ACCT_NO",QS_Chart_Of_Accounts_Upload!$C$1:$O$1,0))</f>
        <v>8081</v>
      </c>
      <c r="B286" s="2" t="str">
        <f>'Non-Operating Expenses'!B9</f>
        <v>Loan Closing Cost - Interest Expense</v>
      </c>
      <c r="D286" s="431">
        <f t="shared" si="49"/>
        <v>0</v>
      </c>
      <c r="F286" s="481">
        <f>'Non-Operating Expenses'!C9</f>
        <v>0</v>
      </c>
      <c r="G286" s="481">
        <f>'Non-Operating Expenses'!D9</f>
        <v>0</v>
      </c>
      <c r="H286" s="481">
        <f>'Non-Operating Expenses'!E9</f>
        <v>0</v>
      </c>
      <c r="I286" s="481">
        <f>'Non-Operating Expenses'!F9</f>
        <v>0</v>
      </c>
      <c r="J286" s="481">
        <f>'Non-Operating Expenses'!G9</f>
        <v>0</v>
      </c>
      <c r="K286" s="481">
        <f>'Non-Operating Expenses'!H9</f>
        <v>0</v>
      </c>
      <c r="L286" s="481">
        <f>'Non-Operating Expenses'!I9</f>
        <v>0</v>
      </c>
      <c r="M286" s="481">
        <f>'Non-Operating Expenses'!J9</f>
        <v>0</v>
      </c>
      <c r="N286" s="481">
        <f>'Non-Operating Expenses'!K9</f>
        <v>0</v>
      </c>
      <c r="O286" s="481">
        <f>'Non-Operating Expenses'!L9</f>
        <v>0</v>
      </c>
      <c r="P286" s="481">
        <f>'Non-Operating Expenses'!M9</f>
        <v>0</v>
      </c>
      <c r="Q286" s="481">
        <f>'Non-Operating Expenses'!N9</f>
        <v>0</v>
      </c>
      <c r="R286" s="431">
        <f t="shared" si="50"/>
        <v>0</v>
      </c>
    </row>
    <row r="287" spans="1:27" outlineLevel="1">
      <c r="A287" s="319">
        <f>INDEX(QS_Chart_Of_Accounts_Upload!$C:$O,MATCH(B287,QS_Chart_Of_Accounts_Upload!$E:$E,0),MATCH("ACCT_NO",QS_Chart_Of_Accounts_Upload!$C$1:$O$1,0))</f>
        <v>8085</v>
      </c>
      <c r="B287" s="2" t="str">
        <f>'Non-Operating Expenses'!B10</f>
        <v>SAIL Loan Interest</v>
      </c>
      <c r="D287" s="431">
        <f t="shared" si="49"/>
        <v>0</v>
      </c>
      <c r="F287" s="481">
        <f>'Non-Operating Expenses'!C10</f>
        <v>0</v>
      </c>
      <c r="G287" s="481">
        <f>'Non-Operating Expenses'!D10</f>
        <v>0</v>
      </c>
      <c r="H287" s="481">
        <f>'Non-Operating Expenses'!E10</f>
        <v>0</v>
      </c>
      <c r="I287" s="481">
        <f>'Non-Operating Expenses'!F10</f>
        <v>0</v>
      </c>
      <c r="J287" s="481">
        <f>'Non-Operating Expenses'!G10</f>
        <v>0</v>
      </c>
      <c r="K287" s="481">
        <f>'Non-Operating Expenses'!H10</f>
        <v>0</v>
      </c>
      <c r="L287" s="481">
        <f>'Non-Operating Expenses'!I10</f>
        <v>0</v>
      </c>
      <c r="M287" s="481">
        <f>'Non-Operating Expenses'!J10</f>
        <v>0</v>
      </c>
      <c r="N287" s="481">
        <f>'Non-Operating Expenses'!K10</f>
        <v>0</v>
      </c>
      <c r="O287" s="481">
        <f>'Non-Operating Expenses'!L10</f>
        <v>0</v>
      </c>
      <c r="P287" s="481">
        <f>'Non-Operating Expenses'!M10</f>
        <v>0</v>
      </c>
      <c r="Q287" s="481">
        <f>'Non-Operating Expenses'!N10</f>
        <v>0</v>
      </c>
      <c r="R287" s="431">
        <f t="shared" si="50"/>
        <v>0</v>
      </c>
    </row>
    <row r="288" spans="1:27" outlineLevel="1">
      <c r="A288" s="319">
        <f>INDEX(QS_Chart_Of_Accounts_Upload!$C:$O,MATCH(B288,QS_Chart_Of_Accounts_Upload!$E:$E,0),MATCH("ACCT_NO",QS_Chart_Of_Accounts_Upload!$C$1:$O$1,0))</f>
        <v>8090</v>
      </c>
      <c r="B288" s="2" t="str">
        <f>'Non-Operating Expenses'!B11</f>
        <v>Mortgage Principal</v>
      </c>
      <c r="D288" s="431">
        <f t="shared" si="49"/>
        <v>0</v>
      </c>
      <c r="F288" s="481">
        <f>'Non-Operating Expenses'!C11</f>
        <v>0</v>
      </c>
      <c r="G288" s="481">
        <f>'Non-Operating Expenses'!D11</f>
        <v>0</v>
      </c>
      <c r="H288" s="481">
        <f>'Non-Operating Expenses'!E11</f>
        <v>0</v>
      </c>
      <c r="I288" s="481">
        <f>'Non-Operating Expenses'!F11</f>
        <v>0</v>
      </c>
      <c r="J288" s="481">
        <f>'Non-Operating Expenses'!G11</f>
        <v>0</v>
      </c>
      <c r="K288" s="481">
        <f>'Non-Operating Expenses'!H11</f>
        <v>0</v>
      </c>
      <c r="L288" s="481">
        <f>'Non-Operating Expenses'!I11</f>
        <v>0</v>
      </c>
      <c r="M288" s="481">
        <f>'Non-Operating Expenses'!J11</f>
        <v>0</v>
      </c>
      <c r="N288" s="481">
        <f>'Non-Operating Expenses'!K11</f>
        <v>0</v>
      </c>
      <c r="O288" s="481">
        <f>'Non-Operating Expenses'!L11</f>
        <v>0</v>
      </c>
      <c r="P288" s="481">
        <f>'Non-Operating Expenses'!M11</f>
        <v>0</v>
      </c>
      <c r="Q288" s="481">
        <f>'Non-Operating Expenses'!N11</f>
        <v>0</v>
      </c>
      <c r="R288" s="431">
        <f t="shared" si="50"/>
        <v>0</v>
      </c>
    </row>
    <row r="289" spans="1:18" outlineLevel="1">
      <c r="A289" s="319">
        <f>INDEX(QS_Chart_Of_Accounts_Upload!$C:$O,MATCH(B289,QS_Chart_Of_Accounts_Upload!$E:$E,0),MATCH("ACCT_NO",QS_Chart_Of_Accounts_Upload!$C$1:$O$1,0))</f>
        <v>8090.1</v>
      </c>
      <c r="B289" s="2" t="str">
        <f>'Non-Operating Expenses'!B12</f>
        <v>Mortgage Reserves/Escrows</v>
      </c>
      <c r="D289" s="431">
        <f t="shared" si="49"/>
        <v>0</v>
      </c>
      <c r="F289" s="481">
        <f>'Non-Operating Expenses'!C12</f>
        <v>0</v>
      </c>
      <c r="G289" s="481">
        <f>'Non-Operating Expenses'!D12</f>
        <v>0</v>
      </c>
      <c r="H289" s="481">
        <f>'Non-Operating Expenses'!E12</f>
        <v>0</v>
      </c>
      <c r="I289" s="481">
        <f>'Non-Operating Expenses'!F12</f>
        <v>0</v>
      </c>
      <c r="J289" s="481">
        <f>'Non-Operating Expenses'!G12</f>
        <v>0</v>
      </c>
      <c r="K289" s="481">
        <f>'Non-Operating Expenses'!H12</f>
        <v>0</v>
      </c>
      <c r="L289" s="481">
        <f>'Non-Operating Expenses'!I12</f>
        <v>0</v>
      </c>
      <c r="M289" s="481">
        <f>'Non-Operating Expenses'!J12</f>
        <v>0</v>
      </c>
      <c r="N289" s="481">
        <f>'Non-Operating Expenses'!K12</f>
        <v>0</v>
      </c>
      <c r="O289" s="481">
        <f>'Non-Operating Expenses'!L12</f>
        <v>0</v>
      </c>
      <c r="P289" s="481">
        <f>'Non-Operating Expenses'!M12</f>
        <v>0</v>
      </c>
      <c r="Q289" s="481">
        <f>'Non-Operating Expenses'!N12</f>
        <v>0</v>
      </c>
      <c r="R289" s="431">
        <f t="shared" si="50"/>
        <v>0</v>
      </c>
    </row>
    <row r="290" spans="1:18" outlineLevel="1">
      <c r="A290" s="319">
        <f>INDEX(QS_Chart_Of_Accounts_Upload!$C:$O,MATCH(B290,QS_Chart_Of_Accounts_Upload!$E:$E,0),MATCH("ACCT_NO",QS_Chart_Of_Accounts_Upload!$C$1:$O$1,0))</f>
        <v>8091</v>
      </c>
      <c r="B290" s="2" t="str">
        <f>'Non-Operating Expenses'!B13</f>
        <v>Mortgage Principal/Res/Esc Capitalized</v>
      </c>
      <c r="D290" s="431">
        <f t="shared" si="49"/>
        <v>0</v>
      </c>
      <c r="F290" s="481">
        <f>'Non-Operating Expenses'!C13</f>
        <v>0</v>
      </c>
      <c r="G290" s="481">
        <f>'Non-Operating Expenses'!D13</f>
        <v>0</v>
      </c>
      <c r="H290" s="481">
        <f>'Non-Operating Expenses'!E13</f>
        <v>0</v>
      </c>
      <c r="I290" s="481">
        <f>'Non-Operating Expenses'!F13</f>
        <v>0</v>
      </c>
      <c r="J290" s="481">
        <f>'Non-Operating Expenses'!G13</f>
        <v>0</v>
      </c>
      <c r="K290" s="481">
        <f>'Non-Operating Expenses'!H13</f>
        <v>0</v>
      </c>
      <c r="L290" s="481">
        <f>'Non-Operating Expenses'!I13</f>
        <v>0</v>
      </c>
      <c r="M290" s="481">
        <f>'Non-Operating Expenses'!J13</f>
        <v>0</v>
      </c>
      <c r="N290" s="481">
        <f>'Non-Operating Expenses'!K13</f>
        <v>0</v>
      </c>
      <c r="O290" s="481">
        <f>'Non-Operating Expenses'!L13</f>
        <v>0</v>
      </c>
      <c r="P290" s="481">
        <f>'Non-Operating Expenses'!M13</f>
        <v>0</v>
      </c>
      <c r="Q290" s="481">
        <f>'Non-Operating Expenses'!N13</f>
        <v>0</v>
      </c>
      <c r="R290" s="431">
        <f t="shared" si="50"/>
        <v>0</v>
      </c>
    </row>
    <row r="291" spans="1:18" outlineLevel="1">
      <c r="A291" s="319">
        <f>INDEX(QS_Chart_Of_Accounts_Upload!$C:$O,MATCH(B291,QS_Chart_Of_Accounts_Upload!$E:$E,0),MATCH("ACCT_NO",QS_Chart_Of_Accounts_Upload!$C$1:$O$1,0))</f>
        <v>9001</v>
      </c>
      <c r="B291" s="2" t="str">
        <f>'Non-Operating Expenses'!B14</f>
        <v>Compliance Monitoring Fee</v>
      </c>
      <c r="D291" s="431">
        <f t="shared" si="49"/>
        <v>0</v>
      </c>
      <c r="F291" s="481">
        <f>'Non-Operating Expenses'!C14</f>
        <v>0</v>
      </c>
      <c r="G291" s="481">
        <f>'Non-Operating Expenses'!D14</f>
        <v>0</v>
      </c>
      <c r="H291" s="481">
        <f>'Non-Operating Expenses'!E14</f>
        <v>0</v>
      </c>
      <c r="I291" s="481">
        <f>'Non-Operating Expenses'!F14</f>
        <v>0</v>
      </c>
      <c r="J291" s="481">
        <f>'Non-Operating Expenses'!G14</f>
        <v>0</v>
      </c>
      <c r="K291" s="481">
        <f>'Non-Operating Expenses'!H14</f>
        <v>0</v>
      </c>
      <c r="L291" s="481">
        <f>'Non-Operating Expenses'!I14</f>
        <v>0</v>
      </c>
      <c r="M291" s="481">
        <f>'Non-Operating Expenses'!J14</f>
        <v>0</v>
      </c>
      <c r="N291" s="481">
        <f>'Non-Operating Expenses'!K14</f>
        <v>0</v>
      </c>
      <c r="O291" s="481">
        <f>'Non-Operating Expenses'!L14</f>
        <v>0</v>
      </c>
      <c r="P291" s="481">
        <f>'Non-Operating Expenses'!M14</f>
        <v>0</v>
      </c>
      <c r="Q291" s="481">
        <f>'Non-Operating Expenses'!N14</f>
        <v>0</v>
      </c>
      <c r="R291" s="431">
        <f t="shared" si="50"/>
        <v>0</v>
      </c>
    </row>
    <row r="292" spans="1:18" outlineLevel="1">
      <c r="A292" s="319">
        <f>INDEX(QS_Chart_Of_Accounts_Upload!$C:$O,MATCH(B292,QS_Chart_Of_Accounts_Upload!$E:$E,0),MATCH("ACCT_NO",QS_Chart_Of_Accounts_Upload!$C$1:$O$1,0))</f>
        <v>9002</v>
      </c>
      <c r="B292" s="2" t="str">
        <f>'Non-Operating Expenses'!B15</f>
        <v>Financial Monitoring Fee</v>
      </c>
      <c r="D292" s="431">
        <f t="shared" si="49"/>
        <v>0</v>
      </c>
      <c r="F292" s="481">
        <f>'Non-Operating Expenses'!C15</f>
        <v>0</v>
      </c>
      <c r="G292" s="481">
        <f>'Non-Operating Expenses'!D15</f>
        <v>0</v>
      </c>
      <c r="H292" s="481">
        <f>'Non-Operating Expenses'!E15</f>
        <v>0</v>
      </c>
      <c r="I292" s="481">
        <f>'Non-Operating Expenses'!F15</f>
        <v>0</v>
      </c>
      <c r="J292" s="481">
        <f>'Non-Operating Expenses'!G15</f>
        <v>0</v>
      </c>
      <c r="K292" s="481">
        <f>'Non-Operating Expenses'!H15</f>
        <v>0</v>
      </c>
      <c r="L292" s="481">
        <f>'Non-Operating Expenses'!I15</f>
        <v>0</v>
      </c>
      <c r="M292" s="481">
        <f>'Non-Operating Expenses'!J15</f>
        <v>0</v>
      </c>
      <c r="N292" s="481">
        <f>'Non-Operating Expenses'!K15</f>
        <v>0</v>
      </c>
      <c r="O292" s="481">
        <f>'Non-Operating Expenses'!L15</f>
        <v>0</v>
      </c>
      <c r="P292" s="481">
        <f>'Non-Operating Expenses'!M15</f>
        <v>0</v>
      </c>
      <c r="Q292" s="481">
        <f>'Non-Operating Expenses'!N15</f>
        <v>0</v>
      </c>
      <c r="R292" s="431">
        <f t="shared" si="50"/>
        <v>0</v>
      </c>
    </row>
    <row r="293" spans="1:18" outlineLevel="1">
      <c r="A293" s="319">
        <f>INDEX(QS_Chart_Of_Accounts_Upload!$C:$O,MATCH(B293,QS_Chart_Of_Accounts_Upload!$E:$E,0),MATCH("ACCT_NO",QS_Chart_Of_Accounts_Upload!$C$1:$O$1,0))</f>
        <v>9003</v>
      </c>
      <c r="B293" s="2" t="str">
        <f>'Non-Operating Expenses'!B16</f>
        <v>Loan Servicing Fee</v>
      </c>
      <c r="D293" s="431">
        <f t="shared" si="49"/>
        <v>0</v>
      </c>
      <c r="F293" s="481">
        <f>'Non-Operating Expenses'!C16</f>
        <v>0</v>
      </c>
      <c r="G293" s="481">
        <f>'Non-Operating Expenses'!D16</f>
        <v>0</v>
      </c>
      <c r="H293" s="481">
        <f>'Non-Operating Expenses'!E16</f>
        <v>0</v>
      </c>
      <c r="I293" s="481">
        <f>'Non-Operating Expenses'!F16</f>
        <v>0</v>
      </c>
      <c r="J293" s="481">
        <f>'Non-Operating Expenses'!G16</f>
        <v>0</v>
      </c>
      <c r="K293" s="481">
        <f>'Non-Operating Expenses'!H16</f>
        <v>0</v>
      </c>
      <c r="L293" s="481">
        <f>'Non-Operating Expenses'!I16</f>
        <v>0</v>
      </c>
      <c r="M293" s="481">
        <f>'Non-Operating Expenses'!J16</f>
        <v>0</v>
      </c>
      <c r="N293" s="481">
        <f>'Non-Operating Expenses'!K16</f>
        <v>0</v>
      </c>
      <c r="O293" s="481">
        <f>'Non-Operating Expenses'!L16</f>
        <v>0</v>
      </c>
      <c r="P293" s="481">
        <f>'Non-Operating Expenses'!M16</f>
        <v>0</v>
      </c>
      <c r="Q293" s="481">
        <f>'Non-Operating Expenses'!N16</f>
        <v>0</v>
      </c>
      <c r="R293" s="431">
        <f t="shared" si="50"/>
        <v>0</v>
      </c>
    </row>
    <row r="294" spans="1:18" outlineLevel="1">
      <c r="A294" s="319">
        <f>INDEX(QS_Chart_Of_Accounts_Upload!$C:$O,MATCH(B294,QS_Chart_Of_Accounts_Upload!$E:$E,0),MATCH("ACCT_NO",QS_Chart_Of_Accounts_Upload!$C$1:$O$1,0))</f>
        <v>9004</v>
      </c>
      <c r="B294" s="2" t="str">
        <f>'Non-Operating Expenses'!B17</f>
        <v>Trustee Fees</v>
      </c>
      <c r="D294" s="431">
        <f t="shared" si="49"/>
        <v>0</v>
      </c>
      <c r="F294" s="481">
        <f>'Non-Operating Expenses'!C17</f>
        <v>0</v>
      </c>
      <c r="G294" s="481">
        <f>'Non-Operating Expenses'!D17</f>
        <v>0</v>
      </c>
      <c r="H294" s="481">
        <f>'Non-Operating Expenses'!E17</f>
        <v>0</v>
      </c>
      <c r="I294" s="481">
        <f>'Non-Operating Expenses'!F17</f>
        <v>0</v>
      </c>
      <c r="J294" s="481">
        <f>'Non-Operating Expenses'!G17</f>
        <v>0</v>
      </c>
      <c r="K294" s="481">
        <f>'Non-Operating Expenses'!H17</f>
        <v>0</v>
      </c>
      <c r="L294" s="481">
        <f>'Non-Operating Expenses'!I17</f>
        <v>0</v>
      </c>
      <c r="M294" s="481">
        <f>'Non-Operating Expenses'!J17</f>
        <v>0</v>
      </c>
      <c r="N294" s="481">
        <f>'Non-Operating Expenses'!K17</f>
        <v>0</v>
      </c>
      <c r="O294" s="481">
        <f>'Non-Operating Expenses'!L17</f>
        <v>0</v>
      </c>
      <c r="P294" s="481">
        <f>'Non-Operating Expenses'!M17</f>
        <v>0</v>
      </c>
      <c r="Q294" s="481">
        <f>'Non-Operating Expenses'!N17</f>
        <v>0</v>
      </c>
      <c r="R294" s="431">
        <f t="shared" si="50"/>
        <v>0</v>
      </c>
    </row>
    <row r="295" spans="1:18" outlineLevel="1">
      <c r="A295" s="319">
        <f>INDEX(QS_Chart_Of_Accounts_Upload!$C:$O,MATCH(B295,QS_Chart_Of_Accounts_Upload!$E:$E,0),MATCH("ACCT_NO",QS_Chart_Of_Accounts_Upload!$C$1:$O$1,0))</f>
        <v>9005</v>
      </c>
      <c r="B295" s="2" t="str">
        <f>'Non-Operating Expenses'!B18</f>
        <v>Issuer Administration Fee</v>
      </c>
      <c r="D295" s="431">
        <f t="shared" si="49"/>
        <v>0</v>
      </c>
      <c r="F295" s="481">
        <f>'Non-Operating Expenses'!C18</f>
        <v>0</v>
      </c>
      <c r="G295" s="481">
        <f>'Non-Operating Expenses'!D18</f>
        <v>0</v>
      </c>
      <c r="H295" s="481">
        <f>'Non-Operating Expenses'!E18</f>
        <v>0</v>
      </c>
      <c r="I295" s="481">
        <f>'Non-Operating Expenses'!F18</f>
        <v>0</v>
      </c>
      <c r="J295" s="481">
        <f>'Non-Operating Expenses'!G18</f>
        <v>0</v>
      </c>
      <c r="K295" s="481">
        <f>'Non-Operating Expenses'!H18</f>
        <v>0</v>
      </c>
      <c r="L295" s="481">
        <f>'Non-Operating Expenses'!I18</f>
        <v>0</v>
      </c>
      <c r="M295" s="481">
        <f>'Non-Operating Expenses'!J18</f>
        <v>0</v>
      </c>
      <c r="N295" s="481">
        <f>'Non-Operating Expenses'!K18</f>
        <v>0</v>
      </c>
      <c r="O295" s="481">
        <f>'Non-Operating Expenses'!L18</f>
        <v>0</v>
      </c>
      <c r="P295" s="481">
        <f>'Non-Operating Expenses'!M18</f>
        <v>0</v>
      </c>
      <c r="Q295" s="481">
        <f>'Non-Operating Expenses'!N18</f>
        <v>0</v>
      </c>
      <c r="R295" s="431">
        <f t="shared" si="50"/>
        <v>0</v>
      </c>
    </row>
    <row r="296" spans="1:18" outlineLevel="1">
      <c r="A296" s="319">
        <f>INDEX(QS_Chart_Of_Accounts_Upload!$C:$O,MATCH(B296,QS_Chart_Of_Accounts_Upload!$E:$E,0),MATCH("ACCT_NO",QS_Chart_Of_Accounts_Upload!$C$1:$O$1,0))</f>
        <v>8084</v>
      </c>
      <c r="B296" s="2" t="str">
        <f>'Non-Operating Expenses'!B19</f>
        <v>Interest Expense - Rate Cap Reimbursement</v>
      </c>
      <c r="D296" s="431">
        <f t="shared" si="49"/>
        <v>0</v>
      </c>
      <c r="F296" s="481">
        <f>'Non-Operating Expenses'!C19</f>
        <v>0</v>
      </c>
      <c r="G296" s="481">
        <f>'Non-Operating Expenses'!D19</f>
        <v>0</v>
      </c>
      <c r="H296" s="481">
        <f>'Non-Operating Expenses'!E19</f>
        <v>0</v>
      </c>
      <c r="I296" s="481">
        <f>'Non-Operating Expenses'!F19</f>
        <v>0</v>
      </c>
      <c r="J296" s="481">
        <f>'Non-Operating Expenses'!G19</f>
        <v>0</v>
      </c>
      <c r="K296" s="481">
        <f>'Non-Operating Expenses'!H19</f>
        <v>0</v>
      </c>
      <c r="L296" s="481">
        <f>'Non-Operating Expenses'!I19</f>
        <v>0</v>
      </c>
      <c r="M296" s="481">
        <f>'Non-Operating Expenses'!J19</f>
        <v>0</v>
      </c>
      <c r="N296" s="481">
        <f>'Non-Operating Expenses'!K19</f>
        <v>0</v>
      </c>
      <c r="O296" s="481">
        <f>'Non-Operating Expenses'!L19</f>
        <v>0</v>
      </c>
      <c r="P296" s="481">
        <f>'Non-Operating Expenses'!M19</f>
        <v>0</v>
      </c>
      <c r="Q296" s="481">
        <f>'Non-Operating Expenses'!N19</f>
        <v>0</v>
      </c>
      <c r="R296" s="431">
        <f t="shared" si="50"/>
        <v>0</v>
      </c>
    </row>
    <row r="297" spans="1:18" outlineLevel="1">
      <c r="A297" s="319">
        <f>INDEX(QS_Chart_Of_Accounts_Upload!$C:$O,MATCH(B297,QS_Chart_Of_Accounts_Upload!$E:$E,0),MATCH("ACCT_NO",QS_Chart_Of_Accounts_Upload!$C$1:$O$1,0))</f>
        <v>9020</v>
      </c>
      <c r="B297" s="2" t="str">
        <f>'Non-Operating Expenses'!B20</f>
        <v>Penalties and Fines</v>
      </c>
      <c r="D297" s="431">
        <f t="shared" si="49"/>
        <v>0</v>
      </c>
      <c r="F297" s="481">
        <f>'Non-Operating Expenses'!C20</f>
        <v>0</v>
      </c>
      <c r="G297" s="481">
        <f>'Non-Operating Expenses'!D20</f>
        <v>0</v>
      </c>
      <c r="H297" s="481">
        <f>'Non-Operating Expenses'!E20</f>
        <v>0</v>
      </c>
      <c r="I297" s="481">
        <f>'Non-Operating Expenses'!F20</f>
        <v>0</v>
      </c>
      <c r="J297" s="481">
        <f>'Non-Operating Expenses'!G20</f>
        <v>0</v>
      </c>
      <c r="K297" s="481">
        <f>'Non-Operating Expenses'!H20</f>
        <v>0</v>
      </c>
      <c r="L297" s="481">
        <f>'Non-Operating Expenses'!I20</f>
        <v>0</v>
      </c>
      <c r="M297" s="481">
        <f>'Non-Operating Expenses'!J20</f>
        <v>0</v>
      </c>
      <c r="N297" s="481">
        <f>'Non-Operating Expenses'!K20</f>
        <v>0</v>
      </c>
      <c r="O297" s="481">
        <f>'Non-Operating Expenses'!L20</f>
        <v>0</v>
      </c>
      <c r="P297" s="481">
        <f>'Non-Operating Expenses'!M20</f>
        <v>0</v>
      </c>
      <c r="Q297" s="481">
        <f>'Non-Operating Expenses'!N20</f>
        <v>0</v>
      </c>
      <c r="R297" s="431">
        <f t="shared" si="50"/>
        <v>0</v>
      </c>
    </row>
    <row r="298" spans="1:18" outlineLevel="1">
      <c r="A298" s="319">
        <f>INDEX(QS_Chart_Of_Accounts_Upload!$C:$O,MATCH(B298,QS_Chart_Of_Accounts_Upload!$E:$E,0),MATCH("ACCT_NO",QS_Chart_Of_Accounts_Upload!$C$1:$O$1,0))</f>
        <v>9030</v>
      </c>
      <c r="B298" s="2" t="str">
        <f>'Non-Operating Expenses'!B21</f>
        <v>Nondeductible Expenses</v>
      </c>
      <c r="D298" s="431">
        <f t="shared" si="49"/>
        <v>0</v>
      </c>
      <c r="F298" s="481">
        <f>'Non-Operating Expenses'!C21</f>
        <v>0</v>
      </c>
      <c r="G298" s="481">
        <f>'Non-Operating Expenses'!D21</f>
        <v>0</v>
      </c>
      <c r="H298" s="481">
        <f>'Non-Operating Expenses'!E21</f>
        <v>0</v>
      </c>
      <c r="I298" s="481">
        <f>'Non-Operating Expenses'!F21</f>
        <v>0</v>
      </c>
      <c r="J298" s="481">
        <f>'Non-Operating Expenses'!G21</f>
        <v>0</v>
      </c>
      <c r="K298" s="481">
        <f>'Non-Operating Expenses'!H21</f>
        <v>0</v>
      </c>
      <c r="L298" s="481">
        <f>'Non-Operating Expenses'!I21</f>
        <v>0</v>
      </c>
      <c r="M298" s="481">
        <f>'Non-Operating Expenses'!J21</f>
        <v>0</v>
      </c>
      <c r="N298" s="481">
        <f>'Non-Operating Expenses'!K21</f>
        <v>0</v>
      </c>
      <c r="O298" s="481">
        <f>'Non-Operating Expenses'!L21</f>
        <v>0</v>
      </c>
      <c r="P298" s="481">
        <f>'Non-Operating Expenses'!M21</f>
        <v>0</v>
      </c>
      <c r="Q298" s="481">
        <f>'Non-Operating Expenses'!N21</f>
        <v>0</v>
      </c>
      <c r="R298" s="431">
        <f t="shared" si="50"/>
        <v>0</v>
      </c>
    </row>
    <row r="299" spans="1:18" outlineLevel="1">
      <c r="A299" s="319">
        <f>INDEX(QS_Chart_Of_Accounts_Upload!$C:$O,MATCH(B299,QS_Chart_Of_Accounts_Upload!$E:$E,0),MATCH("ACCT_NO",QS_Chart_Of_Accounts_Upload!$C$1:$O$1,0))</f>
        <v>9031</v>
      </c>
      <c r="B299" s="2" t="str">
        <f>'Non-Operating Expenses'!B22</f>
        <v>Filing Fees</v>
      </c>
      <c r="D299" s="431">
        <f t="shared" si="49"/>
        <v>0</v>
      </c>
      <c r="F299" s="481">
        <f>'Non-Operating Expenses'!C22</f>
        <v>0</v>
      </c>
      <c r="G299" s="481">
        <f>'Non-Operating Expenses'!D22</f>
        <v>0</v>
      </c>
      <c r="H299" s="481">
        <f>'Non-Operating Expenses'!E22</f>
        <v>0</v>
      </c>
      <c r="I299" s="481">
        <f>'Non-Operating Expenses'!F22</f>
        <v>0</v>
      </c>
      <c r="J299" s="481">
        <f>'Non-Operating Expenses'!G22</f>
        <v>0</v>
      </c>
      <c r="K299" s="481">
        <f>'Non-Operating Expenses'!H22</f>
        <v>0</v>
      </c>
      <c r="L299" s="481">
        <f>'Non-Operating Expenses'!I22</f>
        <v>0</v>
      </c>
      <c r="M299" s="481">
        <f>'Non-Operating Expenses'!J22</f>
        <v>0</v>
      </c>
      <c r="N299" s="481">
        <f>'Non-Operating Expenses'!K22</f>
        <v>0</v>
      </c>
      <c r="O299" s="481">
        <f>'Non-Operating Expenses'!L22</f>
        <v>0</v>
      </c>
      <c r="P299" s="481">
        <f>'Non-Operating Expenses'!M22</f>
        <v>0</v>
      </c>
      <c r="Q299" s="481">
        <f>'Non-Operating Expenses'!N22</f>
        <v>0</v>
      </c>
      <c r="R299" s="431">
        <f t="shared" si="50"/>
        <v>0</v>
      </c>
    </row>
    <row r="300" spans="1:18" outlineLevel="1">
      <c r="A300" s="319">
        <f>INDEX(QS_Chart_Of_Accounts_Upload!$C:$O,MATCH(B300,QS_Chart_Of_Accounts_Upload!$E:$E,0),MATCH("ACCT_NO",QS_Chart_Of_Accounts_Upload!$C$1:$O$1,0))</f>
        <v>9032</v>
      </c>
      <c r="B300" s="2" t="str">
        <f>'Non-Operating Expenses'!B23</f>
        <v>Legal &amp; Professional Fees</v>
      </c>
      <c r="D300" s="431">
        <f t="shared" si="49"/>
        <v>0</v>
      </c>
      <c r="F300" s="481">
        <f>'Non-Operating Expenses'!C23</f>
        <v>0</v>
      </c>
      <c r="G300" s="481">
        <f>'Non-Operating Expenses'!D23</f>
        <v>0</v>
      </c>
      <c r="H300" s="481">
        <f>'Non-Operating Expenses'!E23</f>
        <v>0</v>
      </c>
      <c r="I300" s="481">
        <f>'Non-Operating Expenses'!F23</f>
        <v>0</v>
      </c>
      <c r="J300" s="481">
        <f>'Non-Operating Expenses'!G23</f>
        <v>0</v>
      </c>
      <c r="K300" s="481">
        <f>'Non-Operating Expenses'!H23</f>
        <v>0</v>
      </c>
      <c r="L300" s="481">
        <f>'Non-Operating Expenses'!I23</f>
        <v>0</v>
      </c>
      <c r="M300" s="481">
        <f>'Non-Operating Expenses'!J23</f>
        <v>0</v>
      </c>
      <c r="N300" s="481">
        <f>'Non-Operating Expenses'!K23</f>
        <v>0</v>
      </c>
      <c r="O300" s="481">
        <f>'Non-Operating Expenses'!L23</f>
        <v>0</v>
      </c>
      <c r="P300" s="481">
        <f>'Non-Operating Expenses'!M23</f>
        <v>0</v>
      </c>
      <c r="Q300" s="481">
        <f>'Non-Operating Expenses'!N23</f>
        <v>0</v>
      </c>
      <c r="R300" s="431">
        <f t="shared" si="50"/>
        <v>0</v>
      </c>
    </row>
    <row r="301" spans="1:18" outlineLevel="1">
      <c r="A301" s="319">
        <f>INDEX(QS_Chart_Of_Accounts_Upload!$C:$O,MATCH(B301,QS_Chart_Of_Accounts_Upload!$E:$E,0),MATCH("ACCT_NO",QS_Chart_Of_Accounts_Upload!$C$1:$O$1,0))</f>
        <v>9033</v>
      </c>
      <c r="B301" s="2" t="str">
        <f>'Non-Operating Expenses'!B24</f>
        <v>Acquisition Expenses</v>
      </c>
      <c r="D301" s="431">
        <f t="shared" si="49"/>
        <v>0</v>
      </c>
      <c r="F301" s="481">
        <f>'Non-Operating Expenses'!C24</f>
        <v>0</v>
      </c>
      <c r="G301" s="481">
        <f>'Non-Operating Expenses'!D24</f>
        <v>0</v>
      </c>
      <c r="H301" s="481">
        <f>'Non-Operating Expenses'!E24</f>
        <v>0</v>
      </c>
      <c r="I301" s="481">
        <f>'Non-Operating Expenses'!F24</f>
        <v>0</v>
      </c>
      <c r="J301" s="481">
        <f>'Non-Operating Expenses'!G24</f>
        <v>0</v>
      </c>
      <c r="K301" s="481">
        <f>'Non-Operating Expenses'!H24</f>
        <v>0</v>
      </c>
      <c r="L301" s="481">
        <f>'Non-Operating Expenses'!I24</f>
        <v>0</v>
      </c>
      <c r="M301" s="481">
        <f>'Non-Operating Expenses'!J24</f>
        <v>0</v>
      </c>
      <c r="N301" s="481">
        <f>'Non-Operating Expenses'!K24</f>
        <v>0</v>
      </c>
      <c r="O301" s="481">
        <f>'Non-Operating Expenses'!L24</f>
        <v>0</v>
      </c>
      <c r="P301" s="481">
        <f>'Non-Operating Expenses'!M24</f>
        <v>0</v>
      </c>
      <c r="Q301" s="481">
        <f>'Non-Operating Expenses'!N24</f>
        <v>0</v>
      </c>
      <c r="R301" s="431">
        <f t="shared" si="50"/>
        <v>0</v>
      </c>
    </row>
    <row r="302" spans="1:18" outlineLevel="1">
      <c r="A302" s="319">
        <f>INDEX(QS_Chart_Of_Accounts_Upload!$C:$O,MATCH(B302,QS_Chart_Of_Accounts_Upload!$E:$E,0),MATCH("ACCT_NO",QS_Chart_Of_Accounts_Upload!$C$1:$O$1,0))</f>
        <v>9034</v>
      </c>
      <c r="B302" s="2" t="str">
        <f>'Non-Operating Expenses'!B25</f>
        <v>Owners Exp Reimb. - Rentlytics/Startup Costs</v>
      </c>
      <c r="D302" s="431">
        <f t="shared" si="49"/>
        <v>0</v>
      </c>
      <c r="F302" s="481">
        <f>'Non-Operating Expenses'!C25</f>
        <v>0</v>
      </c>
      <c r="G302" s="481">
        <f>'Non-Operating Expenses'!D25</f>
        <v>0</v>
      </c>
      <c r="H302" s="481">
        <f>'Non-Operating Expenses'!E25</f>
        <v>0</v>
      </c>
      <c r="I302" s="481">
        <f>'Non-Operating Expenses'!F25</f>
        <v>0</v>
      </c>
      <c r="J302" s="481">
        <f>'Non-Operating Expenses'!G25</f>
        <v>0</v>
      </c>
      <c r="K302" s="481">
        <f>'Non-Operating Expenses'!H25</f>
        <v>0</v>
      </c>
      <c r="L302" s="481">
        <f>'Non-Operating Expenses'!I25</f>
        <v>0</v>
      </c>
      <c r="M302" s="481">
        <f>'Non-Operating Expenses'!J25</f>
        <v>0</v>
      </c>
      <c r="N302" s="481">
        <f>'Non-Operating Expenses'!K25</f>
        <v>0</v>
      </c>
      <c r="O302" s="481">
        <f>'Non-Operating Expenses'!L25</f>
        <v>0</v>
      </c>
      <c r="P302" s="481">
        <f>'Non-Operating Expenses'!M25</f>
        <v>0</v>
      </c>
      <c r="Q302" s="481">
        <f>'Non-Operating Expenses'!N25</f>
        <v>0</v>
      </c>
      <c r="R302" s="431">
        <f t="shared" si="50"/>
        <v>0</v>
      </c>
    </row>
    <row r="303" spans="1:18" outlineLevel="1">
      <c r="A303" s="319">
        <f>INDEX(QS_Chart_Of_Accounts_Upload!$C:$O,MATCH(B303,QS_Chart_Of_Accounts_Upload!$E:$E,0),MATCH("ACCT_NO",QS_Chart_Of_Accounts_Upload!$C$1:$O$1,0))</f>
        <v>9041</v>
      </c>
      <c r="B303" s="2" t="str">
        <f>'Non-Operating Expenses'!B26</f>
        <v>Gain/Loss on Asset Disposal</v>
      </c>
      <c r="D303" s="431">
        <f t="shared" si="49"/>
        <v>0</v>
      </c>
      <c r="F303" s="481">
        <f>'Non-Operating Expenses'!C26</f>
        <v>0</v>
      </c>
      <c r="G303" s="481">
        <f>'Non-Operating Expenses'!D26</f>
        <v>0</v>
      </c>
      <c r="H303" s="481">
        <f>'Non-Operating Expenses'!E26</f>
        <v>0</v>
      </c>
      <c r="I303" s="481">
        <f>'Non-Operating Expenses'!F26</f>
        <v>0</v>
      </c>
      <c r="J303" s="481">
        <f>'Non-Operating Expenses'!G26</f>
        <v>0</v>
      </c>
      <c r="K303" s="481">
        <f>'Non-Operating Expenses'!H26</f>
        <v>0</v>
      </c>
      <c r="L303" s="481">
        <f>'Non-Operating Expenses'!I26</f>
        <v>0</v>
      </c>
      <c r="M303" s="481">
        <f>'Non-Operating Expenses'!J26</f>
        <v>0</v>
      </c>
      <c r="N303" s="481">
        <f>'Non-Operating Expenses'!K26</f>
        <v>0</v>
      </c>
      <c r="O303" s="481">
        <f>'Non-Operating Expenses'!L26</f>
        <v>0</v>
      </c>
      <c r="P303" s="481">
        <f>'Non-Operating Expenses'!M26</f>
        <v>0</v>
      </c>
      <c r="Q303" s="481">
        <f>'Non-Operating Expenses'!N26</f>
        <v>0</v>
      </c>
      <c r="R303" s="431">
        <f t="shared" si="50"/>
        <v>0</v>
      </c>
    </row>
    <row r="304" spans="1:18" outlineLevel="1">
      <c r="A304" s="319">
        <f>INDEX(QS_Chart_Of_Accounts_Upload!$C:$O,MATCH(B304,QS_Chart_Of_Accounts_Upload!$E:$E,0),MATCH("ACCT_NO",QS_Chart_Of_Accounts_Upload!$C$1:$O$1,0))</f>
        <v>9042</v>
      </c>
      <c r="B304" s="2" t="str">
        <f>'Non-Operating Expenses'!B27</f>
        <v>Gain/Loss on Insurance Proceeds</v>
      </c>
      <c r="D304" s="431">
        <f t="shared" si="49"/>
        <v>0</v>
      </c>
      <c r="F304" s="481">
        <f>'Non-Operating Expenses'!C27</f>
        <v>0</v>
      </c>
      <c r="G304" s="481">
        <f>'Non-Operating Expenses'!D27</f>
        <v>0</v>
      </c>
      <c r="H304" s="481">
        <f>'Non-Operating Expenses'!E27</f>
        <v>0</v>
      </c>
      <c r="I304" s="481">
        <f>'Non-Operating Expenses'!F27</f>
        <v>0</v>
      </c>
      <c r="J304" s="481">
        <f>'Non-Operating Expenses'!G27</f>
        <v>0</v>
      </c>
      <c r="K304" s="481">
        <f>'Non-Operating Expenses'!H27</f>
        <v>0</v>
      </c>
      <c r="L304" s="481">
        <f>'Non-Operating Expenses'!I27</f>
        <v>0</v>
      </c>
      <c r="M304" s="481">
        <f>'Non-Operating Expenses'!J27</f>
        <v>0</v>
      </c>
      <c r="N304" s="481">
        <f>'Non-Operating Expenses'!K27</f>
        <v>0</v>
      </c>
      <c r="O304" s="481">
        <f>'Non-Operating Expenses'!L27</f>
        <v>0</v>
      </c>
      <c r="P304" s="481">
        <f>'Non-Operating Expenses'!M27</f>
        <v>0</v>
      </c>
      <c r="Q304" s="481">
        <f>'Non-Operating Expenses'!N27</f>
        <v>0</v>
      </c>
      <c r="R304" s="431">
        <f t="shared" si="50"/>
        <v>0</v>
      </c>
    </row>
    <row r="305" spans="1:20" outlineLevel="1">
      <c r="A305" s="319">
        <f>INDEX(QS_Chart_Of_Accounts_Upload!$C:$O,MATCH(B305,QS_Chart_Of_Accounts_Upload!$E:$E,0),MATCH("ACCT_NO",QS_Chart_Of_Accounts_Upload!$C$1:$O$1,0))</f>
        <v>8510</v>
      </c>
      <c r="B305" s="2" t="str">
        <f>'Non-Operating Expenses'!B28</f>
        <v>Depreciation Expense</v>
      </c>
      <c r="D305" s="431">
        <f t="shared" si="49"/>
        <v>0</v>
      </c>
      <c r="F305" s="481">
        <f>'Non-Operating Expenses'!C28</f>
        <v>0</v>
      </c>
      <c r="G305" s="481">
        <f>'Non-Operating Expenses'!D28</f>
        <v>0</v>
      </c>
      <c r="H305" s="481">
        <f>'Non-Operating Expenses'!E28</f>
        <v>0</v>
      </c>
      <c r="I305" s="481">
        <f>'Non-Operating Expenses'!F28</f>
        <v>0</v>
      </c>
      <c r="J305" s="481">
        <f>'Non-Operating Expenses'!G28</f>
        <v>0</v>
      </c>
      <c r="K305" s="481">
        <f>'Non-Operating Expenses'!H28</f>
        <v>0</v>
      </c>
      <c r="L305" s="481">
        <f>'Non-Operating Expenses'!I28</f>
        <v>0</v>
      </c>
      <c r="M305" s="481">
        <f>'Non-Operating Expenses'!J28</f>
        <v>0</v>
      </c>
      <c r="N305" s="481">
        <f>'Non-Operating Expenses'!K28</f>
        <v>0</v>
      </c>
      <c r="O305" s="481">
        <f>'Non-Operating Expenses'!L28</f>
        <v>0</v>
      </c>
      <c r="P305" s="481">
        <f>'Non-Operating Expenses'!M28</f>
        <v>0</v>
      </c>
      <c r="Q305" s="481">
        <f>'Non-Operating Expenses'!N28</f>
        <v>0</v>
      </c>
      <c r="R305" s="431">
        <f t="shared" si="50"/>
        <v>0</v>
      </c>
    </row>
    <row r="306" spans="1:20" outlineLevel="1">
      <c r="A306" s="319">
        <f>INDEX(QS_Chart_Of_Accounts_Upload!$C:$O,MATCH(B306,QS_Chart_Of_Accounts_Upload!$E:$E,0),MATCH("ACCT_NO",QS_Chart_Of_Accounts_Upload!$C$1:$O$1,0))</f>
        <v>8512</v>
      </c>
      <c r="B306" s="2" t="str">
        <f>'Non-Operating Expenses'!B29</f>
        <v>Depreciation Exp: Building</v>
      </c>
      <c r="D306" s="431">
        <f t="shared" si="49"/>
        <v>0</v>
      </c>
      <c r="F306" s="481">
        <f>'Non-Operating Expenses'!C29</f>
        <v>0</v>
      </c>
      <c r="G306" s="481">
        <f>'Non-Operating Expenses'!D29</f>
        <v>0</v>
      </c>
      <c r="H306" s="481">
        <f>'Non-Operating Expenses'!E29</f>
        <v>0</v>
      </c>
      <c r="I306" s="481">
        <f>'Non-Operating Expenses'!F29</f>
        <v>0</v>
      </c>
      <c r="J306" s="481">
        <f>'Non-Operating Expenses'!G29</f>
        <v>0</v>
      </c>
      <c r="K306" s="481">
        <f>'Non-Operating Expenses'!H29</f>
        <v>0</v>
      </c>
      <c r="L306" s="481">
        <f>'Non-Operating Expenses'!I29</f>
        <v>0</v>
      </c>
      <c r="M306" s="481">
        <f>'Non-Operating Expenses'!J29</f>
        <v>0</v>
      </c>
      <c r="N306" s="481">
        <f>'Non-Operating Expenses'!K29</f>
        <v>0</v>
      </c>
      <c r="O306" s="481">
        <f>'Non-Operating Expenses'!L29</f>
        <v>0</v>
      </c>
      <c r="P306" s="481">
        <f>'Non-Operating Expenses'!M29</f>
        <v>0</v>
      </c>
      <c r="Q306" s="481">
        <f>'Non-Operating Expenses'!N29</f>
        <v>0</v>
      </c>
      <c r="R306" s="431">
        <f t="shared" si="50"/>
        <v>0</v>
      </c>
    </row>
    <row r="307" spans="1:20" outlineLevel="1">
      <c r="A307" s="319">
        <f>INDEX(QS_Chart_Of_Accounts_Upload!$C:$O,MATCH(B307,QS_Chart_Of_Accounts_Upload!$E:$E,0),MATCH("ACCT_NO",QS_Chart_Of_Accounts_Upload!$C$1:$O$1,0))</f>
        <v>8513</v>
      </c>
      <c r="B307" s="2" t="str">
        <f>'Non-Operating Expenses'!B30</f>
        <v>Depreciation Exp: Building Improvements</v>
      </c>
      <c r="D307" s="431">
        <f t="shared" si="49"/>
        <v>0</v>
      </c>
      <c r="F307" s="481">
        <f>'Non-Operating Expenses'!C30</f>
        <v>0</v>
      </c>
      <c r="G307" s="481">
        <f>'Non-Operating Expenses'!D30</f>
        <v>0</v>
      </c>
      <c r="H307" s="481">
        <f>'Non-Operating Expenses'!E30</f>
        <v>0</v>
      </c>
      <c r="I307" s="481">
        <f>'Non-Operating Expenses'!F30</f>
        <v>0</v>
      </c>
      <c r="J307" s="481">
        <f>'Non-Operating Expenses'!G30</f>
        <v>0</v>
      </c>
      <c r="K307" s="481">
        <f>'Non-Operating Expenses'!H30</f>
        <v>0</v>
      </c>
      <c r="L307" s="481">
        <f>'Non-Operating Expenses'!I30</f>
        <v>0</v>
      </c>
      <c r="M307" s="481">
        <f>'Non-Operating Expenses'!J30</f>
        <v>0</v>
      </c>
      <c r="N307" s="481">
        <f>'Non-Operating Expenses'!K30</f>
        <v>0</v>
      </c>
      <c r="O307" s="481">
        <f>'Non-Operating Expenses'!L30</f>
        <v>0</v>
      </c>
      <c r="P307" s="481">
        <f>'Non-Operating Expenses'!M30</f>
        <v>0</v>
      </c>
      <c r="Q307" s="481">
        <f>'Non-Operating Expenses'!N30</f>
        <v>0</v>
      </c>
      <c r="R307" s="431">
        <f t="shared" si="50"/>
        <v>0</v>
      </c>
    </row>
    <row r="308" spans="1:20" outlineLevel="1">
      <c r="A308" s="319">
        <f>INDEX(QS_Chart_Of_Accounts_Upload!$C:$O,MATCH(B308,QS_Chart_Of_Accounts_Upload!$E:$E,0),MATCH("ACCT_NO",QS_Chart_Of_Accounts_Upload!$C$1:$O$1,0))</f>
        <v>8514</v>
      </c>
      <c r="B308" s="2" t="str">
        <f>'Non-Operating Expenses'!B31</f>
        <v>Depreciation Exp: FFE</v>
      </c>
      <c r="D308" s="431">
        <f t="shared" si="49"/>
        <v>0</v>
      </c>
      <c r="F308" s="481">
        <f>'Non-Operating Expenses'!C31</f>
        <v>0</v>
      </c>
      <c r="G308" s="481">
        <f>'Non-Operating Expenses'!D31</f>
        <v>0</v>
      </c>
      <c r="H308" s="481">
        <f>'Non-Operating Expenses'!E31</f>
        <v>0</v>
      </c>
      <c r="I308" s="481">
        <f>'Non-Operating Expenses'!F31</f>
        <v>0</v>
      </c>
      <c r="J308" s="481">
        <f>'Non-Operating Expenses'!G31</f>
        <v>0</v>
      </c>
      <c r="K308" s="481">
        <f>'Non-Operating Expenses'!H31</f>
        <v>0</v>
      </c>
      <c r="L308" s="481">
        <f>'Non-Operating Expenses'!I31</f>
        <v>0</v>
      </c>
      <c r="M308" s="481">
        <f>'Non-Operating Expenses'!J31</f>
        <v>0</v>
      </c>
      <c r="N308" s="481">
        <f>'Non-Operating Expenses'!K31</f>
        <v>0</v>
      </c>
      <c r="O308" s="481">
        <f>'Non-Operating Expenses'!L31</f>
        <v>0</v>
      </c>
      <c r="P308" s="481">
        <f>'Non-Operating Expenses'!M31</f>
        <v>0</v>
      </c>
      <c r="Q308" s="481">
        <f>'Non-Operating Expenses'!N31</f>
        <v>0</v>
      </c>
      <c r="R308" s="431">
        <f t="shared" si="50"/>
        <v>0</v>
      </c>
    </row>
    <row r="309" spans="1:20" outlineLevel="1">
      <c r="A309" s="319">
        <f>INDEX(QS_Chart_Of_Accounts_Upload!$C:$O,MATCH(B309,QS_Chart_Of_Accounts_Upload!$E:$E,0),MATCH("ACCT_NO",QS_Chart_Of_Accounts_Upload!$C$1:$O$1,0))</f>
        <v>8515</v>
      </c>
      <c r="B309" s="2" t="str">
        <f>'Non-Operating Expenses'!B32</f>
        <v>Depreciation Exp: Land Improvements</v>
      </c>
      <c r="D309" s="431">
        <f t="shared" si="49"/>
        <v>0</v>
      </c>
      <c r="F309" s="481">
        <f>'Non-Operating Expenses'!C32</f>
        <v>0</v>
      </c>
      <c r="G309" s="481">
        <f>'Non-Operating Expenses'!D32</f>
        <v>0</v>
      </c>
      <c r="H309" s="481">
        <f>'Non-Operating Expenses'!E32</f>
        <v>0</v>
      </c>
      <c r="I309" s="481">
        <f>'Non-Operating Expenses'!F32</f>
        <v>0</v>
      </c>
      <c r="J309" s="481">
        <f>'Non-Operating Expenses'!G32</f>
        <v>0</v>
      </c>
      <c r="K309" s="481">
        <f>'Non-Operating Expenses'!H32</f>
        <v>0</v>
      </c>
      <c r="L309" s="481">
        <f>'Non-Operating Expenses'!I32</f>
        <v>0</v>
      </c>
      <c r="M309" s="481">
        <f>'Non-Operating Expenses'!J32</f>
        <v>0</v>
      </c>
      <c r="N309" s="481">
        <f>'Non-Operating Expenses'!K32</f>
        <v>0</v>
      </c>
      <c r="O309" s="481">
        <f>'Non-Operating Expenses'!L32</f>
        <v>0</v>
      </c>
      <c r="P309" s="481">
        <f>'Non-Operating Expenses'!M32</f>
        <v>0</v>
      </c>
      <c r="Q309" s="481">
        <f>'Non-Operating Expenses'!N32</f>
        <v>0</v>
      </c>
      <c r="R309" s="431">
        <f t="shared" si="50"/>
        <v>0</v>
      </c>
    </row>
    <row r="310" spans="1:20" outlineLevel="1">
      <c r="A310" s="319">
        <f>INDEX(QS_Chart_Of_Accounts_Upload!$C:$O,MATCH(B310,QS_Chart_Of_Accounts_Upload!$E:$E,0),MATCH("ACCT_NO",QS_Chart_Of_Accounts_Upload!$C$1:$O$1,0))</f>
        <v>8516</v>
      </c>
      <c r="B310" s="2" t="str">
        <f>'Non-Operating Expenses'!B33</f>
        <v>Depreciation Exp: Distributive Trades and Services</v>
      </c>
      <c r="D310" s="431">
        <f t="shared" si="49"/>
        <v>0</v>
      </c>
      <c r="F310" s="481">
        <f>'Non-Operating Expenses'!C33</f>
        <v>0</v>
      </c>
      <c r="G310" s="481">
        <f>'Non-Operating Expenses'!D33</f>
        <v>0</v>
      </c>
      <c r="H310" s="481">
        <f>'Non-Operating Expenses'!E33</f>
        <v>0</v>
      </c>
      <c r="I310" s="481">
        <f>'Non-Operating Expenses'!F33</f>
        <v>0</v>
      </c>
      <c r="J310" s="481">
        <f>'Non-Operating Expenses'!G33</f>
        <v>0</v>
      </c>
      <c r="K310" s="481">
        <f>'Non-Operating Expenses'!H33</f>
        <v>0</v>
      </c>
      <c r="L310" s="481">
        <f>'Non-Operating Expenses'!I33</f>
        <v>0</v>
      </c>
      <c r="M310" s="481">
        <f>'Non-Operating Expenses'!J33</f>
        <v>0</v>
      </c>
      <c r="N310" s="481">
        <f>'Non-Operating Expenses'!K33</f>
        <v>0</v>
      </c>
      <c r="O310" s="481">
        <f>'Non-Operating Expenses'!L33</f>
        <v>0</v>
      </c>
      <c r="P310" s="481">
        <f>'Non-Operating Expenses'!M33</f>
        <v>0</v>
      </c>
      <c r="Q310" s="481">
        <f>'Non-Operating Expenses'!N33</f>
        <v>0</v>
      </c>
      <c r="R310" s="431">
        <f t="shared" si="50"/>
        <v>0</v>
      </c>
    </row>
    <row r="311" spans="1:20" outlineLevel="1">
      <c r="A311" s="319">
        <f>INDEX(QS_Chart_Of_Accounts_Upload!$C:$O,MATCH(B311,QS_Chart_Of_Accounts_Upload!$E:$E,0),MATCH("ACCT_NO",QS_Chart_Of_Accounts_Upload!$C$1:$O$1,0))</f>
        <v>8520</v>
      </c>
      <c r="B311" s="2" t="str">
        <f>'Non-Operating Expenses'!B34</f>
        <v>Amortization Expense</v>
      </c>
      <c r="D311" s="431">
        <f t="shared" si="49"/>
        <v>0</v>
      </c>
      <c r="F311" s="481">
        <f>'Non-Operating Expenses'!C34</f>
        <v>0</v>
      </c>
      <c r="G311" s="481">
        <f>'Non-Operating Expenses'!D34</f>
        <v>0</v>
      </c>
      <c r="H311" s="481">
        <f>'Non-Operating Expenses'!E34</f>
        <v>0</v>
      </c>
      <c r="I311" s="481">
        <f>'Non-Operating Expenses'!F34</f>
        <v>0</v>
      </c>
      <c r="J311" s="481">
        <f>'Non-Operating Expenses'!G34</f>
        <v>0</v>
      </c>
      <c r="K311" s="481">
        <f>'Non-Operating Expenses'!H34</f>
        <v>0</v>
      </c>
      <c r="L311" s="481">
        <f>'Non-Operating Expenses'!I34</f>
        <v>0</v>
      </c>
      <c r="M311" s="481">
        <f>'Non-Operating Expenses'!J34</f>
        <v>0</v>
      </c>
      <c r="N311" s="481">
        <f>'Non-Operating Expenses'!K34</f>
        <v>0</v>
      </c>
      <c r="O311" s="481">
        <f>'Non-Operating Expenses'!L34</f>
        <v>0</v>
      </c>
      <c r="P311" s="481">
        <f>'Non-Operating Expenses'!M34</f>
        <v>0</v>
      </c>
      <c r="Q311" s="481">
        <f>'Non-Operating Expenses'!N34</f>
        <v>0</v>
      </c>
      <c r="R311" s="431">
        <f t="shared" si="50"/>
        <v>0</v>
      </c>
    </row>
    <row r="312" spans="1:20" outlineLevel="1">
      <c r="A312" s="319">
        <f>INDEX(QS_Chart_Of_Accounts_Upload!$C:$O,MATCH(B312,QS_Chart_Of_Accounts_Upload!$E:$E,0),MATCH("ACCT_NO",QS_Chart_Of_Accounts_Upload!$C$1:$O$1,0))</f>
        <v>8525</v>
      </c>
      <c r="B312" s="2" t="str">
        <f>'Non-Operating Expenses'!B35</f>
        <v>Amortization Exp: Loan Acq Costs</v>
      </c>
      <c r="D312" s="431">
        <f t="shared" si="49"/>
        <v>0</v>
      </c>
      <c r="F312" s="481">
        <f>'Non-Operating Expenses'!C35</f>
        <v>0</v>
      </c>
      <c r="G312" s="481">
        <f>'Non-Operating Expenses'!D35</f>
        <v>0</v>
      </c>
      <c r="H312" s="481">
        <f>'Non-Operating Expenses'!E35</f>
        <v>0</v>
      </c>
      <c r="I312" s="481">
        <f>'Non-Operating Expenses'!F35</f>
        <v>0</v>
      </c>
      <c r="J312" s="481">
        <f>'Non-Operating Expenses'!G35</f>
        <v>0</v>
      </c>
      <c r="K312" s="481">
        <f>'Non-Operating Expenses'!H35</f>
        <v>0</v>
      </c>
      <c r="L312" s="481">
        <f>'Non-Operating Expenses'!I35</f>
        <v>0</v>
      </c>
      <c r="M312" s="481">
        <f>'Non-Operating Expenses'!J35</f>
        <v>0</v>
      </c>
      <c r="N312" s="481">
        <f>'Non-Operating Expenses'!K35</f>
        <v>0</v>
      </c>
      <c r="O312" s="481">
        <f>'Non-Operating Expenses'!L35</f>
        <v>0</v>
      </c>
      <c r="P312" s="481">
        <f>'Non-Operating Expenses'!M35</f>
        <v>0</v>
      </c>
      <c r="Q312" s="481">
        <f>'Non-Operating Expenses'!N35</f>
        <v>0</v>
      </c>
      <c r="R312" s="431">
        <f t="shared" si="50"/>
        <v>0</v>
      </c>
    </row>
    <row r="313" spans="1:20" outlineLevel="1">
      <c r="A313" s="319"/>
      <c r="D313" s="457"/>
      <c r="F313" s="458"/>
      <c r="G313" s="458"/>
      <c r="H313" s="458"/>
      <c r="I313" s="458"/>
      <c r="J313" s="458"/>
      <c r="K313" s="458"/>
      <c r="L313" s="458"/>
      <c r="M313" s="458"/>
      <c r="N313" s="458"/>
      <c r="O313" s="458"/>
      <c r="P313" s="458"/>
      <c r="Q313" s="458"/>
      <c r="R313" s="457"/>
    </row>
    <row r="314" spans="1:20">
      <c r="A314" s="319"/>
      <c r="B314" s="7" t="s">
        <v>58</v>
      </c>
      <c r="C314" s="7"/>
      <c r="D314" s="431">
        <f t="shared" ref="D314" si="51">+SUBTOTAL(9,A314:C314)</f>
        <v>0</v>
      </c>
      <c r="E314" s="7"/>
      <c r="F314" s="456">
        <f t="shared" ref="F314:Q314" si="52">SUM(F282:F313)</f>
        <v>0</v>
      </c>
      <c r="G314" s="456">
        <f t="shared" si="52"/>
        <v>0</v>
      </c>
      <c r="H314" s="456">
        <f t="shared" si="52"/>
        <v>0</v>
      </c>
      <c r="I314" s="456">
        <f t="shared" si="52"/>
        <v>0</v>
      </c>
      <c r="J314" s="456">
        <f t="shared" si="52"/>
        <v>0</v>
      </c>
      <c r="K314" s="456">
        <f t="shared" si="52"/>
        <v>0</v>
      </c>
      <c r="L314" s="456">
        <f t="shared" si="52"/>
        <v>0</v>
      </c>
      <c r="M314" s="456">
        <f t="shared" si="52"/>
        <v>0</v>
      </c>
      <c r="N314" s="456">
        <f t="shared" si="52"/>
        <v>0</v>
      </c>
      <c r="O314" s="456">
        <f t="shared" si="52"/>
        <v>0</v>
      </c>
      <c r="P314" s="456">
        <f t="shared" si="52"/>
        <v>0</v>
      </c>
      <c r="Q314" s="456">
        <f t="shared" si="52"/>
        <v>0</v>
      </c>
      <c r="R314" s="431">
        <f>+SUBTOTAL(9,F314:Q314)</f>
        <v>0</v>
      </c>
    </row>
    <row r="315" spans="1:20">
      <c r="B315" s="482"/>
      <c r="C315" s="482"/>
      <c r="D315" s="60"/>
      <c r="E315" s="482"/>
      <c r="R315" s="60"/>
    </row>
    <row r="316" spans="1:20">
      <c r="B316" s="483" t="s">
        <v>55</v>
      </c>
      <c r="C316" s="483"/>
      <c r="D316" s="60"/>
      <c r="E316" s="483"/>
      <c r="R316" s="60"/>
    </row>
    <row r="317" spans="1:20" ht="7.5" customHeight="1" outlineLevel="1">
      <c r="B317" s="483"/>
      <c r="C317" s="483"/>
      <c r="D317" s="60"/>
      <c r="E317" s="483"/>
      <c r="R317" s="60"/>
    </row>
    <row r="318" spans="1:20" ht="14" outlineLevel="1">
      <c r="A318" s="319">
        <f>INDEX(QS_Chart_Of_Accounts_Upload!$C:$O,MATCH(B318,QS_Chart_Of_Accounts_Upload!$E:$E,0),MATCH("ACCT_NO",QS_Chart_Of_Accounts_Upload!$C$1:$O$1,0))</f>
        <v>9085</v>
      </c>
      <c r="B318" s="108" t="str">
        <f>'Non-Operating Expenses'!B43</f>
        <v>CAPEX-Building-Common Area</v>
      </c>
      <c r="C318" s="108"/>
      <c r="D318" s="431">
        <f t="shared" ref="D318:D353" si="53">+SUBTOTAL(9,F318:R318)</f>
        <v>0</v>
      </c>
      <c r="E318" s="108"/>
      <c r="F318" s="446">
        <f>'Non-Operating Expenses'!C43</f>
        <v>0</v>
      </c>
      <c r="G318" s="446">
        <f>'Non-Operating Expenses'!D43</f>
        <v>0</v>
      </c>
      <c r="H318" s="446">
        <f>'Non-Operating Expenses'!E43</f>
        <v>0</v>
      </c>
      <c r="I318" s="446">
        <f>'Non-Operating Expenses'!F43</f>
        <v>0</v>
      </c>
      <c r="J318" s="446">
        <f>'Non-Operating Expenses'!G43</f>
        <v>0</v>
      </c>
      <c r="K318" s="446">
        <f>'Non-Operating Expenses'!H43</f>
        <v>0</v>
      </c>
      <c r="L318" s="446">
        <f>'Non-Operating Expenses'!I43</f>
        <v>0</v>
      </c>
      <c r="M318" s="446">
        <f>'Non-Operating Expenses'!J43</f>
        <v>0</v>
      </c>
      <c r="N318" s="446">
        <f>'Non-Operating Expenses'!K43</f>
        <v>0</v>
      </c>
      <c r="O318" s="446">
        <f>'Non-Operating Expenses'!L43</f>
        <v>0</v>
      </c>
      <c r="P318" s="446">
        <f>'Non-Operating Expenses'!M43</f>
        <v>0</v>
      </c>
      <c r="Q318" s="446">
        <f>'Non-Operating Expenses'!N43</f>
        <v>0</v>
      </c>
      <c r="R318" s="431">
        <f t="shared" ref="R318:R353" si="54">+SUBTOTAL(9,F318:Q318)</f>
        <v>0</v>
      </c>
      <c r="T318" s="448" t="str">
        <f>+IF('Non-Operating Expenses'!Q43="","",'Non-Operating Expenses'!Q43)</f>
        <v/>
      </c>
    </row>
    <row r="319" spans="1:20" ht="14" outlineLevel="1">
      <c r="A319" s="319">
        <f>INDEX(QS_Chart_Of_Accounts_Upload!$C:$O,MATCH(B319,QS_Chart_Of_Accounts_Upload!$E:$E,0),MATCH("ACCT_NO",QS_Chart_Of_Accounts_Upload!$C$1:$O$1,0))</f>
        <v>9087</v>
      </c>
      <c r="B319" s="108" t="str">
        <f>'Non-Operating Expenses'!B44</f>
        <v>CAPEX-Building-Exterior</v>
      </c>
      <c r="C319" s="108"/>
      <c r="D319" s="431">
        <f t="shared" si="53"/>
        <v>0</v>
      </c>
      <c r="E319" s="108"/>
      <c r="F319" s="446">
        <f>'Non-Operating Expenses'!C44</f>
        <v>0</v>
      </c>
      <c r="G319" s="446">
        <f>'Non-Operating Expenses'!D44</f>
        <v>0</v>
      </c>
      <c r="H319" s="446">
        <f>'Non-Operating Expenses'!E44</f>
        <v>0</v>
      </c>
      <c r="I319" s="446">
        <f>'Non-Operating Expenses'!F44</f>
        <v>0</v>
      </c>
      <c r="J319" s="446">
        <f>'Non-Operating Expenses'!G44</f>
        <v>0</v>
      </c>
      <c r="K319" s="446">
        <f>'Non-Operating Expenses'!H44</f>
        <v>0</v>
      </c>
      <c r="L319" s="446">
        <f>'Non-Operating Expenses'!I44</f>
        <v>0</v>
      </c>
      <c r="M319" s="446">
        <f>'Non-Operating Expenses'!J44</f>
        <v>0</v>
      </c>
      <c r="N319" s="446">
        <f>'Non-Operating Expenses'!K44</f>
        <v>0</v>
      </c>
      <c r="O319" s="446">
        <f>'Non-Operating Expenses'!L44</f>
        <v>0</v>
      </c>
      <c r="P319" s="446">
        <f>'Non-Operating Expenses'!M44</f>
        <v>0</v>
      </c>
      <c r="Q319" s="446">
        <f>'Non-Operating Expenses'!N44</f>
        <v>0</v>
      </c>
      <c r="R319" s="431">
        <f t="shared" si="54"/>
        <v>0</v>
      </c>
      <c r="T319" s="448" t="str">
        <f>+IF('Non-Operating Expenses'!Q44="","",'Non-Operating Expenses'!Q44)</f>
        <v/>
      </c>
    </row>
    <row r="320" spans="1:20" ht="14" outlineLevel="1">
      <c r="A320" s="319">
        <f>INDEX(QS_Chart_Of_Accounts_Upload!$C:$O,MATCH(B320,QS_Chart_Of_Accounts_Upload!$E:$E,0),MATCH("ACCT_NO",QS_Chart_Of_Accounts_Upload!$C$1:$O$1,0))</f>
        <v>9100</v>
      </c>
      <c r="B320" s="108" t="str">
        <f>'Non-Operating Expenses'!B45</f>
        <v>CAPEX-Carpet Replacement</v>
      </c>
      <c r="C320" s="108"/>
      <c r="D320" s="431">
        <f t="shared" si="53"/>
        <v>0</v>
      </c>
      <c r="E320" s="108"/>
      <c r="F320" s="446">
        <f>'Non-Operating Expenses'!C45</f>
        <v>0</v>
      </c>
      <c r="G320" s="446">
        <f>'Non-Operating Expenses'!D45</f>
        <v>0</v>
      </c>
      <c r="H320" s="446">
        <f>'Non-Operating Expenses'!E45</f>
        <v>0</v>
      </c>
      <c r="I320" s="446">
        <f>'Non-Operating Expenses'!F45</f>
        <v>0</v>
      </c>
      <c r="J320" s="446">
        <f>'Non-Operating Expenses'!G45</f>
        <v>0</v>
      </c>
      <c r="K320" s="446">
        <f>'Non-Operating Expenses'!H45</f>
        <v>0</v>
      </c>
      <c r="L320" s="446">
        <f>'Non-Operating Expenses'!I45</f>
        <v>0</v>
      </c>
      <c r="M320" s="446">
        <f>'Non-Operating Expenses'!J45</f>
        <v>0</v>
      </c>
      <c r="N320" s="446">
        <f>'Non-Operating Expenses'!K45</f>
        <v>0</v>
      </c>
      <c r="O320" s="446">
        <f>'Non-Operating Expenses'!L45</f>
        <v>0</v>
      </c>
      <c r="P320" s="446">
        <f>'Non-Operating Expenses'!M45</f>
        <v>0</v>
      </c>
      <c r="Q320" s="446">
        <f>'Non-Operating Expenses'!N45</f>
        <v>0</v>
      </c>
      <c r="R320" s="431">
        <f t="shared" si="54"/>
        <v>0</v>
      </c>
      <c r="T320" s="448" t="str">
        <f>+IF('Non-Operating Expenses'!Q45="","",'Non-Operating Expenses'!Q45)</f>
        <v/>
      </c>
    </row>
    <row r="321" spans="1:20" ht="14" outlineLevel="1">
      <c r="A321" s="319">
        <f>INDEX(QS_Chart_Of_Accounts_Upload!$C:$O,MATCH(B321,QS_Chart_Of_Accounts_Upload!$E:$E,0),MATCH("ACCT_NO",QS_Chart_Of_Accounts_Upload!$C$1:$O$1,0))</f>
        <v>9102</v>
      </c>
      <c r="B321" s="108" t="str">
        <f>'Non-Operating Expenses'!B46</f>
        <v>CAPEX-Ceiling Fans/Fixtures</v>
      </c>
      <c r="C321" s="108"/>
      <c r="D321" s="431">
        <f t="shared" si="53"/>
        <v>0</v>
      </c>
      <c r="E321" s="108"/>
      <c r="F321" s="446">
        <f>'Non-Operating Expenses'!C46</f>
        <v>0</v>
      </c>
      <c r="G321" s="446">
        <f>'Non-Operating Expenses'!D46</f>
        <v>0</v>
      </c>
      <c r="H321" s="446">
        <f>'Non-Operating Expenses'!E46</f>
        <v>0</v>
      </c>
      <c r="I321" s="446">
        <f>'Non-Operating Expenses'!F46</f>
        <v>0</v>
      </c>
      <c r="J321" s="446">
        <f>'Non-Operating Expenses'!G46</f>
        <v>0</v>
      </c>
      <c r="K321" s="446">
        <f>'Non-Operating Expenses'!H46</f>
        <v>0</v>
      </c>
      <c r="L321" s="446">
        <f>'Non-Operating Expenses'!I46</f>
        <v>0</v>
      </c>
      <c r="M321" s="446">
        <f>'Non-Operating Expenses'!J46</f>
        <v>0</v>
      </c>
      <c r="N321" s="446">
        <f>'Non-Operating Expenses'!K46</f>
        <v>0</v>
      </c>
      <c r="O321" s="446">
        <f>'Non-Operating Expenses'!L46</f>
        <v>0</v>
      </c>
      <c r="P321" s="446">
        <f>'Non-Operating Expenses'!M46</f>
        <v>0</v>
      </c>
      <c r="Q321" s="446">
        <f>'Non-Operating Expenses'!N46</f>
        <v>0</v>
      </c>
      <c r="R321" s="431">
        <f t="shared" si="54"/>
        <v>0</v>
      </c>
      <c r="T321" s="448" t="str">
        <f>+IF('Non-Operating Expenses'!Q46="","",'Non-Operating Expenses'!Q46)</f>
        <v/>
      </c>
    </row>
    <row r="322" spans="1:20" ht="14" outlineLevel="1">
      <c r="A322" s="319">
        <f>INDEX(QS_Chart_Of_Accounts_Upload!$C:$O,MATCH(B322,QS_Chart_Of_Accounts_Upload!$E:$E,0),MATCH("ACCT_NO",QS_Chart_Of_Accounts_Upload!$C$1:$O$1,0))</f>
        <v>9103</v>
      </c>
      <c r="B322" s="108" t="str">
        <f>'Non-Operating Expenses'!B47</f>
        <v>CAPEX-Clubhouse</v>
      </c>
      <c r="C322" s="108"/>
      <c r="D322" s="431">
        <f t="shared" si="53"/>
        <v>0</v>
      </c>
      <c r="E322" s="108"/>
      <c r="F322" s="446">
        <f>'Non-Operating Expenses'!C47</f>
        <v>0</v>
      </c>
      <c r="G322" s="446">
        <f>'Non-Operating Expenses'!D47</f>
        <v>0</v>
      </c>
      <c r="H322" s="446">
        <f>'Non-Operating Expenses'!E47</f>
        <v>0</v>
      </c>
      <c r="I322" s="446">
        <f>'Non-Operating Expenses'!F47</f>
        <v>0</v>
      </c>
      <c r="J322" s="446">
        <f>'Non-Operating Expenses'!G47</f>
        <v>0</v>
      </c>
      <c r="K322" s="446">
        <f>'Non-Operating Expenses'!H47</f>
        <v>0</v>
      </c>
      <c r="L322" s="446">
        <f>'Non-Operating Expenses'!I47</f>
        <v>0</v>
      </c>
      <c r="M322" s="446">
        <f>'Non-Operating Expenses'!J47</f>
        <v>0</v>
      </c>
      <c r="N322" s="446">
        <f>'Non-Operating Expenses'!K47</f>
        <v>0</v>
      </c>
      <c r="O322" s="446">
        <f>'Non-Operating Expenses'!L47</f>
        <v>0</v>
      </c>
      <c r="P322" s="446">
        <f>'Non-Operating Expenses'!M47</f>
        <v>0</v>
      </c>
      <c r="Q322" s="446">
        <f>'Non-Operating Expenses'!N47</f>
        <v>0</v>
      </c>
      <c r="R322" s="431">
        <f t="shared" si="54"/>
        <v>0</v>
      </c>
      <c r="T322" s="448" t="str">
        <f>+IF('Non-Operating Expenses'!Q47="","",'Non-Operating Expenses'!Q47)</f>
        <v/>
      </c>
    </row>
    <row r="323" spans="1:20" ht="14" outlineLevel="1">
      <c r="A323" s="319">
        <f>INDEX(QS_Chart_Of_Accounts_Upload!$C:$O,MATCH(B323,QS_Chart_Of_Accounts_Upload!$E:$E,0),MATCH("ACCT_NO",QS_Chart_Of_Accounts_Upload!$C$1:$O$1,0))</f>
        <v>9105</v>
      </c>
      <c r="B323" s="108" t="str">
        <f>'Non-Operating Expenses'!B48</f>
        <v>CAPEX-Dishwashers</v>
      </c>
      <c r="C323" s="108"/>
      <c r="D323" s="431">
        <f t="shared" si="53"/>
        <v>0</v>
      </c>
      <c r="E323" s="108"/>
      <c r="F323" s="446">
        <f>'Non-Operating Expenses'!C48</f>
        <v>0</v>
      </c>
      <c r="G323" s="446">
        <f>'Non-Operating Expenses'!D48</f>
        <v>0</v>
      </c>
      <c r="H323" s="446">
        <f>'Non-Operating Expenses'!E48</f>
        <v>0</v>
      </c>
      <c r="I323" s="446">
        <f>'Non-Operating Expenses'!F48</f>
        <v>0</v>
      </c>
      <c r="J323" s="446">
        <f>'Non-Operating Expenses'!G48</f>
        <v>0</v>
      </c>
      <c r="K323" s="446">
        <f>'Non-Operating Expenses'!H48</f>
        <v>0</v>
      </c>
      <c r="L323" s="446">
        <f>'Non-Operating Expenses'!I48</f>
        <v>0</v>
      </c>
      <c r="M323" s="446">
        <f>'Non-Operating Expenses'!J48</f>
        <v>0</v>
      </c>
      <c r="N323" s="446">
        <f>'Non-Operating Expenses'!K48</f>
        <v>0</v>
      </c>
      <c r="O323" s="446">
        <f>'Non-Operating Expenses'!L48</f>
        <v>0</v>
      </c>
      <c r="P323" s="446">
        <f>'Non-Operating Expenses'!M48</f>
        <v>0</v>
      </c>
      <c r="Q323" s="446">
        <f>'Non-Operating Expenses'!N48</f>
        <v>0</v>
      </c>
      <c r="R323" s="431">
        <f t="shared" si="54"/>
        <v>0</v>
      </c>
      <c r="T323" s="448" t="str">
        <f>+IF('Non-Operating Expenses'!Q48="","",'Non-Operating Expenses'!Q48)</f>
        <v/>
      </c>
    </row>
    <row r="324" spans="1:20" ht="14" outlineLevel="1">
      <c r="A324" s="319">
        <f>INDEX(QS_Chart_Of_Accounts_Upload!$C:$O,MATCH(B324,QS_Chart_Of_Accounts_Upload!$E:$E,0),MATCH("ACCT_NO",QS_Chart_Of_Accounts_Upload!$C$1:$O$1,0))</f>
        <v>9110</v>
      </c>
      <c r="B324" s="108" t="str">
        <f>'Non-Operating Expenses'!B49</f>
        <v>CAPEX-Disposals</v>
      </c>
      <c r="C324" s="108"/>
      <c r="D324" s="431">
        <f t="shared" si="53"/>
        <v>0</v>
      </c>
      <c r="E324" s="108"/>
      <c r="F324" s="446">
        <f>'Non-Operating Expenses'!C49</f>
        <v>0</v>
      </c>
      <c r="G324" s="446">
        <f>'Non-Operating Expenses'!D49</f>
        <v>0</v>
      </c>
      <c r="H324" s="446">
        <f>'Non-Operating Expenses'!E49</f>
        <v>0</v>
      </c>
      <c r="I324" s="446">
        <f>'Non-Operating Expenses'!F49</f>
        <v>0</v>
      </c>
      <c r="J324" s="446">
        <f>'Non-Operating Expenses'!G49</f>
        <v>0</v>
      </c>
      <c r="K324" s="446">
        <f>'Non-Operating Expenses'!H49</f>
        <v>0</v>
      </c>
      <c r="L324" s="446">
        <f>'Non-Operating Expenses'!I49</f>
        <v>0</v>
      </c>
      <c r="M324" s="446">
        <f>'Non-Operating Expenses'!J49</f>
        <v>0</v>
      </c>
      <c r="N324" s="446">
        <f>'Non-Operating Expenses'!K49</f>
        <v>0</v>
      </c>
      <c r="O324" s="446">
        <f>'Non-Operating Expenses'!L49</f>
        <v>0</v>
      </c>
      <c r="P324" s="446">
        <f>'Non-Operating Expenses'!M49</f>
        <v>0</v>
      </c>
      <c r="Q324" s="446">
        <f>'Non-Operating Expenses'!N49</f>
        <v>0</v>
      </c>
      <c r="R324" s="431">
        <f t="shared" si="54"/>
        <v>0</v>
      </c>
      <c r="T324" s="448" t="str">
        <f>+IF('Non-Operating Expenses'!Q49="","",'Non-Operating Expenses'!Q49)</f>
        <v/>
      </c>
    </row>
    <row r="325" spans="1:20" ht="14" outlineLevel="1">
      <c r="A325" s="319">
        <f>INDEX(QS_Chart_Of_Accounts_Upload!$C:$O,MATCH(B325,QS_Chart_Of_Accounts_Upload!$E:$E,0),MATCH("ACCT_NO",QS_Chart_Of_Accounts_Upload!$C$1:$O$1,0))</f>
        <v>9111</v>
      </c>
      <c r="B325" s="108" t="str">
        <f>'Non-Operating Expenses'!B50</f>
        <v>CAPEX-Microwaves</v>
      </c>
      <c r="C325" s="108"/>
      <c r="D325" s="431">
        <f t="shared" si="53"/>
        <v>0</v>
      </c>
      <c r="E325" s="108"/>
      <c r="F325" s="446">
        <f>'Non-Operating Expenses'!C50</f>
        <v>0</v>
      </c>
      <c r="G325" s="446">
        <f>'Non-Operating Expenses'!D50</f>
        <v>0</v>
      </c>
      <c r="H325" s="446">
        <f>'Non-Operating Expenses'!E50</f>
        <v>0</v>
      </c>
      <c r="I325" s="446">
        <f>'Non-Operating Expenses'!F50</f>
        <v>0</v>
      </c>
      <c r="J325" s="446">
        <f>'Non-Operating Expenses'!G50</f>
        <v>0</v>
      </c>
      <c r="K325" s="446">
        <f>'Non-Operating Expenses'!H50</f>
        <v>0</v>
      </c>
      <c r="L325" s="446">
        <f>'Non-Operating Expenses'!I50</f>
        <v>0</v>
      </c>
      <c r="M325" s="446">
        <f>'Non-Operating Expenses'!J50</f>
        <v>0</v>
      </c>
      <c r="N325" s="446">
        <f>'Non-Operating Expenses'!K50</f>
        <v>0</v>
      </c>
      <c r="O325" s="446">
        <f>'Non-Operating Expenses'!L50</f>
        <v>0</v>
      </c>
      <c r="P325" s="446">
        <f>'Non-Operating Expenses'!M50</f>
        <v>0</v>
      </c>
      <c r="Q325" s="446">
        <f>'Non-Operating Expenses'!N50</f>
        <v>0</v>
      </c>
      <c r="R325" s="431">
        <f t="shared" si="54"/>
        <v>0</v>
      </c>
      <c r="T325" s="448" t="str">
        <f>+IF('Non-Operating Expenses'!Q50="","",'Non-Operating Expenses'!Q50)</f>
        <v/>
      </c>
    </row>
    <row r="326" spans="1:20" ht="14" outlineLevel="1">
      <c r="A326" s="319">
        <f>INDEX(QS_Chart_Of_Accounts_Upload!$C:$O,MATCH(B326,QS_Chart_Of_Accounts_Upload!$E:$E,0),MATCH("ACCT_NO",QS_Chart_Of_Accounts_Upload!$C$1:$O$1,0))</f>
        <v>9112</v>
      </c>
      <c r="B326" s="108" t="str">
        <f>'Non-Operating Expenses'!B51</f>
        <v>CAPEX-Equipment</v>
      </c>
      <c r="C326" s="108"/>
      <c r="D326" s="431">
        <f t="shared" si="53"/>
        <v>0</v>
      </c>
      <c r="E326" s="108"/>
      <c r="F326" s="446">
        <f>'Non-Operating Expenses'!C51</f>
        <v>0</v>
      </c>
      <c r="G326" s="446">
        <f>'Non-Operating Expenses'!D51</f>
        <v>0</v>
      </c>
      <c r="H326" s="446">
        <f>'Non-Operating Expenses'!E51</f>
        <v>0</v>
      </c>
      <c r="I326" s="446">
        <f>'Non-Operating Expenses'!F51</f>
        <v>0</v>
      </c>
      <c r="J326" s="446">
        <f>'Non-Operating Expenses'!G51</f>
        <v>0</v>
      </c>
      <c r="K326" s="446">
        <f>'Non-Operating Expenses'!H51</f>
        <v>0</v>
      </c>
      <c r="L326" s="446">
        <f>'Non-Operating Expenses'!I51</f>
        <v>0</v>
      </c>
      <c r="M326" s="446">
        <f>'Non-Operating Expenses'!J51</f>
        <v>0</v>
      </c>
      <c r="N326" s="446">
        <f>'Non-Operating Expenses'!K51</f>
        <v>0</v>
      </c>
      <c r="O326" s="446">
        <f>'Non-Operating Expenses'!L51</f>
        <v>0</v>
      </c>
      <c r="P326" s="446">
        <f>'Non-Operating Expenses'!M51</f>
        <v>0</v>
      </c>
      <c r="Q326" s="446">
        <f>'Non-Operating Expenses'!N51</f>
        <v>0</v>
      </c>
      <c r="R326" s="431">
        <f t="shared" si="54"/>
        <v>0</v>
      </c>
      <c r="T326" s="448" t="str">
        <f>+IF('Non-Operating Expenses'!Q51="","",'Non-Operating Expenses'!Q51)</f>
        <v/>
      </c>
    </row>
    <row r="327" spans="1:20" ht="14" outlineLevel="1">
      <c r="A327" s="319">
        <f>INDEX(QS_Chart_Of_Accounts_Upload!$C:$O,MATCH(B327,QS_Chart_Of_Accounts_Upload!$E:$E,0),MATCH("ACCT_NO",QS_Chart_Of_Accounts_Upload!$C$1:$O$1,0))</f>
        <v>9115</v>
      </c>
      <c r="B327" s="108" t="str">
        <f>'Non-Operating Expenses'!B52</f>
        <v>CAPEX-Fire Protection/Life Safety</v>
      </c>
      <c r="C327" s="108"/>
      <c r="D327" s="431">
        <f t="shared" si="53"/>
        <v>0</v>
      </c>
      <c r="E327" s="108"/>
      <c r="F327" s="446">
        <f>'Non-Operating Expenses'!C52</f>
        <v>0</v>
      </c>
      <c r="G327" s="446">
        <f>'Non-Operating Expenses'!D52</f>
        <v>0</v>
      </c>
      <c r="H327" s="446">
        <f>'Non-Operating Expenses'!E52</f>
        <v>0</v>
      </c>
      <c r="I327" s="446">
        <f>'Non-Operating Expenses'!F52</f>
        <v>0</v>
      </c>
      <c r="J327" s="446">
        <f>'Non-Operating Expenses'!G52</f>
        <v>0</v>
      </c>
      <c r="K327" s="446">
        <f>'Non-Operating Expenses'!H52</f>
        <v>0</v>
      </c>
      <c r="L327" s="446">
        <f>'Non-Operating Expenses'!I52</f>
        <v>0</v>
      </c>
      <c r="M327" s="446">
        <f>'Non-Operating Expenses'!J52</f>
        <v>0</v>
      </c>
      <c r="N327" s="446">
        <f>'Non-Operating Expenses'!K52</f>
        <v>0</v>
      </c>
      <c r="O327" s="446">
        <f>'Non-Operating Expenses'!L52</f>
        <v>0</v>
      </c>
      <c r="P327" s="446">
        <f>'Non-Operating Expenses'!M52</f>
        <v>0</v>
      </c>
      <c r="Q327" s="446">
        <f>'Non-Operating Expenses'!N52</f>
        <v>0</v>
      </c>
      <c r="R327" s="431">
        <f t="shared" si="54"/>
        <v>0</v>
      </c>
      <c r="T327" s="448" t="str">
        <f>+IF('Non-Operating Expenses'!Q52="","",'Non-Operating Expenses'!Q52)</f>
        <v/>
      </c>
    </row>
    <row r="328" spans="1:20" ht="14" outlineLevel="1">
      <c r="A328" s="319">
        <f>INDEX(QS_Chart_Of_Accounts_Upload!$C:$O,MATCH(B328,QS_Chart_Of_Accounts_Upload!$E:$E,0),MATCH("ACCT_NO",QS_Chart_Of_Accounts_Upload!$C$1:$O$1,0))</f>
        <v>9120</v>
      </c>
      <c r="B328" s="108" t="str">
        <f>'Non-Operating Expenses'!B53</f>
        <v>CAPEX-Furniture &amp; Fixtures</v>
      </c>
      <c r="C328" s="108"/>
      <c r="D328" s="431">
        <f t="shared" si="53"/>
        <v>0</v>
      </c>
      <c r="E328" s="108"/>
      <c r="F328" s="446">
        <f>'Non-Operating Expenses'!C53</f>
        <v>0</v>
      </c>
      <c r="G328" s="446">
        <f>'Non-Operating Expenses'!D53</f>
        <v>0</v>
      </c>
      <c r="H328" s="446">
        <f>'Non-Operating Expenses'!E53</f>
        <v>0</v>
      </c>
      <c r="I328" s="446">
        <f>'Non-Operating Expenses'!F53</f>
        <v>0</v>
      </c>
      <c r="J328" s="446">
        <f>'Non-Operating Expenses'!G53</f>
        <v>0</v>
      </c>
      <c r="K328" s="446">
        <f>'Non-Operating Expenses'!H53</f>
        <v>0</v>
      </c>
      <c r="L328" s="446">
        <f>'Non-Operating Expenses'!I53</f>
        <v>0</v>
      </c>
      <c r="M328" s="446">
        <f>'Non-Operating Expenses'!J53</f>
        <v>0</v>
      </c>
      <c r="N328" s="446">
        <f>'Non-Operating Expenses'!K53</f>
        <v>0</v>
      </c>
      <c r="O328" s="446">
        <f>'Non-Operating Expenses'!L53</f>
        <v>0</v>
      </c>
      <c r="P328" s="446">
        <f>'Non-Operating Expenses'!M53</f>
        <v>0</v>
      </c>
      <c r="Q328" s="446">
        <f>'Non-Operating Expenses'!N53</f>
        <v>0</v>
      </c>
      <c r="R328" s="431">
        <f t="shared" si="54"/>
        <v>0</v>
      </c>
      <c r="T328" s="448" t="str">
        <f>+IF('Non-Operating Expenses'!Q53="","",'Non-Operating Expenses'!Q53)</f>
        <v/>
      </c>
    </row>
    <row r="329" spans="1:20" ht="14" outlineLevel="1">
      <c r="A329" s="319">
        <f>INDEX(QS_Chart_Of_Accounts_Upload!$C:$O,MATCH(B329,QS_Chart_Of_Accounts_Upload!$E:$E,0),MATCH("ACCT_NO",QS_Chart_Of_Accounts_Upload!$C$1:$O$1,0))</f>
        <v>9123</v>
      </c>
      <c r="B329" s="108" t="str">
        <f>'Non-Operating Expenses'!B54</f>
        <v>CAPEX-Gates/Fencing</v>
      </c>
      <c r="C329" s="108"/>
      <c r="D329" s="431">
        <f t="shared" si="53"/>
        <v>0</v>
      </c>
      <c r="E329" s="108"/>
      <c r="F329" s="446">
        <f>'Non-Operating Expenses'!C54</f>
        <v>0</v>
      </c>
      <c r="G329" s="446">
        <f>'Non-Operating Expenses'!D54</f>
        <v>0</v>
      </c>
      <c r="H329" s="446">
        <f>'Non-Operating Expenses'!E54</f>
        <v>0</v>
      </c>
      <c r="I329" s="446">
        <f>'Non-Operating Expenses'!F54</f>
        <v>0</v>
      </c>
      <c r="J329" s="446">
        <f>'Non-Operating Expenses'!G54</f>
        <v>0</v>
      </c>
      <c r="K329" s="446">
        <f>'Non-Operating Expenses'!H54</f>
        <v>0</v>
      </c>
      <c r="L329" s="446">
        <f>'Non-Operating Expenses'!I54</f>
        <v>0</v>
      </c>
      <c r="M329" s="446">
        <f>'Non-Operating Expenses'!J54</f>
        <v>0</v>
      </c>
      <c r="N329" s="446">
        <f>'Non-Operating Expenses'!K54</f>
        <v>0</v>
      </c>
      <c r="O329" s="446">
        <f>'Non-Operating Expenses'!L54</f>
        <v>0</v>
      </c>
      <c r="P329" s="446">
        <f>'Non-Operating Expenses'!M54</f>
        <v>0</v>
      </c>
      <c r="Q329" s="446">
        <f>'Non-Operating Expenses'!N54</f>
        <v>0</v>
      </c>
      <c r="R329" s="431">
        <f t="shared" si="54"/>
        <v>0</v>
      </c>
      <c r="T329" s="448" t="str">
        <f>+IF('Non-Operating Expenses'!Q54="","",'Non-Operating Expenses'!Q54)</f>
        <v/>
      </c>
    </row>
    <row r="330" spans="1:20" ht="14" outlineLevel="1">
      <c r="A330" s="319">
        <f>INDEX(QS_Chart_Of_Accounts_Upload!$C:$O,MATCH(B330,QS_Chart_Of_Accounts_Upload!$E:$E,0),MATCH("ACCT_NO",QS_Chart_Of_Accounts_Upload!$C$1:$O$1,0))</f>
        <v>9125</v>
      </c>
      <c r="B330" s="108" t="str">
        <f>'Non-Operating Expenses'!B55</f>
        <v>CAPEX-HVAC</v>
      </c>
      <c r="C330" s="108"/>
      <c r="D330" s="431">
        <f t="shared" si="53"/>
        <v>0</v>
      </c>
      <c r="E330" s="108"/>
      <c r="F330" s="446">
        <f>'Non-Operating Expenses'!C55</f>
        <v>0</v>
      </c>
      <c r="G330" s="446">
        <f>'Non-Operating Expenses'!D55</f>
        <v>0</v>
      </c>
      <c r="H330" s="446">
        <f>'Non-Operating Expenses'!E55</f>
        <v>0</v>
      </c>
      <c r="I330" s="446">
        <f>'Non-Operating Expenses'!F55</f>
        <v>0</v>
      </c>
      <c r="J330" s="446">
        <f>'Non-Operating Expenses'!G55</f>
        <v>0</v>
      </c>
      <c r="K330" s="446">
        <f>'Non-Operating Expenses'!H55</f>
        <v>0</v>
      </c>
      <c r="L330" s="446">
        <f>'Non-Operating Expenses'!I55</f>
        <v>0</v>
      </c>
      <c r="M330" s="446">
        <f>'Non-Operating Expenses'!J55</f>
        <v>0</v>
      </c>
      <c r="N330" s="446">
        <f>'Non-Operating Expenses'!K55</f>
        <v>0</v>
      </c>
      <c r="O330" s="446">
        <f>'Non-Operating Expenses'!L55</f>
        <v>0</v>
      </c>
      <c r="P330" s="446">
        <f>'Non-Operating Expenses'!M55</f>
        <v>0</v>
      </c>
      <c r="Q330" s="446">
        <f>'Non-Operating Expenses'!N55</f>
        <v>0</v>
      </c>
      <c r="R330" s="431">
        <f t="shared" si="54"/>
        <v>0</v>
      </c>
      <c r="T330" s="448" t="str">
        <f>+IF('Non-Operating Expenses'!Q55="","",'Non-Operating Expenses'!Q55)</f>
        <v/>
      </c>
    </row>
    <row r="331" spans="1:20" ht="14" outlineLevel="1">
      <c r="A331" s="319">
        <f>INDEX(QS_Chart_Of_Accounts_Upload!$C:$O,MATCH(B331,QS_Chart_Of_Accounts_Upload!$E:$E,0),MATCH("ACCT_NO",QS_Chart_Of_Accounts_Upload!$C$1:$O$1,0))</f>
        <v>9126</v>
      </c>
      <c r="B331" s="108" t="str">
        <f>'Non-Operating Expenses'!B56</f>
        <v>CAPEX-Water Heaters</v>
      </c>
      <c r="C331" s="108"/>
      <c r="D331" s="431">
        <f t="shared" si="53"/>
        <v>0</v>
      </c>
      <c r="E331" s="108"/>
      <c r="F331" s="446">
        <f>'Non-Operating Expenses'!C56</f>
        <v>0</v>
      </c>
      <c r="G331" s="446">
        <f>'Non-Operating Expenses'!D56</f>
        <v>0</v>
      </c>
      <c r="H331" s="446">
        <f>'Non-Operating Expenses'!E56</f>
        <v>0</v>
      </c>
      <c r="I331" s="446">
        <f>'Non-Operating Expenses'!F56</f>
        <v>0</v>
      </c>
      <c r="J331" s="446">
        <f>'Non-Operating Expenses'!G56</f>
        <v>0</v>
      </c>
      <c r="K331" s="446">
        <f>'Non-Operating Expenses'!H56</f>
        <v>0</v>
      </c>
      <c r="L331" s="446">
        <f>'Non-Operating Expenses'!I56</f>
        <v>0</v>
      </c>
      <c r="M331" s="446">
        <f>'Non-Operating Expenses'!J56</f>
        <v>0</v>
      </c>
      <c r="N331" s="446">
        <f>'Non-Operating Expenses'!K56</f>
        <v>0</v>
      </c>
      <c r="O331" s="446">
        <f>'Non-Operating Expenses'!L56</f>
        <v>0</v>
      </c>
      <c r="P331" s="446">
        <f>'Non-Operating Expenses'!M56</f>
        <v>0</v>
      </c>
      <c r="Q331" s="446">
        <f>'Non-Operating Expenses'!N56</f>
        <v>0</v>
      </c>
      <c r="R331" s="431">
        <f t="shared" si="54"/>
        <v>0</v>
      </c>
      <c r="T331" s="448" t="str">
        <f>+IF('Non-Operating Expenses'!Q56="","",'Non-Operating Expenses'!Q56)</f>
        <v/>
      </c>
    </row>
    <row r="332" spans="1:20" ht="14" outlineLevel="1">
      <c r="A332" s="319">
        <f>INDEX(QS_Chart_Of_Accounts_Upload!$C:$O,MATCH(B332,QS_Chart_Of_Accounts_Upload!$E:$E,0),MATCH("ACCT_NO",QS_Chart_Of_Accounts_Upload!$C$1:$O$1,0))</f>
        <v>9127</v>
      </c>
      <c r="B332" s="108" t="str">
        <f>'Non-Operating Expenses'!B57</f>
        <v>CAPEX-Interior Improvements</v>
      </c>
      <c r="C332" s="108"/>
      <c r="D332" s="431">
        <f t="shared" si="53"/>
        <v>0</v>
      </c>
      <c r="E332" s="108"/>
      <c r="F332" s="446">
        <f>'Non-Operating Expenses'!C57</f>
        <v>0</v>
      </c>
      <c r="G332" s="446">
        <f>'Non-Operating Expenses'!D57</f>
        <v>0</v>
      </c>
      <c r="H332" s="446">
        <f>'Non-Operating Expenses'!E57</f>
        <v>0</v>
      </c>
      <c r="I332" s="446">
        <f>'Non-Operating Expenses'!F57</f>
        <v>0</v>
      </c>
      <c r="J332" s="446">
        <f>'Non-Operating Expenses'!G57</f>
        <v>0</v>
      </c>
      <c r="K332" s="446">
        <f>'Non-Operating Expenses'!H57</f>
        <v>0</v>
      </c>
      <c r="L332" s="446">
        <f>'Non-Operating Expenses'!I57</f>
        <v>0</v>
      </c>
      <c r="M332" s="446">
        <f>'Non-Operating Expenses'!J57</f>
        <v>0</v>
      </c>
      <c r="N332" s="446">
        <f>'Non-Operating Expenses'!K57</f>
        <v>0</v>
      </c>
      <c r="O332" s="446">
        <f>'Non-Operating Expenses'!L57</f>
        <v>0</v>
      </c>
      <c r="P332" s="446">
        <f>'Non-Operating Expenses'!M57</f>
        <v>0</v>
      </c>
      <c r="Q332" s="446">
        <f>'Non-Operating Expenses'!N57</f>
        <v>0</v>
      </c>
      <c r="R332" s="431">
        <f t="shared" si="54"/>
        <v>0</v>
      </c>
      <c r="T332" s="448" t="str">
        <f>+IF('Non-Operating Expenses'!Q57="","",'Non-Operating Expenses'!Q57)</f>
        <v/>
      </c>
    </row>
    <row r="333" spans="1:20" ht="14" outlineLevel="1">
      <c r="A333" s="319">
        <f>INDEX(QS_Chart_Of_Accounts_Upload!$C:$O,MATCH(B333,QS_Chart_Of_Accounts_Upload!$E:$E,0),MATCH("ACCT_NO",QS_Chart_Of_Accounts_Upload!$C$1:$O$1,0))</f>
        <v>9128</v>
      </c>
      <c r="B333" s="108" t="str">
        <f>'Non-Operating Expenses'!B58</f>
        <v>CAPEX-Site Improvements</v>
      </c>
      <c r="C333" s="108"/>
      <c r="D333" s="431">
        <f t="shared" si="53"/>
        <v>0</v>
      </c>
      <c r="E333" s="108"/>
      <c r="F333" s="446">
        <f>'Non-Operating Expenses'!C58</f>
        <v>0</v>
      </c>
      <c r="G333" s="446">
        <f>'Non-Operating Expenses'!D58</f>
        <v>0</v>
      </c>
      <c r="H333" s="446">
        <f>'Non-Operating Expenses'!E58</f>
        <v>0</v>
      </c>
      <c r="I333" s="446">
        <f>'Non-Operating Expenses'!F58</f>
        <v>0</v>
      </c>
      <c r="J333" s="446">
        <f>'Non-Operating Expenses'!G58</f>
        <v>0</v>
      </c>
      <c r="K333" s="446">
        <f>'Non-Operating Expenses'!H58</f>
        <v>0</v>
      </c>
      <c r="L333" s="446">
        <f>'Non-Operating Expenses'!I58</f>
        <v>0</v>
      </c>
      <c r="M333" s="446">
        <f>'Non-Operating Expenses'!J58</f>
        <v>0</v>
      </c>
      <c r="N333" s="446">
        <f>'Non-Operating Expenses'!K58</f>
        <v>0</v>
      </c>
      <c r="O333" s="446">
        <f>'Non-Operating Expenses'!L58</f>
        <v>0</v>
      </c>
      <c r="P333" s="446">
        <f>'Non-Operating Expenses'!M58</f>
        <v>0</v>
      </c>
      <c r="Q333" s="446">
        <f>'Non-Operating Expenses'!N58</f>
        <v>0</v>
      </c>
      <c r="R333" s="431">
        <f t="shared" si="54"/>
        <v>0</v>
      </c>
      <c r="T333" s="448" t="str">
        <f>+IF('Non-Operating Expenses'!Q58="","",'Non-Operating Expenses'!Q58)</f>
        <v/>
      </c>
    </row>
    <row r="334" spans="1:20" ht="14" outlineLevel="1">
      <c r="A334" s="319">
        <f>INDEX(QS_Chart_Of_Accounts_Upload!$C:$O,MATCH(B334,QS_Chart_Of_Accounts_Upload!$E:$E,0),MATCH("ACCT_NO",QS_Chart_Of_Accounts_Upload!$C$1:$O$1,0))</f>
        <v>9129</v>
      </c>
      <c r="B334" s="108" t="str">
        <f>'Non-Operating Expenses'!B59</f>
        <v>CAPEX-Signage</v>
      </c>
      <c r="C334" s="108"/>
      <c r="D334" s="431">
        <f t="shared" si="53"/>
        <v>0</v>
      </c>
      <c r="E334" s="108"/>
      <c r="F334" s="446">
        <f>'Non-Operating Expenses'!C59</f>
        <v>0</v>
      </c>
      <c r="G334" s="446">
        <f>'Non-Operating Expenses'!D59</f>
        <v>0</v>
      </c>
      <c r="H334" s="446">
        <f>'Non-Operating Expenses'!E59</f>
        <v>0</v>
      </c>
      <c r="I334" s="446">
        <f>'Non-Operating Expenses'!F59</f>
        <v>0</v>
      </c>
      <c r="J334" s="446">
        <f>'Non-Operating Expenses'!G59</f>
        <v>0</v>
      </c>
      <c r="K334" s="446">
        <f>'Non-Operating Expenses'!H59</f>
        <v>0</v>
      </c>
      <c r="L334" s="446">
        <f>'Non-Operating Expenses'!I59</f>
        <v>0</v>
      </c>
      <c r="M334" s="446">
        <f>'Non-Operating Expenses'!J59</f>
        <v>0</v>
      </c>
      <c r="N334" s="446">
        <f>'Non-Operating Expenses'!K59</f>
        <v>0</v>
      </c>
      <c r="O334" s="446">
        <f>'Non-Operating Expenses'!L59</f>
        <v>0</v>
      </c>
      <c r="P334" s="446">
        <f>'Non-Operating Expenses'!M59</f>
        <v>0</v>
      </c>
      <c r="Q334" s="446">
        <f>'Non-Operating Expenses'!N59</f>
        <v>0</v>
      </c>
      <c r="R334" s="431">
        <f t="shared" si="54"/>
        <v>0</v>
      </c>
      <c r="T334" s="448" t="str">
        <f>+IF('Non-Operating Expenses'!Q59="","",'Non-Operating Expenses'!Q59)</f>
        <v/>
      </c>
    </row>
    <row r="335" spans="1:20" ht="14" outlineLevel="1">
      <c r="A335" s="319">
        <f>INDEX(QS_Chart_Of_Accounts_Upload!$C:$O,MATCH(B335,QS_Chart_Of_Accounts_Upload!$E:$E,0),MATCH("ACCT_NO",QS_Chart_Of_Accounts_Upload!$C$1:$O$1,0))</f>
        <v>9130</v>
      </c>
      <c r="B335" s="108" t="str">
        <f>'Non-Operating Expenses'!B60</f>
        <v>CAPEX-Landscaping</v>
      </c>
      <c r="C335" s="108"/>
      <c r="D335" s="431">
        <f t="shared" si="53"/>
        <v>0</v>
      </c>
      <c r="E335" s="108"/>
      <c r="F335" s="446">
        <f>'Non-Operating Expenses'!C60</f>
        <v>0</v>
      </c>
      <c r="G335" s="446">
        <f>'Non-Operating Expenses'!D60</f>
        <v>0</v>
      </c>
      <c r="H335" s="446">
        <f>'Non-Operating Expenses'!E60</f>
        <v>0</v>
      </c>
      <c r="I335" s="446">
        <f>'Non-Operating Expenses'!F60</f>
        <v>0</v>
      </c>
      <c r="J335" s="446">
        <f>'Non-Operating Expenses'!G60</f>
        <v>0</v>
      </c>
      <c r="K335" s="446">
        <f>'Non-Operating Expenses'!H60</f>
        <v>0</v>
      </c>
      <c r="L335" s="446">
        <f>'Non-Operating Expenses'!I60</f>
        <v>0</v>
      </c>
      <c r="M335" s="446">
        <f>'Non-Operating Expenses'!J60</f>
        <v>0</v>
      </c>
      <c r="N335" s="446">
        <f>'Non-Operating Expenses'!K60</f>
        <v>0</v>
      </c>
      <c r="O335" s="446">
        <f>'Non-Operating Expenses'!L60</f>
        <v>0</v>
      </c>
      <c r="P335" s="446">
        <f>'Non-Operating Expenses'!M60</f>
        <v>0</v>
      </c>
      <c r="Q335" s="446">
        <f>'Non-Operating Expenses'!N60</f>
        <v>0</v>
      </c>
      <c r="R335" s="431">
        <f t="shared" si="54"/>
        <v>0</v>
      </c>
      <c r="T335" s="448" t="str">
        <f>+IF('Non-Operating Expenses'!Q60="","",'Non-Operating Expenses'!Q60)</f>
        <v/>
      </c>
    </row>
    <row r="336" spans="1:20" ht="14" outlineLevel="1">
      <c r="A336" s="319">
        <f>INDEX(QS_Chart_Of_Accounts_Upload!$C:$O,MATCH(B336,QS_Chart_Of_Accounts_Upload!$E:$E,0),MATCH("ACCT_NO",QS_Chart_Of_Accounts_Upload!$C$1:$O$1,0))</f>
        <v>9131</v>
      </c>
      <c r="B336" s="108" t="str">
        <f>'Non-Operating Expenses'!B61</f>
        <v>CAPEX-Storm Damage</v>
      </c>
      <c r="C336" s="108"/>
      <c r="D336" s="431">
        <f t="shared" si="53"/>
        <v>0</v>
      </c>
      <c r="E336" s="108"/>
      <c r="F336" s="446">
        <f>'Non-Operating Expenses'!C61</f>
        <v>0</v>
      </c>
      <c r="G336" s="446">
        <f>'Non-Operating Expenses'!D61</f>
        <v>0</v>
      </c>
      <c r="H336" s="446">
        <f>'Non-Operating Expenses'!E61</f>
        <v>0</v>
      </c>
      <c r="I336" s="446">
        <f>'Non-Operating Expenses'!F61</f>
        <v>0</v>
      </c>
      <c r="J336" s="446">
        <f>'Non-Operating Expenses'!G61</f>
        <v>0</v>
      </c>
      <c r="K336" s="446">
        <f>'Non-Operating Expenses'!H61</f>
        <v>0</v>
      </c>
      <c r="L336" s="446">
        <f>'Non-Operating Expenses'!I61</f>
        <v>0</v>
      </c>
      <c r="M336" s="446">
        <f>'Non-Operating Expenses'!J61</f>
        <v>0</v>
      </c>
      <c r="N336" s="446">
        <f>'Non-Operating Expenses'!K61</f>
        <v>0</v>
      </c>
      <c r="O336" s="446">
        <f>'Non-Operating Expenses'!L61</f>
        <v>0</v>
      </c>
      <c r="P336" s="446">
        <f>'Non-Operating Expenses'!M61</f>
        <v>0</v>
      </c>
      <c r="Q336" s="446">
        <f>'Non-Operating Expenses'!N61</f>
        <v>0</v>
      </c>
      <c r="R336" s="431">
        <f t="shared" si="54"/>
        <v>0</v>
      </c>
      <c r="T336" s="448" t="str">
        <f>+IF('Non-Operating Expenses'!Q61="","",'Non-Operating Expenses'!Q61)</f>
        <v/>
      </c>
    </row>
    <row r="337" spans="1:20" ht="14" outlineLevel="1">
      <c r="A337" s="319">
        <f>INDEX(QS_Chart_Of_Accounts_Upload!$C:$O,MATCH(B337,QS_Chart_Of_Accounts_Upload!$E:$E,0),MATCH("ACCT_NO",QS_Chart_Of_Accounts_Upload!$C$1:$O$1,0))</f>
        <v>9135</v>
      </c>
      <c r="B337" s="108" t="str">
        <f>'Non-Operating Expenses'!B62</f>
        <v>CAPEX-Lighting</v>
      </c>
      <c r="C337" s="108"/>
      <c r="D337" s="431">
        <f t="shared" si="53"/>
        <v>0</v>
      </c>
      <c r="E337" s="108"/>
      <c r="F337" s="446">
        <f>'Non-Operating Expenses'!C62</f>
        <v>0</v>
      </c>
      <c r="G337" s="446">
        <f>'Non-Operating Expenses'!D62</f>
        <v>0</v>
      </c>
      <c r="H337" s="446">
        <f>'Non-Operating Expenses'!E62</f>
        <v>0</v>
      </c>
      <c r="I337" s="446">
        <f>'Non-Operating Expenses'!F62</f>
        <v>0</v>
      </c>
      <c r="J337" s="446">
        <f>'Non-Operating Expenses'!G62</f>
        <v>0</v>
      </c>
      <c r="K337" s="446">
        <f>'Non-Operating Expenses'!H62</f>
        <v>0</v>
      </c>
      <c r="L337" s="446">
        <f>'Non-Operating Expenses'!I62</f>
        <v>0</v>
      </c>
      <c r="M337" s="446">
        <f>'Non-Operating Expenses'!J62</f>
        <v>0</v>
      </c>
      <c r="N337" s="446">
        <f>'Non-Operating Expenses'!K62</f>
        <v>0</v>
      </c>
      <c r="O337" s="446">
        <f>'Non-Operating Expenses'!L62</f>
        <v>0</v>
      </c>
      <c r="P337" s="446">
        <f>'Non-Operating Expenses'!M62</f>
        <v>0</v>
      </c>
      <c r="Q337" s="446">
        <f>'Non-Operating Expenses'!N62</f>
        <v>0</v>
      </c>
      <c r="R337" s="431">
        <f t="shared" si="54"/>
        <v>0</v>
      </c>
      <c r="T337" s="448" t="str">
        <f>+IF('Non-Operating Expenses'!Q62="","",'Non-Operating Expenses'!Q62)</f>
        <v/>
      </c>
    </row>
    <row r="338" spans="1:20" ht="14" outlineLevel="1">
      <c r="A338" s="319">
        <f>INDEX(QS_Chart_Of_Accounts_Upload!$C:$O,MATCH(B338,QS_Chart_Of_Accounts_Upload!$E:$E,0),MATCH("ACCT_NO",QS_Chart_Of_Accounts_Upload!$C$1:$O$1,0))</f>
        <v>9136</v>
      </c>
      <c r="B338" s="108" t="str">
        <f>'Non-Operating Expenses'!B63</f>
        <v>CAPEX-Marketing</v>
      </c>
      <c r="C338" s="108"/>
      <c r="D338" s="431">
        <f t="shared" si="53"/>
        <v>0</v>
      </c>
      <c r="E338" s="108"/>
      <c r="F338" s="446">
        <f>'Non-Operating Expenses'!C63</f>
        <v>0</v>
      </c>
      <c r="G338" s="446">
        <f>'Non-Operating Expenses'!D63</f>
        <v>0</v>
      </c>
      <c r="H338" s="446">
        <f>'Non-Operating Expenses'!E63</f>
        <v>0</v>
      </c>
      <c r="I338" s="446">
        <f>'Non-Operating Expenses'!F63</f>
        <v>0</v>
      </c>
      <c r="J338" s="446">
        <f>'Non-Operating Expenses'!G63</f>
        <v>0</v>
      </c>
      <c r="K338" s="446">
        <f>'Non-Operating Expenses'!H63</f>
        <v>0</v>
      </c>
      <c r="L338" s="446">
        <f>'Non-Operating Expenses'!I63</f>
        <v>0</v>
      </c>
      <c r="M338" s="446">
        <f>'Non-Operating Expenses'!J63</f>
        <v>0</v>
      </c>
      <c r="N338" s="446">
        <f>'Non-Operating Expenses'!K63</f>
        <v>0</v>
      </c>
      <c r="O338" s="446">
        <f>'Non-Operating Expenses'!L63</f>
        <v>0</v>
      </c>
      <c r="P338" s="446">
        <f>'Non-Operating Expenses'!M63</f>
        <v>0</v>
      </c>
      <c r="Q338" s="446">
        <f>'Non-Operating Expenses'!N63</f>
        <v>0</v>
      </c>
      <c r="R338" s="431">
        <f t="shared" si="54"/>
        <v>0</v>
      </c>
      <c r="T338" s="448" t="str">
        <f>+IF('Non-Operating Expenses'!Q63="","",'Non-Operating Expenses'!Q63)</f>
        <v/>
      </c>
    </row>
    <row r="339" spans="1:20" ht="14" outlineLevel="1">
      <c r="A339" s="319">
        <f>INDEX(QS_Chart_Of_Accounts_Upload!$C:$O,MATCH(B339,QS_Chart_Of_Accounts_Upload!$E:$E,0),MATCH("ACCT_NO",QS_Chart_Of_Accounts_Upload!$C$1:$O$1,0))</f>
        <v>9137</v>
      </c>
      <c r="B339" s="108" t="str">
        <f>'Non-Operating Expenses'!B64</f>
        <v>CAPEX-Mini-Blinds/Drapes</v>
      </c>
      <c r="C339" s="108"/>
      <c r="D339" s="431">
        <f t="shared" si="53"/>
        <v>0</v>
      </c>
      <c r="E339" s="108"/>
      <c r="F339" s="446">
        <f>'Non-Operating Expenses'!C64</f>
        <v>0</v>
      </c>
      <c r="G339" s="446">
        <f>'Non-Operating Expenses'!D64</f>
        <v>0</v>
      </c>
      <c r="H339" s="446">
        <f>'Non-Operating Expenses'!E64</f>
        <v>0</v>
      </c>
      <c r="I339" s="446">
        <f>'Non-Operating Expenses'!F64</f>
        <v>0</v>
      </c>
      <c r="J339" s="446">
        <f>'Non-Operating Expenses'!G64</f>
        <v>0</v>
      </c>
      <c r="K339" s="446">
        <f>'Non-Operating Expenses'!H64</f>
        <v>0</v>
      </c>
      <c r="L339" s="446">
        <f>'Non-Operating Expenses'!I64</f>
        <v>0</v>
      </c>
      <c r="M339" s="446">
        <f>'Non-Operating Expenses'!J64</f>
        <v>0</v>
      </c>
      <c r="N339" s="446">
        <f>'Non-Operating Expenses'!K64</f>
        <v>0</v>
      </c>
      <c r="O339" s="446">
        <f>'Non-Operating Expenses'!L64</f>
        <v>0</v>
      </c>
      <c r="P339" s="446">
        <f>'Non-Operating Expenses'!M64</f>
        <v>0</v>
      </c>
      <c r="Q339" s="446">
        <f>'Non-Operating Expenses'!N64</f>
        <v>0</v>
      </c>
      <c r="R339" s="431">
        <f t="shared" si="54"/>
        <v>0</v>
      </c>
      <c r="T339" s="448" t="str">
        <f>+IF('Non-Operating Expenses'!Q64="","",'Non-Operating Expenses'!Q64)</f>
        <v/>
      </c>
    </row>
    <row r="340" spans="1:20" ht="14" outlineLevel="1">
      <c r="A340" s="319">
        <f>INDEX(QS_Chart_Of_Accounts_Upload!$C:$O,MATCH(B340,QS_Chart_Of_Accounts_Upload!$E:$E,0),MATCH("ACCT_NO",QS_Chart_Of_Accounts_Upload!$C$1:$O$1,0))</f>
        <v>9140</v>
      </c>
      <c r="B340" s="108" t="str">
        <f>'Non-Operating Expenses'!B65</f>
        <v>CAPEX-Other</v>
      </c>
      <c r="C340" s="108"/>
      <c r="D340" s="431">
        <f t="shared" si="53"/>
        <v>0</v>
      </c>
      <c r="E340" s="108"/>
      <c r="F340" s="446">
        <f>'Non-Operating Expenses'!C65</f>
        <v>0</v>
      </c>
      <c r="G340" s="446">
        <f>'Non-Operating Expenses'!D65</f>
        <v>0</v>
      </c>
      <c r="H340" s="446">
        <f>'Non-Operating Expenses'!E65</f>
        <v>0</v>
      </c>
      <c r="I340" s="446">
        <f>'Non-Operating Expenses'!F65</f>
        <v>0</v>
      </c>
      <c r="J340" s="446">
        <f>'Non-Operating Expenses'!G65</f>
        <v>0</v>
      </c>
      <c r="K340" s="446">
        <f>'Non-Operating Expenses'!H65</f>
        <v>0</v>
      </c>
      <c r="L340" s="446">
        <f>'Non-Operating Expenses'!I65</f>
        <v>0</v>
      </c>
      <c r="M340" s="446">
        <f>'Non-Operating Expenses'!J65</f>
        <v>0</v>
      </c>
      <c r="N340" s="446">
        <f>'Non-Operating Expenses'!K65</f>
        <v>0</v>
      </c>
      <c r="O340" s="446">
        <f>'Non-Operating Expenses'!L65</f>
        <v>0</v>
      </c>
      <c r="P340" s="446">
        <f>'Non-Operating Expenses'!M65</f>
        <v>0</v>
      </c>
      <c r="Q340" s="446">
        <f>'Non-Operating Expenses'!N65</f>
        <v>0</v>
      </c>
      <c r="R340" s="431">
        <f t="shared" si="54"/>
        <v>0</v>
      </c>
      <c r="T340" s="448" t="str">
        <f>+IF('Non-Operating Expenses'!Q65="","",'Non-Operating Expenses'!Q65)</f>
        <v/>
      </c>
    </row>
    <row r="341" spans="1:20" ht="14" outlineLevel="1">
      <c r="A341" s="319">
        <f>INDEX(QS_Chart_Of_Accounts_Upload!$C:$O,MATCH(B341,QS_Chart_Of_Accounts_Upload!$E:$E,0),MATCH("ACCT_NO",QS_Chart_Of_Accounts_Upload!$C$1:$O$1,0))</f>
        <v>9145</v>
      </c>
      <c r="B341" s="108" t="str">
        <f>'Non-Operating Expenses'!B66</f>
        <v>CAPEX-Painting</v>
      </c>
      <c r="C341" s="108"/>
      <c r="D341" s="431">
        <f t="shared" si="53"/>
        <v>0</v>
      </c>
      <c r="E341" s="108"/>
      <c r="F341" s="446">
        <f>'Non-Operating Expenses'!C66</f>
        <v>0</v>
      </c>
      <c r="G341" s="446">
        <f>'Non-Operating Expenses'!D66</f>
        <v>0</v>
      </c>
      <c r="H341" s="446">
        <f>'Non-Operating Expenses'!E66</f>
        <v>0</v>
      </c>
      <c r="I341" s="446">
        <f>'Non-Operating Expenses'!F66</f>
        <v>0</v>
      </c>
      <c r="J341" s="446">
        <f>'Non-Operating Expenses'!G66</f>
        <v>0</v>
      </c>
      <c r="K341" s="446">
        <f>'Non-Operating Expenses'!H66</f>
        <v>0</v>
      </c>
      <c r="L341" s="446">
        <f>'Non-Operating Expenses'!I66</f>
        <v>0</v>
      </c>
      <c r="M341" s="446">
        <f>'Non-Operating Expenses'!J66</f>
        <v>0</v>
      </c>
      <c r="N341" s="446">
        <f>'Non-Operating Expenses'!K66</f>
        <v>0</v>
      </c>
      <c r="O341" s="446">
        <f>'Non-Operating Expenses'!L66</f>
        <v>0</v>
      </c>
      <c r="P341" s="446">
        <f>'Non-Operating Expenses'!M66</f>
        <v>0</v>
      </c>
      <c r="Q341" s="446">
        <f>'Non-Operating Expenses'!N66</f>
        <v>0</v>
      </c>
      <c r="R341" s="431">
        <f t="shared" si="54"/>
        <v>0</v>
      </c>
      <c r="T341" s="448" t="str">
        <f>+IF('Non-Operating Expenses'!Q66="","",'Non-Operating Expenses'!Q66)</f>
        <v/>
      </c>
    </row>
    <row r="342" spans="1:20" ht="14" outlineLevel="1">
      <c r="A342" s="319">
        <f>INDEX(QS_Chart_Of_Accounts_Upload!$C:$O,MATCH(B342,QS_Chart_Of_Accounts_Upload!$E:$E,0),MATCH("ACCT_NO",QS_Chart_Of_Accounts_Upload!$C$1:$O$1,0))</f>
        <v>9150</v>
      </c>
      <c r="B342" s="108" t="str">
        <f>'Non-Operating Expenses'!B67</f>
        <v>CAPEX-Parking Lot</v>
      </c>
      <c r="C342" s="108"/>
      <c r="D342" s="431">
        <f t="shared" si="53"/>
        <v>0</v>
      </c>
      <c r="E342" s="108"/>
      <c r="F342" s="446">
        <f>'Non-Operating Expenses'!C67</f>
        <v>0</v>
      </c>
      <c r="G342" s="446">
        <f>'Non-Operating Expenses'!D67</f>
        <v>0</v>
      </c>
      <c r="H342" s="446">
        <f>'Non-Operating Expenses'!E67</f>
        <v>0</v>
      </c>
      <c r="I342" s="446">
        <f>'Non-Operating Expenses'!F67</f>
        <v>0</v>
      </c>
      <c r="J342" s="446">
        <f>'Non-Operating Expenses'!G67</f>
        <v>0</v>
      </c>
      <c r="K342" s="446">
        <f>'Non-Operating Expenses'!H67</f>
        <v>0</v>
      </c>
      <c r="L342" s="446">
        <f>'Non-Operating Expenses'!I67</f>
        <v>0</v>
      </c>
      <c r="M342" s="446">
        <f>'Non-Operating Expenses'!J67</f>
        <v>0</v>
      </c>
      <c r="N342" s="446">
        <f>'Non-Operating Expenses'!K67</f>
        <v>0</v>
      </c>
      <c r="O342" s="446">
        <f>'Non-Operating Expenses'!L67</f>
        <v>0</v>
      </c>
      <c r="P342" s="446">
        <f>'Non-Operating Expenses'!M67</f>
        <v>0</v>
      </c>
      <c r="Q342" s="446">
        <f>'Non-Operating Expenses'!N67</f>
        <v>0</v>
      </c>
      <c r="R342" s="431">
        <f t="shared" si="54"/>
        <v>0</v>
      </c>
      <c r="T342" s="448" t="str">
        <f>+IF('Non-Operating Expenses'!Q67="","",'Non-Operating Expenses'!Q67)</f>
        <v/>
      </c>
    </row>
    <row r="343" spans="1:20" ht="14" outlineLevel="1">
      <c r="A343" s="319">
        <f>INDEX(QS_Chart_Of_Accounts_Upload!$C:$O,MATCH(B343,QS_Chart_Of_Accounts_Upload!$E:$E,0),MATCH("ACCT_NO",QS_Chart_Of_Accounts_Upload!$C$1:$O$1,0))</f>
        <v>9155</v>
      </c>
      <c r="B343" s="108" t="str">
        <f>'Non-Operating Expenses'!B68</f>
        <v>CAPEX-Pest Control</v>
      </c>
      <c r="C343" s="108"/>
      <c r="D343" s="431">
        <f t="shared" si="53"/>
        <v>0</v>
      </c>
      <c r="E343" s="108"/>
      <c r="F343" s="446">
        <f>'Non-Operating Expenses'!C68</f>
        <v>0</v>
      </c>
      <c r="G343" s="446">
        <f>'Non-Operating Expenses'!D68</f>
        <v>0</v>
      </c>
      <c r="H343" s="446">
        <f>'Non-Operating Expenses'!E68</f>
        <v>0</v>
      </c>
      <c r="I343" s="446">
        <f>'Non-Operating Expenses'!F68</f>
        <v>0</v>
      </c>
      <c r="J343" s="446">
        <f>'Non-Operating Expenses'!G68</f>
        <v>0</v>
      </c>
      <c r="K343" s="446">
        <f>'Non-Operating Expenses'!H68</f>
        <v>0</v>
      </c>
      <c r="L343" s="446">
        <f>'Non-Operating Expenses'!I68</f>
        <v>0</v>
      </c>
      <c r="M343" s="446">
        <f>'Non-Operating Expenses'!J68</f>
        <v>0</v>
      </c>
      <c r="N343" s="446">
        <f>'Non-Operating Expenses'!K68</f>
        <v>0</v>
      </c>
      <c r="O343" s="446">
        <f>'Non-Operating Expenses'!L68</f>
        <v>0</v>
      </c>
      <c r="P343" s="446">
        <f>'Non-Operating Expenses'!M68</f>
        <v>0</v>
      </c>
      <c r="Q343" s="446">
        <f>'Non-Operating Expenses'!N68</f>
        <v>0</v>
      </c>
      <c r="R343" s="431">
        <f t="shared" si="54"/>
        <v>0</v>
      </c>
      <c r="T343" s="448" t="str">
        <f>+IF('Non-Operating Expenses'!Q68="","",'Non-Operating Expenses'!Q68)</f>
        <v/>
      </c>
    </row>
    <row r="344" spans="1:20" ht="14" outlineLevel="1">
      <c r="A344" s="319">
        <f>INDEX(QS_Chart_Of_Accounts_Upload!$C:$O,MATCH(B344,QS_Chart_Of_Accounts_Upload!$E:$E,0),MATCH("ACCT_NO",QS_Chart_Of_Accounts_Upload!$C$1:$O$1,0))</f>
        <v>9160</v>
      </c>
      <c r="B344" s="108" t="str">
        <f>'Non-Operating Expenses'!B69</f>
        <v>CAPEX-Ranges</v>
      </c>
      <c r="C344" s="108"/>
      <c r="D344" s="431">
        <f t="shared" si="53"/>
        <v>0</v>
      </c>
      <c r="E344" s="108"/>
      <c r="F344" s="446">
        <f>'Non-Operating Expenses'!C69</f>
        <v>0</v>
      </c>
      <c r="G344" s="446">
        <f>'Non-Operating Expenses'!D69</f>
        <v>0</v>
      </c>
      <c r="H344" s="446">
        <f>'Non-Operating Expenses'!E69</f>
        <v>0</v>
      </c>
      <c r="I344" s="446">
        <f>'Non-Operating Expenses'!F69</f>
        <v>0</v>
      </c>
      <c r="J344" s="446">
        <f>'Non-Operating Expenses'!G69</f>
        <v>0</v>
      </c>
      <c r="K344" s="446">
        <f>'Non-Operating Expenses'!H69</f>
        <v>0</v>
      </c>
      <c r="L344" s="446">
        <f>'Non-Operating Expenses'!I69</f>
        <v>0</v>
      </c>
      <c r="M344" s="446">
        <f>'Non-Operating Expenses'!J69</f>
        <v>0</v>
      </c>
      <c r="N344" s="446">
        <f>'Non-Operating Expenses'!K69</f>
        <v>0</v>
      </c>
      <c r="O344" s="446">
        <f>'Non-Operating Expenses'!L69</f>
        <v>0</v>
      </c>
      <c r="P344" s="446">
        <f>'Non-Operating Expenses'!M69</f>
        <v>0</v>
      </c>
      <c r="Q344" s="446">
        <f>'Non-Operating Expenses'!N69</f>
        <v>0</v>
      </c>
      <c r="R344" s="431">
        <f t="shared" si="54"/>
        <v>0</v>
      </c>
      <c r="T344" s="448" t="str">
        <f>+IF('Non-Operating Expenses'!Q69="","",'Non-Operating Expenses'!Q69)</f>
        <v/>
      </c>
    </row>
    <row r="345" spans="1:20" ht="14" outlineLevel="1">
      <c r="A345" s="319">
        <f>INDEX(QS_Chart_Of_Accounts_Upload!$C:$O,MATCH(B345,QS_Chart_Of_Accounts_Upload!$E:$E,0),MATCH("ACCT_NO",QS_Chart_Of_Accounts_Upload!$C$1:$O$1,0))</f>
        <v>9165</v>
      </c>
      <c r="B345" s="108" t="str">
        <f>'Non-Operating Expenses'!B70</f>
        <v>CAPEX-Refrigerators</v>
      </c>
      <c r="C345" s="108"/>
      <c r="D345" s="431">
        <f t="shared" si="53"/>
        <v>0</v>
      </c>
      <c r="E345" s="108"/>
      <c r="F345" s="446">
        <f>'Non-Operating Expenses'!C70</f>
        <v>0</v>
      </c>
      <c r="G345" s="446">
        <f>'Non-Operating Expenses'!D70</f>
        <v>0</v>
      </c>
      <c r="H345" s="446">
        <f>'Non-Operating Expenses'!E70</f>
        <v>0</v>
      </c>
      <c r="I345" s="446">
        <f>'Non-Operating Expenses'!F70</f>
        <v>0</v>
      </c>
      <c r="J345" s="446">
        <f>'Non-Operating Expenses'!G70</f>
        <v>0</v>
      </c>
      <c r="K345" s="446">
        <f>'Non-Operating Expenses'!H70</f>
        <v>0</v>
      </c>
      <c r="L345" s="446">
        <f>'Non-Operating Expenses'!I70</f>
        <v>0</v>
      </c>
      <c r="M345" s="446">
        <f>'Non-Operating Expenses'!J70</f>
        <v>0</v>
      </c>
      <c r="N345" s="446">
        <f>'Non-Operating Expenses'!K70</f>
        <v>0</v>
      </c>
      <c r="O345" s="446">
        <f>'Non-Operating Expenses'!L70</f>
        <v>0</v>
      </c>
      <c r="P345" s="446">
        <f>'Non-Operating Expenses'!M70</f>
        <v>0</v>
      </c>
      <c r="Q345" s="446">
        <f>'Non-Operating Expenses'!N70</f>
        <v>0</v>
      </c>
      <c r="R345" s="431">
        <f t="shared" si="54"/>
        <v>0</v>
      </c>
      <c r="T345" s="448" t="str">
        <f>+IF('Non-Operating Expenses'!Q70="","",'Non-Operating Expenses'!Q70)</f>
        <v/>
      </c>
    </row>
    <row r="346" spans="1:20" ht="14" outlineLevel="1">
      <c r="A346" s="319">
        <f>INDEX(QS_Chart_Of_Accounts_Upload!$C:$O,MATCH(B346,QS_Chart_Of_Accounts_Upload!$E:$E,0),MATCH("ACCT_NO",QS_Chart_Of_Accounts_Upload!$C$1:$O$1,0))</f>
        <v>9166</v>
      </c>
      <c r="B346" s="108" t="str">
        <f>'Non-Operating Expenses'!B71</f>
        <v>CAPEX-Roof Repairs-Major</v>
      </c>
      <c r="C346" s="108"/>
      <c r="D346" s="431">
        <f t="shared" si="53"/>
        <v>0</v>
      </c>
      <c r="E346" s="108"/>
      <c r="F346" s="446">
        <f>'Non-Operating Expenses'!C71</f>
        <v>0</v>
      </c>
      <c r="G346" s="446">
        <f>'Non-Operating Expenses'!D71</f>
        <v>0</v>
      </c>
      <c r="H346" s="446">
        <f>'Non-Operating Expenses'!E71</f>
        <v>0</v>
      </c>
      <c r="I346" s="446">
        <f>'Non-Operating Expenses'!F71</f>
        <v>0</v>
      </c>
      <c r="J346" s="446">
        <f>'Non-Operating Expenses'!G71</f>
        <v>0</v>
      </c>
      <c r="K346" s="446">
        <f>'Non-Operating Expenses'!H71</f>
        <v>0</v>
      </c>
      <c r="L346" s="446">
        <f>'Non-Operating Expenses'!I71</f>
        <v>0</v>
      </c>
      <c r="M346" s="446">
        <f>'Non-Operating Expenses'!J71</f>
        <v>0</v>
      </c>
      <c r="N346" s="446">
        <f>'Non-Operating Expenses'!K71</f>
        <v>0</v>
      </c>
      <c r="O346" s="446">
        <f>'Non-Operating Expenses'!L71</f>
        <v>0</v>
      </c>
      <c r="P346" s="446">
        <f>'Non-Operating Expenses'!M71</f>
        <v>0</v>
      </c>
      <c r="Q346" s="446">
        <f>'Non-Operating Expenses'!N71</f>
        <v>0</v>
      </c>
      <c r="R346" s="431">
        <f t="shared" si="54"/>
        <v>0</v>
      </c>
      <c r="T346" s="448" t="str">
        <f>+IF('Non-Operating Expenses'!Q71="","",'Non-Operating Expenses'!Q71)</f>
        <v/>
      </c>
    </row>
    <row r="347" spans="1:20" ht="50.25" customHeight="1" outlineLevel="1">
      <c r="A347" s="319">
        <f>INDEX(QS_Chart_Of_Accounts_Upload!$C:$O,MATCH(B347,QS_Chart_Of_Accounts_Upload!$E:$E,0),MATCH("ACCT_NO",QS_Chart_Of_Accounts_Upload!$C$1:$O$1,0))</f>
        <v>9167</v>
      </c>
      <c r="B347" s="108" t="str">
        <f>'Non-Operating Expenses'!B72</f>
        <v>CAPEX-Startup Costs</v>
      </c>
      <c r="C347" s="108"/>
      <c r="D347" s="431">
        <f t="shared" si="53"/>
        <v>0</v>
      </c>
      <c r="E347" s="108"/>
      <c r="F347" s="446">
        <f>'Non-Operating Expenses'!C72</f>
        <v>0</v>
      </c>
      <c r="G347" s="446">
        <f>'Non-Operating Expenses'!D72</f>
        <v>0</v>
      </c>
      <c r="H347" s="446">
        <f>'Non-Operating Expenses'!E72</f>
        <v>0</v>
      </c>
      <c r="I347" s="446">
        <f>'Non-Operating Expenses'!F72</f>
        <v>0</v>
      </c>
      <c r="J347" s="446">
        <f>'Non-Operating Expenses'!G72</f>
        <v>0</v>
      </c>
      <c r="K347" s="446">
        <f>'Non-Operating Expenses'!H72</f>
        <v>0</v>
      </c>
      <c r="L347" s="446">
        <f>'Non-Operating Expenses'!I72</f>
        <v>0</v>
      </c>
      <c r="M347" s="446">
        <f>'Non-Operating Expenses'!J72</f>
        <v>0</v>
      </c>
      <c r="N347" s="446">
        <f>'Non-Operating Expenses'!K72</f>
        <v>0</v>
      </c>
      <c r="O347" s="446">
        <f>'Non-Operating Expenses'!L72</f>
        <v>0</v>
      </c>
      <c r="P347" s="446">
        <f>'Non-Operating Expenses'!M72</f>
        <v>0</v>
      </c>
      <c r="Q347" s="446">
        <f>'Non-Operating Expenses'!N72</f>
        <v>0</v>
      </c>
      <c r="R347" s="431">
        <f t="shared" si="54"/>
        <v>0</v>
      </c>
      <c r="T347" s="448" t="str">
        <f>+IF('Non-Operating Expenses'!Q72="","",'Non-Operating Expenses'!Q72)</f>
        <v/>
      </c>
    </row>
    <row r="348" spans="1:20" ht="45" customHeight="1" outlineLevel="1">
      <c r="A348" s="319">
        <f>INDEX(QS_Chart_Of_Accounts_Upload!$C:$O,MATCH(B348,QS_Chart_Of_Accounts_Upload!$E:$E,0),MATCH("ACCT_NO",QS_Chart_Of_Accounts_Upload!$C$1:$O$1,0))</f>
        <v>9167.1</v>
      </c>
      <c r="B348" s="108" t="str">
        <f>'Non-Operating Expenses'!B73</f>
        <v xml:space="preserve">CAPEX-Startup Costs - Marketing </v>
      </c>
      <c r="C348" s="108"/>
      <c r="D348" s="431">
        <f t="shared" si="53"/>
        <v>0</v>
      </c>
      <c r="E348" s="108"/>
      <c r="F348" s="446">
        <f>'Non-Operating Expenses'!C73</f>
        <v>0</v>
      </c>
      <c r="G348" s="446">
        <f>'Non-Operating Expenses'!D73</f>
        <v>0</v>
      </c>
      <c r="H348" s="446">
        <f>'Non-Operating Expenses'!E73</f>
        <v>0</v>
      </c>
      <c r="I348" s="446">
        <f>'Non-Operating Expenses'!F73</f>
        <v>0</v>
      </c>
      <c r="J348" s="446">
        <f>'Non-Operating Expenses'!G73</f>
        <v>0</v>
      </c>
      <c r="K348" s="446">
        <f>'Non-Operating Expenses'!H73</f>
        <v>0</v>
      </c>
      <c r="L348" s="446">
        <f>'Non-Operating Expenses'!I73</f>
        <v>0</v>
      </c>
      <c r="M348" s="446">
        <f>'Non-Operating Expenses'!J73</f>
        <v>0</v>
      </c>
      <c r="N348" s="446">
        <f>'Non-Operating Expenses'!K73</f>
        <v>0</v>
      </c>
      <c r="O348" s="446">
        <f>'Non-Operating Expenses'!L73</f>
        <v>0</v>
      </c>
      <c r="P348" s="446">
        <f>'Non-Operating Expenses'!M73</f>
        <v>0</v>
      </c>
      <c r="Q348" s="446">
        <f>'Non-Operating Expenses'!N73</f>
        <v>0</v>
      </c>
      <c r="R348" s="431">
        <f t="shared" si="54"/>
        <v>0</v>
      </c>
      <c r="T348" s="448" t="str">
        <f>+IF('Non-Operating Expenses'!Q73="","",'Non-Operating Expenses'!Q73)</f>
        <v/>
      </c>
    </row>
    <row r="349" spans="1:20" ht="14" outlineLevel="1">
      <c r="A349" s="319">
        <f>INDEX(QS_Chart_Of_Accounts_Upload!$C:$O,MATCH(B349,QS_Chart_Of_Accounts_Upload!$E:$E,0),MATCH("ACCT_NO",QS_Chart_Of_Accounts_Upload!$C$1:$O$1,0))</f>
        <v>9167.2000000000007</v>
      </c>
      <c r="B349" s="108" t="str">
        <f>'Non-Operating Expenses'!B74</f>
        <v>CAPEX-Startup Costs - Preleasing</v>
      </c>
      <c r="C349" s="108"/>
      <c r="D349" s="431">
        <f t="shared" si="53"/>
        <v>0</v>
      </c>
      <c r="E349" s="108"/>
      <c r="F349" s="442">
        <f>'Non-Operating Expenses'!C74</f>
        <v>0</v>
      </c>
      <c r="G349" s="442">
        <f>'Non-Operating Expenses'!D74</f>
        <v>0</v>
      </c>
      <c r="H349" s="442">
        <f>'Non-Operating Expenses'!E74</f>
        <v>0</v>
      </c>
      <c r="I349" s="442">
        <f>'Non-Operating Expenses'!F74</f>
        <v>0</v>
      </c>
      <c r="J349" s="442">
        <f>'Non-Operating Expenses'!G74</f>
        <v>0</v>
      </c>
      <c r="K349" s="442">
        <f>'Non-Operating Expenses'!H74</f>
        <v>0</v>
      </c>
      <c r="L349" s="442">
        <f>'Non-Operating Expenses'!I74</f>
        <v>0</v>
      </c>
      <c r="M349" s="442">
        <f>'Non-Operating Expenses'!J74</f>
        <v>0</v>
      </c>
      <c r="N349" s="442">
        <f>'Non-Operating Expenses'!K74</f>
        <v>0</v>
      </c>
      <c r="O349" s="442">
        <f>'Non-Operating Expenses'!L74</f>
        <v>0</v>
      </c>
      <c r="P349" s="442">
        <f>'Non-Operating Expenses'!M74</f>
        <v>0</v>
      </c>
      <c r="Q349" s="442">
        <f>'Non-Operating Expenses'!N74</f>
        <v>0</v>
      </c>
      <c r="R349" s="431">
        <f t="shared" si="54"/>
        <v>0</v>
      </c>
      <c r="S349" s="484"/>
      <c r="T349" s="448" t="str">
        <f>+IF('Non-Operating Expenses'!Q74="","",'Non-Operating Expenses'!Q74)</f>
        <v/>
      </c>
    </row>
    <row r="350" spans="1:20" ht="14" outlineLevel="1">
      <c r="A350" s="319">
        <f>INDEX(QS_Chart_Of_Accounts_Upload!$C:$O,MATCH(B350,QS_Chart_Of_Accounts_Upload!$E:$E,0),MATCH("ACCT_NO",QS_Chart_Of_Accounts_Upload!$C$1:$O$1,0))</f>
        <v>9167.2999999999993</v>
      </c>
      <c r="B350" s="108" t="str">
        <f>'Non-Operating Expenses'!B75</f>
        <v>CAPEX-Startup Costs - Operating Deficit</v>
      </c>
      <c r="C350" s="108"/>
      <c r="D350" s="431">
        <f t="shared" si="53"/>
        <v>0</v>
      </c>
      <c r="E350" s="108"/>
      <c r="F350" s="446">
        <f>'Non-Operating Expenses'!C75</f>
        <v>0</v>
      </c>
      <c r="G350" s="446">
        <f>'Non-Operating Expenses'!D75</f>
        <v>0</v>
      </c>
      <c r="H350" s="446">
        <f>'Non-Operating Expenses'!E75</f>
        <v>0</v>
      </c>
      <c r="I350" s="446">
        <f>'Non-Operating Expenses'!F75</f>
        <v>0</v>
      </c>
      <c r="J350" s="446">
        <f>'Non-Operating Expenses'!G75</f>
        <v>0</v>
      </c>
      <c r="K350" s="446">
        <f>'Non-Operating Expenses'!H75</f>
        <v>0</v>
      </c>
      <c r="L350" s="446">
        <f>'Non-Operating Expenses'!I75</f>
        <v>0</v>
      </c>
      <c r="M350" s="446">
        <f>'Non-Operating Expenses'!J75</f>
        <v>0</v>
      </c>
      <c r="N350" s="446">
        <f>'Non-Operating Expenses'!K75</f>
        <v>0</v>
      </c>
      <c r="O350" s="446">
        <f>'Non-Operating Expenses'!L75</f>
        <v>0</v>
      </c>
      <c r="P350" s="446">
        <f>'Non-Operating Expenses'!M75</f>
        <v>0</v>
      </c>
      <c r="Q350" s="446">
        <f>'Non-Operating Expenses'!N75</f>
        <v>0</v>
      </c>
      <c r="R350" s="431">
        <f t="shared" si="54"/>
        <v>0</v>
      </c>
      <c r="T350" s="448" t="str">
        <f>+IF('Non-Operating Expenses'!Q75="","",'Non-Operating Expenses'!Q75)</f>
        <v/>
      </c>
    </row>
    <row r="351" spans="1:20" ht="14" outlineLevel="1">
      <c r="A351" s="319">
        <f>INDEX(QS_Chart_Of_Accounts_Upload!$C:$O,MATCH(B351,QS_Chart_Of_Accounts_Upload!$E:$E,0),MATCH("ACCT_NO",QS_Chart_Of_Accounts_Upload!$C$1:$O$1,0))</f>
        <v>9169</v>
      </c>
      <c r="B351" s="108" t="str">
        <f>'Non-Operating Expenses'!B76</f>
        <v>CAPEX-Vinyl/Tile</v>
      </c>
      <c r="C351" s="108"/>
      <c r="D351" s="431">
        <f t="shared" si="53"/>
        <v>0</v>
      </c>
      <c r="E351" s="108"/>
      <c r="F351" s="446">
        <f>'Non-Operating Expenses'!C76</f>
        <v>0</v>
      </c>
      <c r="G351" s="446">
        <f>'Non-Operating Expenses'!D76</f>
        <v>0</v>
      </c>
      <c r="H351" s="446">
        <f>'Non-Operating Expenses'!E76</f>
        <v>0</v>
      </c>
      <c r="I351" s="446">
        <f>'Non-Operating Expenses'!F76</f>
        <v>0</v>
      </c>
      <c r="J351" s="446">
        <f>'Non-Operating Expenses'!G76</f>
        <v>0</v>
      </c>
      <c r="K351" s="446">
        <f>'Non-Operating Expenses'!H76</f>
        <v>0</v>
      </c>
      <c r="L351" s="446">
        <f>'Non-Operating Expenses'!I76</f>
        <v>0</v>
      </c>
      <c r="M351" s="446">
        <f>'Non-Operating Expenses'!J76</f>
        <v>0</v>
      </c>
      <c r="N351" s="446">
        <f>'Non-Operating Expenses'!K76</f>
        <v>0</v>
      </c>
      <c r="O351" s="446">
        <f>'Non-Operating Expenses'!L76</f>
        <v>0</v>
      </c>
      <c r="P351" s="446">
        <f>'Non-Operating Expenses'!M76</f>
        <v>0</v>
      </c>
      <c r="Q351" s="446">
        <f>'Non-Operating Expenses'!N76</f>
        <v>0</v>
      </c>
      <c r="R351" s="431">
        <f t="shared" si="54"/>
        <v>0</v>
      </c>
      <c r="T351" s="448" t="str">
        <f>+IF('Non-Operating Expenses'!Q76="","",'Non-Operating Expenses'!Q76)</f>
        <v/>
      </c>
    </row>
    <row r="352" spans="1:20" ht="14" outlineLevel="1">
      <c r="A352" s="319">
        <f>INDEX(QS_Chart_Of_Accounts_Upload!$C:$O,MATCH(B352,QS_Chart_Of_Accounts_Upload!$E:$E,0),MATCH("ACCT_NO",QS_Chart_Of_Accounts_Upload!$C$1:$O$1,0))</f>
        <v>9170</v>
      </c>
      <c r="B352" s="108" t="str">
        <f>'Non-Operating Expenses'!B77</f>
        <v>CAPEX-Washers/Dryers</v>
      </c>
      <c r="C352" s="108"/>
      <c r="D352" s="431">
        <f t="shared" si="53"/>
        <v>0</v>
      </c>
      <c r="E352" s="108"/>
      <c r="F352" s="442">
        <f>'Non-Operating Expenses'!C77</f>
        <v>0</v>
      </c>
      <c r="G352" s="442">
        <f>'Non-Operating Expenses'!D77</f>
        <v>0</v>
      </c>
      <c r="H352" s="442">
        <f>'Non-Operating Expenses'!E77</f>
        <v>0</v>
      </c>
      <c r="I352" s="442">
        <f>'Non-Operating Expenses'!F77</f>
        <v>0</v>
      </c>
      <c r="J352" s="442">
        <f>'Non-Operating Expenses'!G77</f>
        <v>0</v>
      </c>
      <c r="K352" s="442">
        <f>'Non-Operating Expenses'!H77</f>
        <v>0</v>
      </c>
      <c r="L352" s="442">
        <f>'Non-Operating Expenses'!I77</f>
        <v>0</v>
      </c>
      <c r="M352" s="442">
        <f>'Non-Operating Expenses'!J77</f>
        <v>0</v>
      </c>
      <c r="N352" s="442">
        <f>'Non-Operating Expenses'!K77</f>
        <v>0</v>
      </c>
      <c r="O352" s="442">
        <f>'Non-Operating Expenses'!L77</f>
        <v>0</v>
      </c>
      <c r="P352" s="442">
        <f>'Non-Operating Expenses'!M77</f>
        <v>0</v>
      </c>
      <c r="Q352" s="442">
        <f>'Non-Operating Expenses'!N77</f>
        <v>0</v>
      </c>
      <c r="R352" s="431">
        <f t="shared" si="54"/>
        <v>0</v>
      </c>
      <c r="T352" s="448" t="str">
        <f>+IF('Non-Operating Expenses'!Q77="","",'Non-Operating Expenses'!Q77)</f>
        <v/>
      </c>
    </row>
    <row r="353" spans="1:20" ht="14" outlineLevel="1">
      <c r="A353" s="319">
        <f>INDEX(QS_Chart_Of_Accounts_Upload!$C:$O,MATCH(B353,QS_Chart_Of_Accounts_Upload!$E:$E,0),MATCH("ACCT_NO",QS_Chart_Of_Accounts_Upload!$C$1:$O$1,0))</f>
        <v>9200</v>
      </c>
      <c r="B353" s="108" t="str">
        <f>'Non-Operating Expenses'!B78</f>
        <v>CAPEX-Assets Capitalized</v>
      </c>
      <c r="C353" s="108"/>
      <c r="D353" s="431">
        <f t="shared" si="53"/>
        <v>0</v>
      </c>
      <c r="E353" s="108"/>
      <c r="F353" s="446">
        <f>'Non-Operating Expenses'!C78</f>
        <v>0</v>
      </c>
      <c r="G353" s="446">
        <f>'Non-Operating Expenses'!D78</f>
        <v>0</v>
      </c>
      <c r="H353" s="446">
        <f>'Non-Operating Expenses'!E78</f>
        <v>0</v>
      </c>
      <c r="I353" s="446">
        <f>'Non-Operating Expenses'!F78</f>
        <v>0</v>
      </c>
      <c r="J353" s="446">
        <f>'Non-Operating Expenses'!G78</f>
        <v>0</v>
      </c>
      <c r="K353" s="446">
        <f>'Non-Operating Expenses'!H78</f>
        <v>0</v>
      </c>
      <c r="L353" s="446">
        <f>'Non-Operating Expenses'!I78</f>
        <v>0</v>
      </c>
      <c r="M353" s="446">
        <f>'Non-Operating Expenses'!J78</f>
        <v>0</v>
      </c>
      <c r="N353" s="446">
        <f>'Non-Operating Expenses'!K78</f>
        <v>0</v>
      </c>
      <c r="O353" s="446">
        <f>'Non-Operating Expenses'!L78</f>
        <v>0</v>
      </c>
      <c r="P353" s="446">
        <f>'Non-Operating Expenses'!M78</f>
        <v>0</v>
      </c>
      <c r="Q353" s="446">
        <f>'Non-Operating Expenses'!N78</f>
        <v>0</v>
      </c>
      <c r="R353" s="431">
        <f t="shared" si="54"/>
        <v>0</v>
      </c>
      <c r="T353" s="448" t="str">
        <f>+IF('Non-Operating Expenses'!Q78="","",'Non-Operating Expenses'!Q78)</f>
        <v/>
      </c>
    </row>
    <row r="354" spans="1:20" ht="7.5" customHeight="1" outlineLevel="1">
      <c r="A354" s="319"/>
      <c r="B354" s="108"/>
      <c r="C354" s="108"/>
      <c r="D354" s="457"/>
      <c r="E354" s="108"/>
      <c r="F354" s="458"/>
      <c r="G354" s="458"/>
      <c r="H354" s="458"/>
      <c r="I354" s="458"/>
      <c r="J354" s="458"/>
      <c r="K354" s="458"/>
      <c r="L354" s="458"/>
      <c r="M354" s="458"/>
      <c r="N354" s="458"/>
      <c r="O354" s="458"/>
      <c r="P354" s="458"/>
      <c r="Q354" s="458"/>
      <c r="R354" s="457"/>
    </row>
    <row r="355" spans="1:20">
      <c r="A355" s="319"/>
      <c r="B355" s="7" t="s">
        <v>56</v>
      </c>
      <c r="C355" s="7"/>
      <c r="D355" s="431">
        <f>+SUBTOTAL(9,F355:R355)</f>
        <v>0</v>
      </c>
      <c r="E355" s="7"/>
      <c r="F355" s="456">
        <f t="shared" ref="F355" si="55">SUM(F317:F354)</f>
        <v>0</v>
      </c>
      <c r="G355" s="456">
        <f t="shared" ref="G355:Q355" si="56">SUM(G317:G354)</f>
        <v>0</v>
      </c>
      <c r="H355" s="456">
        <f t="shared" si="56"/>
        <v>0</v>
      </c>
      <c r="I355" s="456">
        <f t="shared" si="56"/>
        <v>0</v>
      </c>
      <c r="J355" s="456">
        <f t="shared" si="56"/>
        <v>0</v>
      </c>
      <c r="K355" s="456">
        <f t="shared" si="56"/>
        <v>0</v>
      </c>
      <c r="L355" s="456">
        <f t="shared" si="56"/>
        <v>0</v>
      </c>
      <c r="M355" s="456">
        <f t="shared" si="56"/>
        <v>0</v>
      </c>
      <c r="N355" s="456">
        <f t="shared" si="56"/>
        <v>0</v>
      </c>
      <c r="O355" s="456">
        <f t="shared" si="56"/>
        <v>0</v>
      </c>
      <c r="P355" s="456">
        <f t="shared" si="56"/>
        <v>0</v>
      </c>
      <c r="Q355" s="456">
        <f t="shared" si="56"/>
        <v>0</v>
      </c>
      <c r="R355" s="431">
        <f>+SUBTOTAL(9,F355:Q355)</f>
        <v>0</v>
      </c>
    </row>
    <row r="356" spans="1:20">
      <c r="A356" s="319"/>
      <c r="D356" s="60"/>
      <c r="R356" s="60"/>
    </row>
    <row r="357" spans="1:20">
      <c r="A357" s="319"/>
      <c r="B357" s="7" t="s">
        <v>57</v>
      </c>
      <c r="C357" s="7"/>
      <c r="D357" s="431">
        <f>+SUBTOTAL(9,F357:R357)</f>
        <v>1021476.077524498</v>
      </c>
      <c r="E357" s="7"/>
      <c r="F357" s="442">
        <f t="shared" ref="F357:Q357" si="57">F279-F314-F355</f>
        <v>14226.040763052217</v>
      </c>
      <c r="G357" s="442">
        <f t="shared" si="57"/>
        <v>19332.269377510042</v>
      </c>
      <c r="H357" s="442">
        <f t="shared" si="57"/>
        <v>18482.269377510042</v>
      </c>
      <c r="I357" s="442">
        <f t="shared" si="57"/>
        <v>19144.269377510042</v>
      </c>
      <c r="J357" s="442">
        <f t="shared" si="57"/>
        <v>58210.570572289129</v>
      </c>
      <c r="K357" s="442">
        <f t="shared" si="57"/>
        <v>104919.05927710845</v>
      </c>
      <c r="L357" s="442">
        <f t="shared" si="57"/>
        <v>130083.94646325301</v>
      </c>
      <c r="M357" s="442">
        <f t="shared" si="57"/>
        <v>130550.30646325301</v>
      </c>
      <c r="N357" s="442">
        <f t="shared" si="57"/>
        <v>131332.87646325302</v>
      </c>
      <c r="O357" s="442">
        <f t="shared" si="57"/>
        <v>131725.92646325301</v>
      </c>
      <c r="P357" s="442">
        <f t="shared" si="57"/>
        <v>131973.98646325301</v>
      </c>
      <c r="Q357" s="442">
        <f t="shared" si="57"/>
        <v>131494.55646325301</v>
      </c>
      <c r="R357" s="431">
        <f>+SUBTOTAL(9,F357:Q357)</f>
        <v>1021476.077524498</v>
      </c>
    </row>
    <row r="358" spans="1:20">
      <c r="A358" s="319"/>
    </row>
    <row r="359" spans="1:20">
      <c r="A359" s="319"/>
      <c r="F359" s="442"/>
      <c r="G359" s="442"/>
      <c r="H359" s="442"/>
      <c r="I359" s="442"/>
      <c r="J359" s="442"/>
      <c r="K359" s="442"/>
      <c r="L359" s="442"/>
      <c r="M359" s="442"/>
      <c r="N359" s="442"/>
      <c r="O359" s="442"/>
      <c r="P359" s="442"/>
      <c r="Q359" s="442"/>
      <c r="R359" s="442"/>
      <c r="S359" s="484"/>
    </row>
    <row r="360" spans="1:20">
      <c r="A360" s="319"/>
      <c r="F360" s="420"/>
      <c r="G360" s="420"/>
      <c r="H360" s="420"/>
      <c r="I360" s="420"/>
      <c r="J360" s="420"/>
      <c r="K360" s="420"/>
      <c r="L360" s="420"/>
      <c r="M360" s="420"/>
      <c r="N360" s="485"/>
      <c r="P360" s="486"/>
      <c r="Q360" s="486"/>
      <c r="R360" s="486"/>
    </row>
    <row r="361" spans="1:20">
      <c r="L361" s="487"/>
      <c r="M361" s="487"/>
      <c r="N361" s="488"/>
      <c r="P361" s="488"/>
      <c r="Q361" s="488"/>
      <c r="R361" s="488"/>
    </row>
    <row r="362" spans="1:20">
      <c r="F362" s="489"/>
      <c r="G362" s="489"/>
      <c r="H362" s="489"/>
      <c r="I362" s="489"/>
      <c r="L362" s="487"/>
      <c r="M362" s="487"/>
      <c r="N362" s="488"/>
      <c r="P362" s="488"/>
      <c r="Q362" s="488"/>
      <c r="R362" s="488"/>
    </row>
    <row r="363" spans="1:20">
      <c r="F363" s="489"/>
      <c r="G363" s="489"/>
      <c r="H363" s="489"/>
      <c r="I363" s="489"/>
      <c r="K363" s="490"/>
      <c r="L363" s="487"/>
      <c r="M363" s="487"/>
      <c r="N363" s="488"/>
      <c r="P363" s="488"/>
      <c r="Q363" s="488"/>
      <c r="R363" s="488"/>
    </row>
    <row r="364" spans="1:20">
      <c r="F364" s="489"/>
      <c r="G364" s="489"/>
      <c r="H364" s="489"/>
      <c r="I364" s="489"/>
      <c r="L364" s="487"/>
      <c r="M364" s="487"/>
      <c r="N364" s="488"/>
      <c r="P364" s="488"/>
      <c r="Q364" s="488"/>
      <c r="R364" s="488"/>
    </row>
    <row r="365" spans="1:20">
      <c r="F365" s="7"/>
      <c r="G365" s="7"/>
      <c r="H365" s="7"/>
      <c r="I365" s="7"/>
      <c r="K365" s="7"/>
      <c r="L365" s="491"/>
      <c r="M365" s="491"/>
      <c r="N365" s="491"/>
      <c r="P365" s="491"/>
      <c r="Q365" s="491"/>
      <c r="R365" s="491"/>
    </row>
    <row r="366" spans="1:20">
      <c r="L366" s="487"/>
      <c r="M366" s="487"/>
      <c r="N366" s="488"/>
      <c r="Q366" s="426"/>
      <c r="R366" s="426"/>
    </row>
    <row r="367" spans="1:20">
      <c r="L367" s="487"/>
      <c r="M367" s="487"/>
      <c r="N367" s="488"/>
      <c r="P367" s="488"/>
      <c r="Q367" s="487"/>
      <c r="R367" s="487"/>
    </row>
    <row r="368" spans="1:20">
      <c r="L368" s="487"/>
      <c r="M368" s="487"/>
      <c r="N368" s="488"/>
      <c r="P368" s="488"/>
      <c r="Q368" s="487"/>
      <c r="R368" s="487"/>
    </row>
    <row r="369" spans="6:18">
      <c r="L369" s="487"/>
      <c r="M369" s="487"/>
      <c r="N369" s="488"/>
      <c r="P369" s="488"/>
      <c r="Q369" s="487"/>
      <c r="R369" s="487"/>
    </row>
    <row r="370" spans="6:18">
      <c r="L370" s="487"/>
      <c r="M370" s="487"/>
      <c r="N370" s="488"/>
      <c r="P370" s="488"/>
      <c r="Q370" s="487"/>
      <c r="R370" s="487"/>
    </row>
    <row r="371" spans="6:18">
      <c r="L371" s="487"/>
      <c r="M371" s="487"/>
      <c r="N371" s="488"/>
      <c r="P371" s="488"/>
      <c r="Q371" s="487"/>
      <c r="R371" s="487"/>
    </row>
    <row r="372" spans="6:18">
      <c r="L372" s="487"/>
      <c r="M372" s="487"/>
      <c r="N372" s="488"/>
      <c r="P372" s="488"/>
      <c r="Q372" s="487"/>
      <c r="R372" s="487"/>
    </row>
    <row r="373" spans="6:18">
      <c r="L373" s="487"/>
      <c r="M373" s="487"/>
      <c r="N373" s="488"/>
      <c r="P373" s="488"/>
      <c r="Q373" s="487"/>
      <c r="R373" s="487"/>
    </row>
    <row r="374" spans="6:18">
      <c r="F374" s="108"/>
      <c r="G374" s="108"/>
      <c r="H374" s="108"/>
      <c r="I374" s="108"/>
      <c r="J374" s="108"/>
      <c r="K374" s="108"/>
      <c r="L374" s="492"/>
      <c r="M374" s="492"/>
      <c r="N374" s="493"/>
      <c r="O374" s="108"/>
      <c r="P374" s="493"/>
      <c r="Q374" s="492"/>
      <c r="R374" s="492"/>
    </row>
    <row r="375" spans="6:18">
      <c r="L375" s="487"/>
      <c r="M375" s="487"/>
      <c r="N375" s="488"/>
      <c r="P375" s="488"/>
      <c r="Q375" s="487"/>
      <c r="R375" s="487"/>
    </row>
    <row r="376" spans="6:18">
      <c r="F376" s="7"/>
      <c r="G376" s="7"/>
      <c r="H376" s="7"/>
      <c r="I376" s="7"/>
      <c r="L376" s="491"/>
      <c r="M376" s="491"/>
      <c r="N376" s="491"/>
      <c r="P376" s="491"/>
      <c r="Q376" s="491"/>
      <c r="R376" s="491"/>
    </row>
    <row r="377" spans="6:18">
      <c r="L377" s="487"/>
      <c r="M377" s="487"/>
      <c r="N377" s="488"/>
      <c r="Q377" s="426"/>
      <c r="R377" s="426"/>
    </row>
    <row r="378" spans="6:18">
      <c r="F378" s="7"/>
      <c r="G378" s="7"/>
      <c r="H378" s="7"/>
      <c r="I378" s="7"/>
      <c r="J378" s="7"/>
      <c r="K378" s="7"/>
      <c r="L378" s="491"/>
      <c r="M378" s="491"/>
      <c r="N378" s="491"/>
      <c r="P378" s="491"/>
      <c r="Q378" s="491"/>
      <c r="R378" s="491"/>
    </row>
    <row r="379" spans="6:18">
      <c r="Q379" s="426"/>
      <c r="R379" s="426"/>
    </row>
  </sheetData>
  <sortState xmlns:xlrd2="http://schemas.microsoft.com/office/spreadsheetml/2017/richdata2" ref="A278:R290">
    <sortCondition ref="B278:B290"/>
  </sortState>
  <customSheetViews>
    <customSheetView guid="{9DEAD063-F928-419C-837E-C1066ED7860B}" scale="80" showPageBreaks="1" fitToPage="1" printArea="1" topLeftCell="A71">
      <selection activeCell="H96" sqref="H96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.25" right="0.25" top="1.0833333329999999" bottom="0.36111111099999998" header="0.5" footer="0.5"/>
      <printOptions horizontalCentered="1"/>
      <pageSetup scale="47" fitToHeight="0" orientation="landscape" verticalDpi="4294967293" r:id="rId1"/>
      <headerFooter alignWithMargins="0">
        <oddHeader>&amp;L&amp;G&amp;C
&amp;R&amp;D</oddHeader>
      </headerFooter>
    </customSheetView>
    <customSheetView guid="{CD41F76E-02CC-455C-B8BC-2EB46CDD6483}" scale="90" fitToPage="1">
      <selection activeCell="E104" sqref="E104"/>
      <rowBreaks count="1" manualBreakCount="1">
        <brk id="88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r:id="rId2"/>
      <headerFooter alignWithMargins="0">
        <oddHeader>&amp;L&amp;G&amp;C&amp;"Calibri,Regular"2017 BUDGET&amp;R&amp;D</oddHeader>
      </headerFooter>
    </customSheetView>
    <customSheetView guid="{D073F711-6285-4942-AB77-7D856F2758D2}" scale="90" showPageBreaks="1" fitToPage="1" printArea="1" hiddenRows="1" topLeftCell="A8">
      <selection activeCell="E4" sqref="E4"/>
      <rowBreaks count="329" manualBreakCount="329">
        <brk id="66" max="16383" man="1"/>
        <brk id="265" max="16383" man="1"/>
        <brk id="464" max="16383" man="1"/>
        <brk id="663" max="16383" man="1"/>
        <brk id="862" max="16383" man="1"/>
        <brk id="1061" max="16383" man="1"/>
        <brk id="1260" max="16383" man="1"/>
        <brk id="1459" max="16383" man="1"/>
        <brk id="1658" max="16383" man="1"/>
        <brk id="1857" max="16383" man="1"/>
        <brk id="2056" max="16383" man="1"/>
        <brk id="2255" max="16383" man="1"/>
        <brk id="2454" max="16383" man="1"/>
        <brk id="2653" max="16383" man="1"/>
        <brk id="2852" max="16383" man="1"/>
        <brk id="3051" max="16383" man="1"/>
        <brk id="3250" max="16383" man="1"/>
        <brk id="3449" max="16383" man="1"/>
        <brk id="3648" max="16383" man="1"/>
        <brk id="3847" max="16383" man="1"/>
        <brk id="4046" max="16383" man="1"/>
        <brk id="4245" max="16383" man="1"/>
        <brk id="4444" max="16383" man="1"/>
        <brk id="4643" max="16383" man="1"/>
        <brk id="4842" max="16383" man="1"/>
        <brk id="5041" max="16383" man="1"/>
        <brk id="5240" max="16383" man="1"/>
        <brk id="5439" max="16383" man="1"/>
        <brk id="5638" max="16383" man="1"/>
        <brk id="5837" max="16383" man="1"/>
        <brk id="6036" max="16383" man="1"/>
        <brk id="6235" max="16383" man="1"/>
        <brk id="6434" max="16383" man="1"/>
        <brk id="6633" max="16383" man="1"/>
        <brk id="6832" max="16383" man="1"/>
        <brk id="7031" max="16383" man="1"/>
        <brk id="7230" max="16383" man="1"/>
        <brk id="7429" max="16383" man="1"/>
        <brk id="7628" max="16383" man="1"/>
        <brk id="7827" max="16383" man="1"/>
        <brk id="8026" max="16383" man="1"/>
        <brk id="8225" max="16383" man="1"/>
        <brk id="8424" max="16383" man="1"/>
        <brk id="8623" max="16383" man="1"/>
        <brk id="8822" max="16383" man="1"/>
        <brk id="9021" max="16383" man="1"/>
        <brk id="9220" max="16383" man="1"/>
        <brk id="9419" max="16383" man="1"/>
        <brk id="9618" max="16383" man="1"/>
        <brk id="9817" max="16383" man="1"/>
        <brk id="10016" max="16383" man="1"/>
        <brk id="10215" max="16383" man="1"/>
        <brk id="10414" max="16383" man="1"/>
        <brk id="10613" max="16383" man="1"/>
        <brk id="10812" max="16383" man="1"/>
        <brk id="11011" max="16383" man="1"/>
        <brk id="11210" max="16383" man="1"/>
        <brk id="11409" max="16383" man="1"/>
        <brk id="11608" max="16383" man="1"/>
        <brk id="11807" max="16383" man="1"/>
        <brk id="12006" max="16383" man="1"/>
        <brk id="12205" max="16383" man="1"/>
        <brk id="12404" max="16383" man="1"/>
        <brk id="12603" max="16383" man="1"/>
        <brk id="12802" max="16383" man="1"/>
        <brk id="13001" max="16383" man="1"/>
        <brk id="13200" max="16383" man="1"/>
        <brk id="13399" max="16383" man="1"/>
        <brk id="13598" max="16383" man="1"/>
        <brk id="13797" max="16383" man="1"/>
        <brk id="13996" max="16383" man="1"/>
        <brk id="14195" max="16383" man="1"/>
        <brk id="14394" max="16383" man="1"/>
        <brk id="14593" max="16383" man="1"/>
        <brk id="14792" max="16383" man="1"/>
        <brk id="14991" max="16383" man="1"/>
        <brk id="15190" max="16383" man="1"/>
        <brk id="15389" max="16383" man="1"/>
        <brk id="15588" max="16383" man="1"/>
        <brk id="15787" max="16383" man="1"/>
        <brk id="15986" max="16383" man="1"/>
        <brk id="16185" max="16383" man="1"/>
        <brk id="16384" max="16383" man="1"/>
        <brk id="16583" max="16383" man="1"/>
        <brk id="16782" max="16383" man="1"/>
        <brk id="16981" max="16383" man="1"/>
        <brk id="17180" max="16383" man="1"/>
        <brk id="17379" max="16383" man="1"/>
        <brk id="17578" max="16383" man="1"/>
        <brk id="17777" max="16383" man="1"/>
        <brk id="17976" max="16383" man="1"/>
        <brk id="18175" max="16383" man="1"/>
        <brk id="18374" max="16383" man="1"/>
        <brk id="18573" max="16383" man="1"/>
        <brk id="18772" max="16383" man="1"/>
        <brk id="18971" max="16383" man="1"/>
        <brk id="19170" max="16383" man="1"/>
        <brk id="19369" max="16383" man="1"/>
        <brk id="19568" max="16383" man="1"/>
        <brk id="19767" max="16383" man="1"/>
        <brk id="19966" max="16383" man="1"/>
        <brk id="20165" max="16383" man="1"/>
        <brk id="20364" max="16383" man="1"/>
        <brk id="20563" max="16383" man="1"/>
        <brk id="20762" max="16383" man="1"/>
        <brk id="20961" max="16383" man="1"/>
        <brk id="21160" max="16383" man="1"/>
        <brk id="21359" max="16383" man="1"/>
        <brk id="21558" max="16383" man="1"/>
        <brk id="21757" max="16383" man="1"/>
        <brk id="21956" max="16383" man="1"/>
        <brk id="22155" max="16383" man="1"/>
        <brk id="22354" max="16383" man="1"/>
        <brk id="22553" max="16383" man="1"/>
        <brk id="22752" max="16383" man="1"/>
        <brk id="22951" max="16383" man="1"/>
        <brk id="23150" max="16383" man="1"/>
        <brk id="23349" max="16383" man="1"/>
        <brk id="23548" max="16383" man="1"/>
        <brk id="23747" max="16383" man="1"/>
        <brk id="23946" max="16383" man="1"/>
        <brk id="24145" max="16383" man="1"/>
        <brk id="24344" max="16383" man="1"/>
        <brk id="24543" max="16383" man="1"/>
        <brk id="24742" max="16383" man="1"/>
        <brk id="24941" max="16383" man="1"/>
        <brk id="25140" max="16383" man="1"/>
        <brk id="25339" max="16383" man="1"/>
        <brk id="25538" max="16383" man="1"/>
        <brk id="25737" max="16383" man="1"/>
        <brk id="25936" max="16383" man="1"/>
        <brk id="26135" max="16383" man="1"/>
        <brk id="26334" max="16383" man="1"/>
        <brk id="26533" max="16383" man="1"/>
        <brk id="26732" max="16383" man="1"/>
        <brk id="26931" max="16383" man="1"/>
        <brk id="27130" max="16383" man="1"/>
        <brk id="27329" max="16383" man="1"/>
        <brk id="27528" max="16383" man="1"/>
        <brk id="27727" max="16383" man="1"/>
        <brk id="27926" max="16383" man="1"/>
        <brk id="28125" max="16383" man="1"/>
        <brk id="28324" max="16383" man="1"/>
        <brk id="28523" max="16383" man="1"/>
        <brk id="28722" max="16383" man="1"/>
        <brk id="28921" max="16383" man="1"/>
        <brk id="29120" max="16383" man="1"/>
        <brk id="29319" max="16383" man="1"/>
        <brk id="29518" max="16383" man="1"/>
        <brk id="29717" max="16383" man="1"/>
        <brk id="29916" max="16383" man="1"/>
        <brk id="30115" max="16383" man="1"/>
        <brk id="30314" max="16383" man="1"/>
        <brk id="30513" max="16383" man="1"/>
        <brk id="30712" max="16383" man="1"/>
        <brk id="30911" max="16383" man="1"/>
        <brk id="31110" max="16383" man="1"/>
        <brk id="31309" max="16383" man="1"/>
        <brk id="31508" max="16383" man="1"/>
        <brk id="31707" max="16383" man="1"/>
        <brk id="31906" max="16383" man="1"/>
        <brk id="32105" max="16383" man="1"/>
        <brk id="32304" max="16383" man="1"/>
        <brk id="32503" max="16383" man="1"/>
        <brk id="32702" max="16383" man="1"/>
        <brk id="32901" max="16383" man="1"/>
        <brk id="33100" max="16383" man="1"/>
        <brk id="33299" max="16383" man="1"/>
        <brk id="33498" max="16383" man="1"/>
        <brk id="33697" max="16383" man="1"/>
        <brk id="33896" max="16383" man="1"/>
        <brk id="34095" max="16383" man="1"/>
        <brk id="34294" max="16383" man="1"/>
        <brk id="34493" max="16383" man="1"/>
        <brk id="34692" max="16383" man="1"/>
        <brk id="34891" max="16383" man="1"/>
        <brk id="35090" max="16383" man="1"/>
        <brk id="35289" max="16383" man="1"/>
        <brk id="35488" max="16383" man="1"/>
        <brk id="35687" max="16383" man="1"/>
        <brk id="35886" max="16383" man="1"/>
        <brk id="36085" max="16383" man="1"/>
        <brk id="36284" max="16383" man="1"/>
        <brk id="36483" max="16383" man="1"/>
        <brk id="36682" max="16383" man="1"/>
        <brk id="36881" max="16383" man="1"/>
        <brk id="37080" max="16383" man="1"/>
        <brk id="37279" max="16383" man="1"/>
        <brk id="37478" max="16383" man="1"/>
        <brk id="37677" max="16383" man="1"/>
        <brk id="37876" max="16383" man="1"/>
        <brk id="38075" max="16383" man="1"/>
        <brk id="38274" max="16383" man="1"/>
        <brk id="38473" max="16383" man="1"/>
        <brk id="38672" max="16383" man="1"/>
        <brk id="38871" max="16383" man="1"/>
        <brk id="39070" max="16383" man="1"/>
        <brk id="39269" max="16383" man="1"/>
        <brk id="39468" max="16383" man="1"/>
        <brk id="39667" max="16383" man="1"/>
        <brk id="39866" max="16383" man="1"/>
        <brk id="40065" max="16383" man="1"/>
        <brk id="40264" max="16383" man="1"/>
        <brk id="40463" max="16383" man="1"/>
        <brk id="40662" max="16383" man="1"/>
        <brk id="40861" max="16383" man="1"/>
        <brk id="41060" max="16383" man="1"/>
        <brk id="41259" max="16383" man="1"/>
        <brk id="41458" max="16383" man="1"/>
        <brk id="41657" max="16383" man="1"/>
        <brk id="41856" max="16383" man="1"/>
        <brk id="42055" max="16383" man="1"/>
        <brk id="42254" max="16383" man="1"/>
        <brk id="42453" max="16383" man="1"/>
        <brk id="42652" max="16383" man="1"/>
        <brk id="42851" max="16383" man="1"/>
        <brk id="43050" max="16383" man="1"/>
        <brk id="43249" max="16383" man="1"/>
        <brk id="43448" max="16383" man="1"/>
        <brk id="43647" max="16383" man="1"/>
        <brk id="43846" max="16383" man="1"/>
        <brk id="44045" max="16383" man="1"/>
        <brk id="44244" max="16383" man="1"/>
        <brk id="44443" max="16383" man="1"/>
        <brk id="44642" max="16383" man="1"/>
        <brk id="44841" max="16383" man="1"/>
        <brk id="45040" max="16383" man="1"/>
        <brk id="45239" max="16383" man="1"/>
        <brk id="45438" max="16383" man="1"/>
        <brk id="45637" max="16383" man="1"/>
        <brk id="45836" max="16383" man="1"/>
        <brk id="46035" max="16383" man="1"/>
        <brk id="46234" max="16383" man="1"/>
        <brk id="46433" max="16383" man="1"/>
        <brk id="46632" max="16383" man="1"/>
        <brk id="46831" max="16383" man="1"/>
        <brk id="47030" max="16383" man="1"/>
        <brk id="47229" max="16383" man="1"/>
        <brk id="47428" max="16383" man="1"/>
        <brk id="47627" max="16383" man="1"/>
        <brk id="47826" max="16383" man="1"/>
        <brk id="48025" max="16383" man="1"/>
        <brk id="48224" max="16383" man="1"/>
        <brk id="48423" max="16383" man="1"/>
        <brk id="48622" max="16383" man="1"/>
        <brk id="48821" max="16383" man="1"/>
        <brk id="49020" max="16383" man="1"/>
        <brk id="49219" max="16383" man="1"/>
        <brk id="49418" max="16383" man="1"/>
        <brk id="49617" max="16383" man="1"/>
        <brk id="49816" max="16383" man="1"/>
        <brk id="50015" max="16383" man="1"/>
        <brk id="50214" max="16383" man="1"/>
        <brk id="50413" max="16383" man="1"/>
        <brk id="50612" max="16383" man="1"/>
        <brk id="50811" max="16383" man="1"/>
        <brk id="51010" max="16383" man="1"/>
        <brk id="51209" max="16383" man="1"/>
        <brk id="51408" max="16383" man="1"/>
        <brk id="51607" max="16383" man="1"/>
        <brk id="51806" max="16383" man="1"/>
        <brk id="52005" max="16383" man="1"/>
        <brk id="52204" max="16383" man="1"/>
        <brk id="52403" max="16383" man="1"/>
        <brk id="52602" max="16383" man="1"/>
        <brk id="52801" max="16383" man="1"/>
        <brk id="53000" max="16383" man="1"/>
        <brk id="53199" max="16383" man="1"/>
        <brk id="53398" max="16383" man="1"/>
        <brk id="53597" max="16383" man="1"/>
        <brk id="53796" max="16383" man="1"/>
        <brk id="53995" max="16383" man="1"/>
        <brk id="54194" max="16383" man="1"/>
        <brk id="54393" max="16383" man="1"/>
        <brk id="54592" max="16383" man="1"/>
        <brk id="54791" max="16383" man="1"/>
        <brk id="54990" max="16383" man="1"/>
        <brk id="55189" max="16383" man="1"/>
        <brk id="55388" max="16383" man="1"/>
        <brk id="55587" max="16383" man="1"/>
        <brk id="55786" max="16383" man="1"/>
        <brk id="55985" max="16383" man="1"/>
        <brk id="56184" max="16383" man="1"/>
        <brk id="56383" max="16383" man="1"/>
        <brk id="56582" max="16383" man="1"/>
        <brk id="56781" max="16383" man="1"/>
        <brk id="56980" max="16383" man="1"/>
        <brk id="57179" max="16383" man="1"/>
        <brk id="57378" max="16383" man="1"/>
        <brk id="57577" max="16383" man="1"/>
        <brk id="57776" max="16383" man="1"/>
        <brk id="57975" max="16383" man="1"/>
        <brk id="58174" max="16383" man="1"/>
        <brk id="58373" max="16383" man="1"/>
        <brk id="58572" max="16383" man="1"/>
        <brk id="58771" max="16383" man="1"/>
        <brk id="58970" max="16383" man="1"/>
        <brk id="59169" max="16383" man="1"/>
        <brk id="59368" max="16383" man="1"/>
        <brk id="59567" max="16383" man="1"/>
        <brk id="59766" max="16383" man="1"/>
        <brk id="59965" max="16383" man="1"/>
        <brk id="60164" max="16383" man="1"/>
        <brk id="60363" max="16383" man="1"/>
        <brk id="60562" max="16383" man="1"/>
        <brk id="60761" max="16383" man="1"/>
        <brk id="60960" max="16383" man="1"/>
        <brk id="61159" max="16383" man="1"/>
        <brk id="61358" max="16383" man="1"/>
        <brk id="61557" max="16383" man="1"/>
        <brk id="61756" max="16383" man="1"/>
        <brk id="61955" max="16383" man="1"/>
        <brk id="62154" max="16383" man="1"/>
        <brk id="62353" max="16383" man="1"/>
        <brk id="62552" max="16383" man="1"/>
        <brk id="62751" max="16383" man="1"/>
        <brk id="62950" max="16383" man="1"/>
        <brk id="63149" max="16383" man="1"/>
        <brk id="63348" max="16383" man="1"/>
        <brk id="63547" max="16383" man="1"/>
        <brk id="63746" max="16383" man="1"/>
        <brk id="63945" max="16383" man="1"/>
        <brk id="64144" max="16383" man="1"/>
        <brk id="64343" max="16383" man="1"/>
        <brk id="64542" max="16383" man="1"/>
        <brk id="64741" max="16383" man="1"/>
        <brk id="64940" max="16383" man="1"/>
        <brk id="65139" max="16383" man="1"/>
        <brk id="65338" max="16383" man="1"/>
      </rowBreaks>
      <pageMargins left="0.25" right="0.25" top="1.0833333329999999" bottom="0.36111111099999998" header="0.5" footer="0.5"/>
      <printOptions horizontalCentered="1"/>
      <pageSetup scale="47" fitToHeight="0" orientation="landscape" verticalDpi="4294967293" r:id="rId3"/>
      <headerFooter alignWithMargins="0">
        <oddHeader>&amp;L&amp;G&amp;CSoLe Mia Stabilized Year 1 Budget
&amp;R&amp;D</oddHeader>
      </headerFooter>
    </customSheetView>
    <customSheetView guid="{37F60134-1665-4224-BDB0-AA938013E6F7}" scale="90" showPageBreaks="1" fitToPage="1" printArea="1" hiddenRows="1" topLeftCell="A150">
      <selection activeCell="P165" sqref="P165"/>
      <rowBreaks count="329" manualBreakCount="329">
        <brk id="52" max="16383" man="1"/>
        <brk id="240" max="16383" man="1"/>
        <brk id="439" max="16383" man="1"/>
        <brk id="638" max="16383" man="1"/>
        <brk id="837" max="16383" man="1"/>
        <brk id="1036" max="16383" man="1"/>
        <brk id="1235" max="16383" man="1"/>
        <brk id="1434" max="16383" man="1"/>
        <brk id="1633" max="16383" man="1"/>
        <brk id="1832" max="16383" man="1"/>
        <brk id="2031" max="16383" man="1"/>
        <brk id="2230" max="16383" man="1"/>
        <brk id="2429" max="16383" man="1"/>
        <brk id="2628" max="16383" man="1"/>
        <brk id="2827" max="16383" man="1"/>
        <brk id="3026" max="16383" man="1"/>
        <brk id="3225" max="16383" man="1"/>
        <brk id="3424" max="16383" man="1"/>
        <brk id="3623" max="16383" man="1"/>
        <brk id="3822" max="16383" man="1"/>
        <brk id="4021" max="16383" man="1"/>
        <brk id="4220" max="16383" man="1"/>
        <brk id="4419" max="16383" man="1"/>
        <brk id="4618" max="16383" man="1"/>
        <brk id="4817" max="16383" man="1"/>
        <brk id="5016" max="16383" man="1"/>
        <brk id="5215" max="16383" man="1"/>
        <brk id="5414" max="16383" man="1"/>
        <brk id="5613" max="16383" man="1"/>
        <brk id="5812" max="16383" man="1"/>
        <brk id="6011" max="16383" man="1"/>
        <brk id="6210" max="16383" man="1"/>
        <brk id="6409" max="16383" man="1"/>
        <brk id="6608" max="16383" man="1"/>
        <brk id="6807" max="16383" man="1"/>
        <brk id="7006" max="16383" man="1"/>
        <brk id="7205" max="16383" man="1"/>
        <brk id="7404" max="16383" man="1"/>
        <brk id="7603" max="16383" man="1"/>
        <brk id="7802" max="16383" man="1"/>
        <brk id="8001" max="16383" man="1"/>
        <brk id="8200" max="16383" man="1"/>
        <brk id="8399" max="16383" man="1"/>
        <brk id="8598" max="16383" man="1"/>
        <brk id="8797" max="16383" man="1"/>
        <brk id="8996" max="16383" man="1"/>
        <brk id="9195" max="16383" man="1"/>
        <brk id="9394" max="16383" man="1"/>
        <brk id="9593" max="16383" man="1"/>
        <brk id="9792" max="16383" man="1"/>
        <brk id="9991" max="16383" man="1"/>
        <brk id="10190" max="16383" man="1"/>
        <brk id="10389" max="16383" man="1"/>
        <brk id="10588" max="16383" man="1"/>
        <brk id="10787" max="16383" man="1"/>
        <brk id="10986" max="16383" man="1"/>
        <brk id="11185" max="16383" man="1"/>
        <brk id="11384" max="16383" man="1"/>
        <brk id="11583" max="16383" man="1"/>
        <brk id="11782" max="16383" man="1"/>
        <brk id="11981" max="16383" man="1"/>
        <brk id="12180" max="16383" man="1"/>
        <brk id="12379" max="16383" man="1"/>
        <brk id="12578" max="16383" man="1"/>
        <brk id="12777" max="16383" man="1"/>
        <brk id="12976" max="16383" man="1"/>
        <brk id="13175" max="16383" man="1"/>
        <brk id="13374" max="16383" man="1"/>
        <brk id="13573" max="16383" man="1"/>
        <brk id="13772" max="16383" man="1"/>
        <brk id="13971" max="16383" man="1"/>
        <brk id="14170" max="16383" man="1"/>
        <brk id="14369" max="16383" man="1"/>
        <brk id="14568" max="16383" man="1"/>
        <brk id="14767" max="16383" man="1"/>
        <brk id="14966" max="16383" man="1"/>
        <brk id="15165" max="16383" man="1"/>
        <brk id="15364" max="16383" man="1"/>
        <brk id="15563" max="16383" man="1"/>
        <brk id="15762" max="16383" man="1"/>
        <brk id="15961" max="16383" man="1"/>
        <brk id="16160" max="16383" man="1"/>
        <brk id="16359" max="16383" man="1"/>
        <brk id="16558" max="16383" man="1"/>
        <brk id="16757" max="16383" man="1"/>
        <brk id="16956" max="16383" man="1"/>
        <brk id="17155" max="16383" man="1"/>
        <brk id="17354" max="16383" man="1"/>
        <brk id="17553" max="16383" man="1"/>
        <brk id="17752" max="16383" man="1"/>
        <brk id="17951" max="16383" man="1"/>
        <brk id="18150" max="16383" man="1"/>
        <brk id="18349" max="16383" man="1"/>
        <brk id="18548" max="16383" man="1"/>
        <brk id="18747" max="16383" man="1"/>
        <brk id="18946" max="16383" man="1"/>
        <brk id="19145" max="16383" man="1"/>
        <brk id="19344" max="16383" man="1"/>
        <brk id="19543" max="16383" man="1"/>
        <brk id="19742" max="16383" man="1"/>
        <brk id="19941" max="16383" man="1"/>
        <brk id="20140" max="16383" man="1"/>
        <brk id="20339" max="16383" man="1"/>
        <brk id="20538" max="16383" man="1"/>
        <brk id="20737" max="16383" man="1"/>
        <brk id="20936" max="16383" man="1"/>
        <brk id="21135" max="16383" man="1"/>
        <brk id="21334" max="16383" man="1"/>
        <brk id="21533" max="16383" man="1"/>
        <brk id="21732" max="16383" man="1"/>
        <brk id="21931" max="16383" man="1"/>
        <brk id="22130" max="16383" man="1"/>
        <brk id="22329" max="16383" man="1"/>
        <brk id="22528" max="16383" man="1"/>
        <brk id="22727" max="16383" man="1"/>
        <brk id="22926" max="16383" man="1"/>
        <brk id="23125" max="16383" man="1"/>
        <brk id="23324" max="16383" man="1"/>
        <brk id="23523" max="16383" man="1"/>
        <brk id="23722" max="16383" man="1"/>
        <brk id="23921" max="16383" man="1"/>
        <brk id="24120" max="16383" man="1"/>
        <brk id="24319" max="16383" man="1"/>
        <brk id="24518" max="16383" man="1"/>
        <brk id="24717" max="16383" man="1"/>
        <brk id="24916" max="16383" man="1"/>
        <brk id="25115" max="16383" man="1"/>
        <brk id="25314" max="16383" man="1"/>
        <brk id="25513" max="16383" man="1"/>
        <brk id="25712" max="16383" man="1"/>
        <brk id="25911" max="16383" man="1"/>
        <brk id="26110" max="16383" man="1"/>
        <brk id="26309" max="16383" man="1"/>
        <brk id="26508" max="16383" man="1"/>
        <brk id="26707" max="16383" man="1"/>
        <brk id="26906" max="16383" man="1"/>
        <brk id="27105" max="16383" man="1"/>
        <brk id="27304" max="16383" man="1"/>
        <brk id="27503" max="16383" man="1"/>
        <brk id="27702" max="16383" man="1"/>
        <brk id="27901" max="16383" man="1"/>
        <brk id="28100" max="16383" man="1"/>
        <brk id="28299" max="16383" man="1"/>
        <brk id="28498" max="16383" man="1"/>
        <brk id="28697" max="16383" man="1"/>
        <brk id="28896" max="16383" man="1"/>
        <brk id="29095" max="16383" man="1"/>
        <brk id="29294" max="16383" man="1"/>
        <brk id="29493" max="16383" man="1"/>
        <brk id="29692" max="16383" man="1"/>
        <brk id="29891" max="16383" man="1"/>
        <brk id="30090" max="16383" man="1"/>
        <brk id="30289" max="16383" man="1"/>
        <brk id="30488" max="16383" man="1"/>
        <brk id="30687" max="16383" man="1"/>
        <brk id="30886" max="16383" man="1"/>
        <brk id="31085" max="16383" man="1"/>
        <brk id="31284" max="16383" man="1"/>
        <brk id="31483" max="16383" man="1"/>
        <brk id="31682" max="16383" man="1"/>
        <brk id="31881" max="16383" man="1"/>
        <brk id="32080" max="16383" man="1"/>
        <brk id="32279" max="16383" man="1"/>
        <brk id="32478" max="16383" man="1"/>
        <brk id="32677" max="16383" man="1"/>
        <brk id="32876" max="16383" man="1"/>
        <brk id="33075" max="16383" man="1"/>
        <brk id="33274" max="16383" man="1"/>
        <brk id="33473" max="16383" man="1"/>
        <brk id="33672" max="16383" man="1"/>
        <brk id="33871" max="16383" man="1"/>
        <brk id="34070" max="16383" man="1"/>
        <brk id="34269" max="16383" man="1"/>
        <brk id="34468" max="16383" man="1"/>
        <brk id="34667" max="16383" man="1"/>
        <brk id="34866" max="16383" man="1"/>
        <brk id="35065" max="16383" man="1"/>
        <brk id="35264" max="16383" man="1"/>
        <brk id="35463" max="16383" man="1"/>
        <brk id="35662" max="16383" man="1"/>
        <brk id="35861" max="16383" man="1"/>
        <brk id="36060" max="16383" man="1"/>
        <brk id="36259" max="16383" man="1"/>
        <brk id="36458" max="16383" man="1"/>
        <brk id="36657" max="16383" man="1"/>
        <brk id="36856" max="16383" man="1"/>
        <brk id="37055" max="16383" man="1"/>
        <brk id="37254" max="16383" man="1"/>
        <brk id="37453" max="16383" man="1"/>
        <brk id="37652" max="16383" man="1"/>
        <brk id="37851" max="16383" man="1"/>
        <brk id="38050" max="16383" man="1"/>
        <brk id="38249" max="16383" man="1"/>
        <brk id="38448" max="16383" man="1"/>
        <brk id="38647" max="16383" man="1"/>
        <brk id="38846" max="16383" man="1"/>
        <brk id="39045" max="16383" man="1"/>
        <brk id="39244" max="16383" man="1"/>
        <brk id="39443" max="16383" man="1"/>
        <brk id="39642" max="16383" man="1"/>
        <brk id="39841" max="16383" man="1"/>
        <brk id="40040" max="16383" man="1"/>
        <brk id="40239" max="16383" man="1"/>
        <brk id="40438" max="16383" man="1"/>
        <brk id="40637" max="16383" man="1"/>
        <brk id="40836" max="16383" man="1"/>
        <brk id="41035" max="16383" man="1"/>
        <brk id="41234" max="16383" man="1"/>
        <brk id="41433" max="16383" man="1"/>
        <brk id="41632" max="16383" man="1"/>
        <brk id="41831" max="16383" man="1"/>
        <brk id="42030" max="16383" man="1"/>
        <brk id="42229" max="16383" man="1"/>
        <brk id="42428" max="16383" man="1"/>
        <brk id="42627" max="16383" man="1"/>
        <brk id="42826" max="16383" man="1"/>
        <brk id="43025" max="16383" man="1"/>
        <brk id="43224" max="16383" man="1"/>
        <brk id="43423" max="16383" man="1"/>
        <brk id="43622" max="16383" man="1"/>
        <brk id="43821" max="16383" man="1"/>
        <brk id="44020" max="16383" man="1"/>
        <brk id="44219" max="16383" man="1"/>
        <brk id="44418" max="16383" man="1"/>
        <brk id="44617" max="16383" man="1"/>
        <brk id="44816" max="16383" man="1"/>
        <brk id="45015" max="16383" man="1"/>
        <brk id="45214" max="16383" man="1"/>
        <brk id="45413" max="16383" man="1"/>
        <brk id="45612" max="16383" man="1"/>
        <brk id="45811" max="16383" man="1"/>
        <brk id="46010" max="16383" man="1"/>
        <brk id="46209" max="16383" man="1"/>
        <brk id="46408" max="16383" man="1"/>
        <brk id="46607" max="16383" man="1"/>
        <brk id="46806" max="16383" man="1"/>
        <brk id="47005" max="16383" man="1"/>
        <brk id="47204" max="16383" man="1"/>
        <brk id="47403" max="16383" man="1"/>
        <brk id="47602" max="16383" man="1"/>
        <brk id="47801" max="16383" man="1"/>
        <brk id="48000" max="16383" man="1"/>
        <brk id="48199" max="16383" man="1"/>
        <brk id="48398" max="16383" man="1"/>
        <brk id="48597" max="16383" man="1"/>
        <brk id="48796" max="16383" man="1"/>
        <brk id="48995" max="16383" man="1"/>
        <brk id="49194" max="16383" man="1"/>
        <brk id="49393" max="16383" man="1"/>
        <brk id="49592" max="16383" man="1"/>
        <brk id="49791" max="16383" man="1"/>
        <brk id="49990" max="16383" man="1"/>
        <brk id="50189" max="16383" man="1"/>
        <brk id="50388" max="16383" man="1"/>
        <brk id="50587" max="16383" man="1"/>
        <brk id="50786" max="16383" man="1"/>
        <brk id="50985" max="16383" man="1"/>
        <brk id="51184" max="16383" man="1"/>
        <brk id="51383" max="16383" man="1"/>
        <brk id="51582" max="16383" man="1"/>
        <brk id="51781" max="16383" man="1"/>
        <brk id="51980" max="16383" man="1"/>
        <brk id="52179" max="16383" man="1"/>
        <brk id="52378" max="16383" man="1"/>
        <brk id="52577" max="16383" man="1"/>
        <brk id="52776" max="16383" man="1"/>
        <brk id="52975" max="16383" man="1"/>
        <brk id="53174" max="16383" man="1"/>
        <brk id="53373" max="16383" man="1"/>
        <brk id="53572" max="16383" man="1"/>
        <brk id="53771" max="16383" man="1"/>
        <brk id="53970" max="16383" man="1"/>
        <brk id="54169" max="16383" man="1"/>
        <brk id="54368" max="16383" man="1"/>
        <brk id="54567" max="16383" man="1"/>
        <brk id="54766" max="16383" man="1"/>
        <brk id="54965" max="16383" man="1"/>
        <brk id="55164" max="16383" man="1"/>
        <brk id="55363" max="16383" man="1"/>
        <brk id="55562" max="16383" man="1"/>
        <brk id="55761" max="16383" man="1"/>
        <brk id="55960" max="16383" man="1"/>
        <brk id="56159" max="16383" man="1"/>
        <brk id="56358" max="16383" man="1"/>
        <brk id="56557" max="16383" man="1"/>
        <brk id="56756" max="16383" man="1"/>
        <brk id="56955" max="16383" man="1"/>
        <brk id="57154" max="16383" man="1"/>
        <brk id="57353" max="16383" man="1"/>
        <brk id="57552" max="16383" man="1"/>
        <brk id="57751" max="16383" man="1"/>
        <brk id="57950" max="16383" man="1"/>
        <brk id="58149" max="16383" man="1"/>
        <brk id="58348" max="16383" man="1"/>
        <brk id="58547" max="16383" man="1"/>
        <brk id="58746" max="16383" man="1"/>
        <brk id="58945" max="16383" man="1"/>
        <brk id="59144" max="16383" man="1"/>
        <brk id="59343" max="16383" man="1"/>
        <brk id="59542" max="16383" man="1"/>
        <brk id="59741" max="16383" man="1"/>
        <brk id="59940" max="16383" man="1"/>
        <brk id="60139" max="16383" man="1"/>
        <brk id="60338" max="16383" man="1"/>
        <brk id="60537" max="16383" man="1"/>
        <brk id="60736" max="16383" man="1"/>
        <brk id="60935" max="16383" man="1"/>
        <brk id="61134" max="16383" man="1"/>
        <brk id="61333" max="16383" man="1"/>
        <brk id="61532" max="16383" man="1"/>
        <brk id="61731" max="16383" man="1"/>
        <brk id="61930" max="16383" man="1"/>
        <brk id="62129" max="16383" man="1"/>
        <brk id="62328" max="16383" man="1"/>
        <brk id="62527" max="16383" man="1"/>
        <brk id="62726" max="16383" man="1"/>
        <brk id="62925" max="16383" man="1"/>
        <brk id="63124" max="16383" man="1"/>
        <brk id="63323" max="16383" man="1"/>
        <brk id="63522" max="16383" man="1"/>
        <brk id="63721" max="16383" man="1"/>
        <brk id="63920" max="16383" man="1"/>
        <brk id="64119" max="16383" man="1"/>
        <brk id="64318" max="16383" man="1"/>
        <brk id="64517" max="16383" man="1"/>
        <brk id="64716" max="16383" man="1"/>
        <brk id="64915" max="16383" man="1"/>
        <brk id="65114" max="16383" man="1"/>
        <brk id="65313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verticalDpi="4294967293" r:id="rId4"/>
      <headerFooter alignWithMargins="0">
        <oddHeader>&amp;L&amp;G&amp;CSoLe Mia Stabilized Year 1 Budget
&amp;R&amp;D</oddHeader>
      </headerFooter>
    </customSheetView>
    <customSheetView guid="{932A7D91-0C1E-4536-9603-41BE3B00586E}" scale="90" fitToPage="1" printArea="1" hiddenRows="1">
      <selection activeCell="P7" sqref="P7"/>
      <rowBreaks count="1" manualBreakCount="1">
        <brk id="76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r:id="rId5"/>
      <headerFooter alignWithMargins="0">
        <oddHeader>&amp;L&amp;G&amp;CBAYSHORE GROVE
 Year 1 Budget
&amp;R&amp;D</oddHeader>
      </headerFooter>
    </customSheetView>
    <customSheetView guid="{DE2360E6-2B91-4F5C-9697-CB1D2265B97A}" scale="90" showPageBreaks="1" fitToPage="1" printArea="1" hiddenRows="1">
      <selection activeCell="C147" sqref="C147"/>
      <rowBreaks count="1" manualBreakCount="1">
        <brk id="76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r:id="rId6"/>
      <headerFooter alignWithMargins="0">
        <oddHeader>&amp;L&amp;G&amp;CBAYSHORE GROVE
 Year 1 Budget
&amp;R&amp;D</oddHeader>
      </headerFooter>
    </customSheetView>
    <customSheetView guid="{20D88610-093B-4F6F-9D08-6EE3E18F1365}" scale="90" fitToPage="1" topLeftCell="A166">
      <selection activeCell="C173" sqref="C173"/>
      <rowBreaks count="1" manualBreakCount="1">
        <brk id="88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r:id="rId7"/>
      <headerFooter alignWithMargins="0">
        <oddHeader>&amp;L&amp;G&amp;C&amp;"Calibri,Regular"2017 BUDGET&amp;R&amp;D</oddHeader>
      </headerFooter>
    </customSheetView>
    <customSheetView guid="{238B6A19-3218-4587-9C80-5E68600CCC2E}" scale="90" showPageBreaks="1" fitToPage="1" printArea="1" hiddenRows="1" topLeftCell="A166">
      <selection activeCell="B194" sqref="B194"/>
      <rowBreaks count="3" manualBreakCount="3">
        <brk id="73" max="16383" man="1"/>
        <brk id="149" max="16383" man="1"/>
        <brk id="226" max="16383" man="1"/>
      </rowBreaks>
      <pageMargins left="0.25" right="0.25" top="1.0833333329999999" bottom="0.36111111099999998" header="0.5" footer="0.5"/>
      <printOptions horizontalCentered="1"/>
      <pageSetup scale="49" fitToHeight="0" orientation="landscape" r:id="rId8"/>
      <headerFooter alignWithMargins="0">
        <oddHeader>&amp;L&amp;G&amp;C&amp;"Calibri,Regular"2017 BUDGET&amp;R&amp;D</oddHeader>
      </headerFooter>
    </customSheetView>
    <customSheetView guid="{BBC4A248-3FF0-4C22-89A9-106C1C902C44}" scale="80" fitToPage="1" printArea="1">
      <selection activeCell="J24" sqref="J24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.25" right="0.25" top="1.0833333329999999" bottom="0.36111111099999998" header="0.5" footer="0.5"/>
      <printOptions horizontalCentered="1"/>
      <pageSetup scale="47" fitToHeight="0" orientation="landscape" verticalDpi="4294967293" r:id="rId9"/>
      <headerFooter alignWithMargins="0">
        <oddHeader>&amp;L&amp;G&amp;C
&amp;R&amp;D</oddHeader>
      </headerFooter>
    </customSheetView>
    <customSheetView guid="{97516F51-8B9A-4ED3-BCEB-36791F0F2C00}" scale="80" showPageBreaks="1" fitToPage="1" printArea="1" topLeftCell="A43">
      <selection activeCell="A67" sqref="A67"/>
      <rowBreaks count="331" manualBreakCount="331">
        <brk id="68" max="16383" man="1"/>
        <brk id="145" max="15" man="1"/>
        <brk id="148" max="15" man="1"/>
        <brk id="273" max="16383" man="1"/>
        <brk id="472" max="16383" man="1"/>
        <brk id="671" max="16383" man="1"/>
        <brk id="870" max="16383" man="1"/>
        <brk id="1069" max="16383" man="1"/>
        <brk id="1268" max="16383" man="1"/>
        <brk id="1467" max="16383" man="1"/>
        <brk id="1666" max="16383" man="1"/>
        <brk id="1865" max="16383" man="1"/>
        <brk id="2064" max="16383" man="1"/>
        <brk id="2263" max="16383" man="1"/>
        <brk id="2462" max="16383" man="1"/>
        <brk id="2661" max="16383" man="1"/>
        <brk id="2860" max="16383" man="1"/>
        <brk id="3059" max="16383" man="1"/>
        <brk id="3258" max="16383" man="1"/>
        <brk id="3457" max="16383" man="1"/>
        <brk id="3656" max="16383" man="1"/>
        <brk id="3855" max="16383" man="1"/>
        <brk id="4054" max="16383" man="1"/>
        <brk id="4253" max="16383" man="1"/>
        <brk id="4452" max="16383" man="1"/>
        <brk id="4651" max="16383" man="1"/>
        <brk id="4850" max="16383" man="1"/>
        <brk id="5049" max="16383" man="1"/>
        <brk id="5248" max="16383" man="1"/>
        <brk id="5447" max="16383" man="1"/>
        <brk id="5646" max="16383" man="1"/>
        <brk id="5845" max="16383" man="1"/>
        <brk id="6044" max="16383" man="1"/>
        <brk id="6243" max="16383" man="1"/>
        <brk id="6442" max="16383" ma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      <brk id="7835" max="16383" man="1"/>
        <brk id="8034" max="16383" man="1"/>
        <brk id="8233" max="16383" man="1"/>
        <brk id="8432" max="16383" man="1"/>
        <brk id="8631" max="16383" man="1"/>
        <brk id="8830" max="16383" man="1"/>
        <brk id="9029" max="16383" man="1"/>
        <brk id="9228" max="16383" man="1"/>
        <brk id="9427" max="16383" man="1"/>
        <brk id="9626" max="16383" man="1"/>
        <brk id="9825" max="16383" man="1"/>
        <brk id="10024" max="16383" man="1"/>
        <brk id="10223" max="16383" man="1"/>
        <brk id="10422" max="16383" man="1"/>
        <brk id="10621" max="16383" man="1"/>
        <brk id="10820" max="16383" man="1"/>
        <brk id="11019" max="16383" man="1"/>
        <brk id="11218" max="16383" man="1"/>
        <brk id="11417" max="16383" man="1"/>
        <brk id="11616" max="16383" man="1"/>
        <brk id="11815" max="16383" man="1"/>
        <brk id="12014" max="16383" man="1"/>
        <brk id="12213" max="16383" man="1"/>
        <brk id="12412" max="16383" man="1"/>
        <brk id="12611" max="16383" man="1"/>
        <brk id="12810" max="16383" man="1"/>
        <brk id="13009" max="16383" man="1"/>
        <brk id="13208" max="16383" man="1"/>
        <brk id="13407" max="16383" man="1"/>
        <brk id="13606" max="16383" man="1"/>
        <brk id="13805" max="16383" man="1"/>
        <brk id="14004" max="16383" man="1"/>
        <brk id="14203" max="16383" man="1"/>
        <brk id="14402" max="16383" man="1"/>
        <brk id="14601" max="16383" man="1"/>
        <brk id="14800" max="16383" man="1"/>
        <brk id="14999" max="16383" man="1"/>
        <brk id="15198" max="16383" man="1"/>
        <brk id="15397" max="16383" man="1"/>
        <brk id="15596" max="16383" man="1"/>
        <brk id="15795" max="16383" man="1"/>
        <brk id="15994" max="16383" man="1"/>
        <brk id="16193" max="16383" man="1"/>
        <brk id="16392" max="16383" man="1"/>
        <brk id="16591" max="16383" man="1"/>
        <brk id="16790" max="16383" man="1"/>
        <brk id="16989" max="16383" man="1"/>
        <brk id="17188" max="16383" man="1"/>
        <brk id="17387" max="16383" man="1"/>
        <brk id="17586" max="16383" man="1"/>
        <brk id="17785" max="16383" man="1"/>
        <brk id="17984" max="16383" man="1"/>
        <brk id="18183" max="16383" man="1"/>
        <brk id="18382" max="16383" man="1"/>
        <brk id="18581" max="16383" man="1"/>
        <brk id="18780" max="16383" man="1"/>
        <brk id="18979" max="16383" man="1"/>
        <brk id="19178" max="16383" man="1"/>
        <brk id="19377" max="16383" man="1"/>
        <brk id="19576" max="16383" man="1"/>
        <brk id="19775" max="16383" man="1"/>
        <brk id="19974" max="16383" man="1"/>
        <brk id="20173" max="16383" man="1"/>
        <brk id="20372" max="16383" man="1"/>
        <brk id="20571" max="16383" man="1"/>
        <brk id="20770" max="16383" man="1"/>
        <brk id="20969" max="16383" man="1"/>
        <brk id="21168" max="16383" man="1"/>
        <brk id="21367" max="16383" man="1"/>
        <brk id="21566" max="16383" man="1"/>
        <brk id="21765" max="16383" man="1"/>
        <brk id="21964" max="16383" man="1"/>
        <brk id="22163" max="16383" man="1"/>
        <brk id="22362" max="16383" man="1"/>
        <brk id="22561" max="16383" man="1"/>
        <brk id="22760" max="16383" man="1"/>
        <brk id="22959" max="16383" man="1"/>
        <brk id="23158" max="16383" man="1"/>
        <brk id="23357" max="16383" man="1"/>
        <brk id="23556" max="16383" man="1"/>
        <brk id="23755" max="16383" man="1"/>
        <brk id="23954" max="16383" man="1"/>
        <brk id="24153" max="16383" man="1"/>
        <brk id="24352" max="16383" man="1"/>
        <brk id="24551" max="16383" man="1"/>
        <brk id="24750" max="16383" man="1"/>
        <brk id="24949" max="16383" man="1"/>
        <brk id="25148" max="16383" man="1"/>
        <brk id="25347" max="16383" man="1"/>
        <brk id="25546" max="16383" man="1"/>
        <brk id="25745" max="16383" man="1"/>
        <brk id="25944" max="16383" man="1"/>
        <brk id="26143" max="16383" man="1"/>
        <brk id="26342" max="16383" man="1"/>
        <brk id="26541" max="16383" man="1"/>
        <brk id="26740" max="16383" man="1"/>
        <brk id="26939" max="16383" man="1"/>
        <brk id="27138" max="16383" man="1"/>
        <brk id="27337" max="16383" man="1"/>
        <brk id="27536" max="16383" man="1"/>
        <brk id="27735" max="16383" man="1"/>
        <brk id="27934" max="16383" man="1"/>
        <brk id="28133" max="16383" man="1"/>
        <brk id="28332" max="16383" man="1"/>
        <brk id="28531" max="16383" man="1"/>
        <brk id="28730" max="16383" man="1"/>
        <brk id="28929" max="16383" man="1"/>
        <brk id="29128" max="16383" man="1"/>
        <brk id="29327" max="16383" man="1"/>
        <brk id="29526" max="16383" man="1"/>
        <brk id="29725" max="16383" man="1"/>
        <brk id="29924" max="16383" man="1"/>
        <brk id="30123" max="16383" man="1"/>
        <brk id="30322" max="16383" man="1"/>
        <brk id="30521" max="16383" man="1"/>
        <brk id="30720" max="16383" man="1"/>
        <brk id="30919" max="16383" man="1"/>
        <brk id="31118" max="16383" man="1"/>
        <brk id="31317" max="16383" man="1"/>
        <brk id="31516" max="16383" man="1"/>
        <brk id="31715" max="16383" man="1"/>
        <brk id="31914" max="16383" man="1"/>
        <brk id="32113" max="16383" man="1"/>
        <brk id="32312" max="16383" man="1"/>
        <brk id="32511" max="16383" man="1"/>
        <brk id="32710" max="16383" man="1"/>
        <brk id="32909" max="16383" man="1"/>
        <brk id="33108" max="16383" man="1"/>
        <brk id="33307" max="16383" man="1"/>
        <brk id="33506" max="16383" man="1"/>
        <brk id="33705" max="16383" man="1"/>
        <brk id="33904" max="16383" man="1"/>
        <brk id="34103" max="16383" man="1"/>
        <brk id="34302" max="16383" man="1"/>
        <brk id="34501" max="16383" man="1"/>
        <brk id="34700" max="16383" man="1"/>
        <brk id="34899" max="16383" man="1"/>
        <brk id="35098" max="16383" man="1"/>
        <brk id="35297" max="16383" man="1"/>
        <brk id="35496" max="16383" man="1"/>
        <brk id="35695" max="16383" man="1"/>
        <brk id="35894" max="16383" man="1"/>
        <brk id="36093" max="16383" man="1"/>
        <brk id="36292" max="16383" man="1"/>
        <brk id="36491" max="16383" man="1"/>
        <brk id="36690" max="16383" man="1"/>
        <brk id="36889" max="16383" man="1"/>
        <brk id="37088" max="16383" man="1"/>
        <brk id="37287" max="16383" man="1"/>
        <brk id="37486" max="16383" man="1"/>
        <brk id="37685" max="16383" man="1"/>
        <brk id="37884" max="16383" man="1"/>
        <brk id="38083" max="16383" man="1"/>
        <brk id="38282" max="16383" man="1"/>
        <brk id="38481" max="16383" man="1"/>
        <brk id="38680" max="16383" man="1"/>
        <brk id="38879" max="16383" man="1"/>
        <brk id="39078" max="16383" man="1"/>
        <brk id="39277" max="16383" man="1"/>
        <brk id="39476" max="16383" man="1"/>
        <brk id="39675" max="16383" man="1"/>
        <brk id="39874" max="16383" man="1"/>
        <brk id="40073" max="16383" man="1"/>
        <brk id="40272" max="16383" man="1"/>
        <brk id="40471" max="16383" man="1"/>
        <brk id="40670" max="16383" man="1"/>
        <brk id="40869" max="16383" man="1"/>
        <brk id="41068" max="16383" man="1"/>
        <brk id="41267" max="16383" man="1"/>
        <brk id="41466" max="16383" man="1"/>
        <brk id="41665" max="16383" man="1"/>
        <brk id="41864" max="16383" man="1"/>
        <brk id="42063" max="16383" man="1"/>
        <brk id="42262" max="16383" man="1"/>
        <brk id="42461" max="16383" man="1"/>
        <brk id="42660" max="16383" man="1"/>
        <brk id="42859" max="16383" man="1"/>
        <brk id="43058" max="16383" man="1"/>
        <brk id="43257" max="16383" man="1"/>
        <brk id="43456" max="16383" man="1"/>
        <brk id="43655" max="16383" man="1"/>
        <brk id="43854" max="16383" man="1"/>
        <brk id="44053" max="16383" man="1"/>
        <brk id="44252" max="16383" man="1"/>
        <brk id="44451" max="16383" man="1"/>
        <brk id="44650" max="16383" man="1"/>
        <brk id="44849" max="16383" man="1"/>
        <brk id="45048" max="16383" man="1"/>
        <brk id="45247" max="16383" man="1"/>
        <brk id="45446" max="16383" man="1"/>
        <brk id="45645" max="16383" man="1"/>
        <brk id="45844" max="16383" man="1"/>
        <brk id="46043" max="16383" man="1"/>
        <brk id="46242" max="16383" man="1"/>
        <brk id="46441" max="16383" man="1"/>
        <brk id="46640" max="16383" man="1"/>
        <brk id="46839" max="16383" man="1"/>
        <brk id="47038" max="16383" man="1"/>
        <brk id="47237" max="16383" man="1"/>
        <brk id="47436" max="16383" man="1"/>
        <brk id="47635" max="16383" man="1"/>
        <brk id="47834" max="16383" man="1"/>
        <brk id="48033" max="16383" man="1"/>
        <brk id="48232" max="16383" man="1"/>
        <brk id="48431" max="16383" man="1"/>
        <brk id="48630" max="16383" man="1"/>
        <brk id="48829" max="16383" man="1"/>
        <brk id="49028" max="16383" man="1"/>
        <brk id="49227" max="16383" man="1"/>
        <brk id="49426" max="16383" man="1"/>
        <brk id="49625" max="16383" man="1"/>
        <brk id="49824" max="16383" man="1"/>
        <brk id="50023" max="16383" man="1"/>
        <brk id="50222" max="16383" man="1"/>
        <brk id="50421" max="16383" man="1"/>
        <brk id="50620" max="16383" man="1"/>
        <brk id="50819" max="16383" man="1"/>
        <brk id="51018" max="16383" man="1"/>
        <brk id="51217" max="16383" man="1"/>
        <brk id="51416" max="16383" man="1"/>
        <brk id="51615" max="16383" man="1"/>
        <brk id="51814" max="16383" man="1"/>
        <brk id="52013" max="16383" man="1"/>
        <brk id="52212" max="16383" man="1"/>
        <brk id="52411" max="16383" man="1"/>
        <brk id="52610" max="16383" man="1"/>
        <brk id="52809" max="16383" man="1"/>
        <brk id="53008" max="16383" man="1"/>
        <brk id="53207" max="16383" man="1"/>
        <brk id="53406" max="16383" man="1"/>
        <brk id="53605" max="16383" man="1"/>
        <brk id="53804" max="16383" man="1"/>
        <brk id="54003" max="16383" man="1"/>
        <brk id="54202" max="16383" man="1"/>
        <brk id="54401" max="16383" man="1"/>
        <brk id="54600" max="16383" man="1"/>
        <brk id="54799" max="16383" man="1"/>
        <brk id="54998" max="16383" man="1"/>
        <brk id="55197" max="16383" man="1"/>
        <brk id="55396" max="16383" man="1"/>
        <brk id="55595" max="16383" man="1"/>
        <brk id="55794" max="16383" man="1"/>
        <brk id="55993" max="16383" man="1"/>
        <brk id="56192" max="16383" man="1"/>
        <brk id="56391" max="16383" man="1"/>
        <brk id="56590" max="16383" man="1"/>
        <brk id="56789" max="16383" man="1"/>
        <brk id="56988" max="16383" man="1"/>
        <brk id="57187" max="16383" man="1"/>
        <brk id="57386" max="16383" man="1"/>
        <brk id="57585" max="16383" man="1"/>
        <brk id="57784" max="16383" man="1"/>
        <brk id="57983" max="16383" man="1"/>
        <brk id="58182" max="16383" man="1"/>
        <brk id="58381" max="16383" man="1"/>
        <brk id="58580" max="16383" man="1"/>
        <brk id="58779" max="16383" man="1"/>
        <brk id="58978" max="16383" man="1"/>
        <brk id="59177" max="16383" man="1"/>
        <brk id="59376" max="16383" man="1"/>
        <brk id="59575" max="16383" man="1"/>
        <brk id="59774" max="16383" man="1"/>
        <brk id="59973" max="16383" man="1"/>
        <brk id="60172" max="16383" man="1"/>
        <brk id="60371" max="16383" man="1"/>
        <brk id="60570" max="16383" man="1"/>
        <brk id="60769" max="16383" man="1"/>
        <brk id="60968" max="16383" man="1"/>
        <brk id="61167" max="16383" man="1"/>
        <brk id="61366" max="16383" man="1"/>
        <brk id="61565" max="16383" man="1"/>
        <brk id="61764" max="16383" man="1"/>
        <brk id="61963" max="16383" man="1"/>
        <brk id="62162" max="16383" man="1"/>
        <brk id="62361" max="16383" man="1"/>
        <brk id="62560" max="16383" man="1"/>
        <brk id="62759" max="16383" man="1"/>
        <brk id="62958" max="16383" man="1"/>
        <brk id="63157" max="16383" man="1"/>
        <brk id="63356" max="16383" man="1"/>
        <brk id="63555" max="16383" man="1"/>
        <brk id="63754" max="16383" man="1"/>
        <brk id="63953" max="16383" man="1"/>
        <brk id="64152" max="16383" man="1"/>
        <brk id="64351" max="16383" man="1"/>
        <brk id="64550" max="16383" man="1"/>
        <brk id="64749" max="16383" man="1"/>
        <brk id="64948" max="16383" man="1"/>
        <brk id="65147" max="16383" man="1"/>
        <brk id="65346" max="16383" man="1"/>
      </rowBreaks>
      <pageMargins left="0.25" right="0.25" top="1.0833333329999999" bottom="0.36111111099999998" header="0.5" footer="0.5"/>
      <printOptions horizontalCentered="1"/>
      <pageSetup scale="48" fitToHeight="0" orientation="landscape" verticalDpi="4294967293" r:id="rId10"/>
      <headerFooter alignWithMargins="0">
        <oddHeader>&amp;L&amp;G&amp;C
&amp;R&amp;D</oddHeader>
      </headerFooter>
    </customSheetView>
  </customSheetViews>
  <phoneticPr fontId="0" type="noConversion"/>
  <conditionalFormatting sqref="A354:C357 S349 E350:E357 E7:E43 A167:C171 C22:C43 A8:C8 F359:S359 A73:C80 A17:C20 B7:C7 B9:C16 B21:C21 A89:C92 B81:C88 A136:C139 A151:C156 B140:C147 B157:C165 A214:C218 B172:C213 A232:C236 B219:C231 A257:C264 A273:C274 B265:C272 A276:C282 B275:C275 A313:C317 B318:C348 B350:C353 B22:B45 D7:D45 B46:C72 D280:D313 B283:C312 D149:R165 B149:C150 B148:R148 B237:C256 E167:E348 F167:R357 B93:C135 F7:R45 D166:D278 R166 D46:R147">
    <cfRule type="expression" dxfId="7" priority="50">
      <formula>MOD(ROW(),2)=1</formula>
    </cfRule>
  </conditionalFormatting>
  <conditionalFormatting sqref="B349:C349 E349">
    <cfRule type="expression" dxfId="6" priority="52">
      <formula>MOD(ROW(),2)=1</formula>
    </cfRule>
  </conditionalFormatting>
  <conditionalFormatting sqref="E44:E45 C44:C45">
    <cfRule type="expression" dxfId="5" priority="36">
      <formula>MOD(ROW(),2)=1</formula>
    </cfRule>
  </conditionalFormatting>
  <conditionalFormatting sqref="D315:D357">
    <cfRule type="expression" dxfId="4" priority="7">
      <formula>MOD(ROW(),2)=1</formula>
    </cfRule>
  </conditionalFormatting>
  <conditionalFormatting sqref="D279">
    <cfRule type="expression" dxfId="3" priority="4">
      <formula>MOD(ROW(),2)=1</formula>
    </cfRule>
  </conditionalFormatting>
  <conditionalFormatting sqref="D314">
    <cfRule type="expression" dxfId="2" priority="3">
      <formula>MOD(ROW(),2)=1</formula>
    </cfRule>
  </conditionalFormatting>
  <printOptions horizontalCentered="1"/>
  <pageMargins left="0.25" right="0.25" top="1.0833333329999999" bottom="0.36111111099999998" header="0.5" footer="0.5"/>
  <pageSetup scale="47" fitToHeight="0" orientation="landscape" r:id="rId11"/>
  <headerFooter alignWithMargins="0">
    <oddHeader>&amp;L&amp;G&amp;C
&amp;R&amp;D</oddHeader>
  </headerFooter>
  <rowBreaks count="328" manualBreakCount="328">
    <brk id="397" max="16383" man="1"/>
    <brk id="596" max="16383" man="1"/>
    <brk id="795" max="16383" man="1"/>
    <brk id="994" max="16383" man="1"/>
    <brk id="1193" max="16383" man="1"/>
    <brk id="1392" max="16383" man="1"/>
    <brk id="1591" max="16383" man="1"/>
    <brk id="1790" max="16383" man="1"/>
    <brk id="1989" max="16383" man="1"/>
    <brk id="2188" max="16383" man="1"/>
    <brk id="2387" max="16383" man="1"/>
    <brk id="2586" max="16383" man="1"/>
    <brk id="2785" max="16383" man="1"/>
    <brk id="2984" max="16383" man="1"/>
    <brk id="3183" max="16383" man="1"/>
    <brk id="3382" max="16383" man="1"/>
    <brk id="3581" max="16383" man="1"/>
    <brk id="3780" max="16383" man="1"/>
    <brk id="3979" max="16383" man="1"/>
    <brk id="4178" max="16383" man="1"/>
    <brk id="4377" max="16383" man="1"/>
    <brk id="4576" max="16383" man="1"/>
    <brk id="4775" max="16383" man="1"/>
    <brk id="4974" max="16383" man="1"/>
    <brk id="5173" max="16383" man="1"/>
    <brk id="5372" max="16383" man="1"/>
    <brk id="5571" max="16383" man="1"/>
    <brk id="5770" max="16383" man="1"/>
    <brk id="5969" max="16383" man="1"/>
    <brk id="6168" max="16383" man="1"/>
    <brk id="6367" max="16383" man="1"/>
    <brk id="6566" max="16383" man="1"/>
    <brk id="6765" max="16383" man="1"/>
    <brk id="6964" max="16383" man="1"/>
    <brk id="7163" max="16383" man="1"/>
    <brk id="7362" max="16383" man="1"/>
    <brk id="7561" max="16383" man="1"/>
    <brk id="7760" max="16383" man="1"/>
    <brk id="7959" max="16383" man="1"/>
    <brk id="8158" max="16383" man="1"/>
    <brk id="8357" max="16383" man="1"/>
    <brk id="8556" max="16383" man="1"/>
    <brk id="8755" max="16383" man="1"/>
    <brk id="8954" max="16383" man="1"/>
    <brk id="9153" max="16383" man="1"/>
    <brk id="9352" max="16383" man="1"/>
    <brk id="9551" max="16383" man="1"/>
    <brk id="9750" max="16383" man="1"/>
    <brk id="9949" max="16383" man="1"/>
    <brk id="10148" max="16383" man="1"/>
    <brk id="10347" max="16383" man="1"/>
    <brk id="10546" max="16383" man="1"/>
    <brk id="10745" max="16383" man="1"/>
    <brk id="10944" max="16383" man="1"/>
    <brk id="11143" max="16383" man="1"/>
    <brk id="11342" max="16383" man="1"/>
    <brk id="11541" max="16383" man="1"/>
    <brk id="11740" max="16383" man="1"/>
    <brk id="11939" max="16383" man="1"/>
    <brk id="12138" max="16383" man="1"/>
    <brk id="12337" max="16383" man="1"/>
    <brk id="12536" max="16383" man="1"/>
    <brk id="12735" max="16383" man="1"/>
    <brk id="12934" max="16383" man="1"/>
    <brk id="13133" max="16383" man="1"/>
    <brk id="13332" max="16383" man="1"/>
    <brk id="13531" max="16383" man="1"/>
    <brk id="13730" max="16383" man="1"/>
    <brk id="13929" max="16383" man="1"/>
    <brk id="14128" max="16383" man="1"/>
    <brk id="14327" max="16383" man="1"/>
    <brk id="14526" max="16383" man="1"/>
    <brk id="14725" max="16383" man="1"/>
    <brk id="14924" max="16383" man="1"/>
    <brk id="15123" max="16383" man="1"/>
    <brk id="15322" max="16383" man="1"/>
    <brk id="15521" max="16383" man="1"/>
    <brk id="15720" max="16383" man="1"/>
    <brk id="15919" max="16383" man="1"/>
    <brk id="16118" max="16383" man="1"/>
    <brk id="16317" max="16383" man="1"/>
    <brk id="16516" max="16383" man="1"/>
    <brk id="16715" max="16383" man="1"/>
    <brk id="16914" max="16383" man="1"/>
    <brk id="17113" max="16383" man="1"/>
    <brk id="17312" max="16383" man="1"/>
    <brk id="17511" max="16383" man="1"/>
    <brk id="17710" max="16383" man="1"/>
    <brk id="17909" max="16383" man="1"/>
    <brk id="18108" max="16383" man="1"/>
    <brk id="18307" max="16383" man="1"/>
    <brk id="18506" max="16383" man="1"/>
    <brk id="18705" max="16383" man="1"/>
    <brk id="18904" max="16383" man="1"/>
    <brk id="19103" max="16383" man="1"/>
    <brk id="19302" max="16383" man="1"/>
    <brk id="19501" max="16383" man="1"/>
    <brk id="19700" max="16383" man="1"/>
    <brk id="19899" max="16383" man="1"/>
    <brk id="20098" max="16383" man="1"/>
    <brk id="20297" max="16383" man="1"/>
    <brk id="20496" max="16383" man="1"/>
    <brk id="20695" max="16383" man="1"/>
    <brk id="20894" max="16383" man="1"/>
    <brk id="21093" max="16383" man="1"/>
    <brk id="21292" max="16383" man="1"/>
    <brk id="21491" max="16383" man="1"/>
    <brk id="21690" max="16383" man="1"/>
    <brk id="21889" max="16383" man="1"/>
    <brk id="22088" max="16383" man="1"/>
    <brk id="22287" max="16383" man="1"/>
    <brk id="22486" max="16383" man="1"/>
    <brk id="22685" max="16383" man="1"/>
    <brk id="22884" max="16383" man="1"/>
    <brk id="23083" max="16383" man="1"/>
    <brk id="23282" max="16383" man="1"/>
    <brk id="23481" max="16383" man="1"/>
    <brk id="23680" max="16383" man="1"/>
    <brk id="23879" max="16383" man="1"/>
    <brk id="24078" max="16383" man="1"/>
    <brk id="24277" max="16383" man="1"/>
    <brk id="24476" max="16383" man="1"/>
    <brk id="24675" max="16383" man="1"/>
    <brk id="24874" max="16383" man="1"/>
    <brk id="25073" max="16383" man="1"/>
    <brk id="25272" max="16383" man="1"/>
    <brk id="25471" max="16383" man="1"/>
    <brk id="25670" max="16383" man="1"/>
    <brk id="25869" max="16383" man="1"/>
    <brk id="26068" max="16383" man="1"/>
    <brk id="26267" max="16383" man="1"/>
    <brk id="26466" max="16383" man="1"/>
    <brk id="26665" max="16383" man="1"/>
    <brk id="26864" max="16383" man="1"/>
    <brk id="27063" max="16383" man="1"/>
    <brk id="27262" max="16383" man="1"/>
    <brk id="27461" max="16383" man="1"/>
    <brk id="27660" max="16383" man="1"/>
    <brk id="27859" max="16383" man="1"/>
    <brk id="28058" max="16383" man="1"/>
    <brk id="28257" max="16383" man="1"/>
    <brk id="28456" max="16383" man="1"/>
    <brk id="28655" max="16383" man="1"/>
    <brk id="28854" max="16383" man="1"/>
    <brk id="29053" max="16383" man="1"/>
    <brk id="29252" max="16383" man="1"/>
    <brk id="29451" max="16383" man="1"/>
    <brk id="29650" max="16383" man="1"/>
    <brk id="29849" max="16383" man="1"/>
    <brk id="30048" max="16383" man="1"/>
    <brk id="30247" max="16383" man="1"/>
    <brk id="30446" max="16383" man="1"/>
    <brk id="30645" max="16383" man="1"/>
    <brk id="30844" max="16383" man="1"/>
    <brk id="31043" max="16383" man="1"/>
    <brk id="31242" max="16383" man="1"/>
    <brk id="31441" max="16383" man="1"/>
    <brk id="31640" max="16383" man="1"/>
    <brk id="31839" max="16383" man="1"/>
    <brk id="32038" max="16383" man="1"/>
    <brk id="32237" max="16383" man="1"/>
    <brk id="32436" max="16383" man="1"/>
    <brk id="32635" max="16383" man="1"/>
    <brk id="32834" max="16383" man="1"/>
    <brk id="33033" max="16383" man="1"/>
    <brk id="33232" max="16383" man="1"/>
    <brk id="33431" max="16383" man="1"/>
    <brk id="33630" max="16383" man="1"/>
    <brk id="33829" max="16383" man="1"/>
    <brk id="34028" max="16383" man="1"/>
    <brk id="34227" max="16383" man="1"/>
    <brk id="34426" max="16383" man="1"/>
    <brk id="34625" max="16383" man="1"/>
    <brk id="34824" max="16383" man="1"/>
    <brk id="35023" max="16383" man="1"/>
    <brk id="35222" max="16383" man="1"/>
    <brk id="35421" max="16383" man="1"/>
    <brk id="35620" max="16383" man="1"/>
    <brk id="35819" max="16383" man="1"/>
    <brk id="36018" max="16383" man="1"/>
    <brk id="36217" max="16383" man="1"/>
    <brk id="36416" max="16383" man="1"/>
    <brk id="36615" max="16383" man="1"/>
    <brk id="36814" max="16383" man="1"/>
    <brk id="37013" max="16383" man="1"/>
    <brk id="37212" max="16383" man="1"/>
    <brk id="37411" max="16383" man="1"/>
    <brk id="37610" max="16383" man="1"/>
    <brk id="37809" max="16383" man="1"/>
    <brk id="38008" max="16383" man="1"/>
    <brk id="38207" max="16383" man="1"/>
    <brk id="38406" max="16383" man="1"/>
    <brk id="38605" max="16383" man="1"/>
    <brk id="38804" max="16383" man="1"/>
    <brk id="39003" max="16383" man="1"/>
    <brk id="39202" max="16383" man="1"/>
    <brk id="39401" max="16383" man="1"/>
    <brk id="39600" max="16383" man="1"/>
    <brk id="39799" max="16383" man="1"/>
    <brk id="39998" max="16383" man="1"/>
    <brk id="40197" max="16383" man="1"/>
    <brk id="40396" max="16383" man="1"/>
    <brk id="40595" max="16383" man="1"/>
    <brk id="40794" max="16383" man="1"/>
    <brk id="40993" max="16383" man="1"/>
    <brk id="41192" max="16383" man="1"/>
    <brk id="41391" max="16383" man="1"/>
    <brk id="41590" max="16383" man="1"/>
    <brk id="41789" max="16383" man="1"/>
    <brk id="41988" max="16383" man="1"/>
    <brk id="42187" max="16383" man="1"/>
    <brk id="42386" max="16383" man="1"/>
    <brk id="42585" max="16383" man="1"/>
    <brk id="42784" max="16383" man="1"/>
    <brk id="42983" max="16383" man="1"/>
    <brk id="43182" max="16383" man="1"/>
    <brk id="43381" max="16383" man="1"/>
    <brk id="43580" max="16383" man="1"/>
    <brk id="43779" max="16383" man="1"/>
    <brk id="43978" max="16383" man="1"/>
    <brk id="44177" max="16383" man="1"/>
    <brk id="44376" max="16383" man="1"/>
    <brk id="44575" max="16383" man="1"/>
    <brk id="44774" max="16383" man="1"/>
    <brk id="44973" max="16383" man="1"/>
    <brk id="45172" max="16383" man="1"/>
    <brk id="45371" max="16383" man="1"/>
    <brk id="45570" max="16383" man="1"/>
    <brk id="45769" max="16383" man="1"/>
    <brk id="45968" max="16383" man="1"/>
    <brk id="46167" max="16383" man="1"/>
    <brk id="46366" max="16383" man="1"/>
    <brk id="46565" max="16383" man="1"/>
    <brk id="46764" max="16383" man="1"/>
    <brk id="46963" max="16383" man="1"/>
    <brk id="47162" max="16383" man="1"/>
    <brk id="47361" max="16383" man="1"/>
    <brk id="47560" max="16383" man="1"/>
    <brk id="47759" max="16383" man="1"/>
    <brk id="47958" max="16383" man="1"/>
    <brk id="48157" max="16383" man="1"/>
    <brk id="48356" max="16383" man="1"/>
    <brk id="48555" max="16383" man="1"/>
    <brk id="48754" max="16383" man="1"/>
    <brk id="48953" max="16383" man="1"/>
    <brk id="49152" max="16383" man="1"/>
    <brk id="49351" max="16383" man="1"/>
    <brk id="49550" max="16383" man="1"/>
    <brk id="49749" max="16383" man="1"/>
    <brk id="49948" max="16383" man="1"/>
    <brk id="50147" max="16383" man="1"/>
    <brk id="50346" max="16383" man="1"/>
    <brk id="50545" max="16383" man="1"/>
    <brk id="50744" max="16383" man="1"/>
    <brk id="50943" max="16383" man="1"/>
    <brk id="51142" max="16383" man="1"/>
    <brk id="51341" max="16383" man="1"/>
    <brk id="51540" max="16383" man="1"/>
    <brk id="51739" max="16383" man="1"/>
    <brk id="51938" max="16383" man="1"/>
    <brk id="52137" max="16383" man="1"/>
    <brk id="52336" max="16383" man="1"/>
    <brk id="52535" max="16383" man="1"/>
    <brk id="52734" max="16383" man="1"/>
    <brk id="52933" max="16383" man="1"/>
    <brk id="53132" max="16383" man="1"/>
    <brk id="53331" max="16383" man="1"/>
    <brk id="53530" max="16383" man="1"/>
    <brk id="53729" max="16383" man="1"/>
    <brk id="53928" max="16383" man="1"/>
    <brk id="54127" max="16383" man="1"/>
    <brk id="54326" max="16383" man="1"/>
    <brk id="54525" max="16383" man="1"/>
    <brk id="54724" max="16383" man="1"/>
    <brk id="54923" max="16383" man="1"/>
    <brk id="55122" max="16383" man="1"/>
    <brk id="55321" max="16383" man="1"/>
    <brk id="55520" max="16383" man="1"/>
    <brk id="55719" max="16383" man="1"/>
    <brk id="55918" max="16383" man="1"/>
    <brk id="56117" max="16383" man="1"/>
    <brk id="56316" max="16383" man="1"/>
    <brk id="56515" max="16383" man="1"/>
    <brk id="56714" max="16383" man="1"/>
    <brk id="56913" max="16383" man="1"/>
    <brk id="57112" max="16383" man="1"/>
    <brk id="57311" max="16383" man="1"/>
    <brk id="57510" max="16383" man="1"/>
    <brk id="57709" max="16383" man="1"/>
    <brk id="57908" max="16383" man="1"/>
    <brk id="58107" max="16383" man="1"/>
    <brk id="58306" max="16383" man="1"/>
    <brk id="58505" max="16383" man="1"/>
    <brk id="58704" max="16383" man="1"/>
    <brk id="58903" max="16383" man="1"/>
    <brk id="59102" max="16383" man="1"/>
    <brk id="59301" max="16383" man="1"/>
    <brk id="59500" max="16383" man="1"/>
    <brk id="59699" max="16383" man="1"/>
    <brk id="59898" max="16383" man="1"/>
    <brk id="60097" max="16383" man="1"/>
    <brk id="60296" max="16383" man="1"/>
    <brk id="60495" max="16383" man="1"/>
    <brk id="60694" max="16383" man="1"/>
    <brk id="60893" max="16383" man="1"/>
    <brk id="61092" max="16383" man="1"/>
    <brk id="61291" max="16383" man="1"/>
    <brk id="61490" max="16383" man="1"/>
    <brk id="61689" max="16383" man="1"/>
    <brk id="61888" max="16383" man="1"/>
    <brk id="62087" max="16383" man="1"/>
    <brk id="62286" max="16383" man="1"/>
    <brk id="62485" max="16383" man="1"/>
    <brk id="62684" max="16383" man="1"/>
    <brk id="62883" max="16383" man="1"/>
    <brk id="63082" max="16383" man="1"/>
    <brk id="63281" max="16383" man="1"/>
    <brk id="63480" max="16383" man="1"/>
    <brk id="63679" max="16383" man="1"/>
    <brk id="63878" max="16383" man="1"/>
    <brk id="64077" max="16383" man="1"/>
    <brk id="64276" max="16383" man="1"/>
    <brk id="64475" max="16383" man="1"/>
    <brk id="64674" max="16383" man="1"/>
    <brk id="64873" max="16383" man="1"/>
    <brk id="65072" max="16383" man="1"/>
    <brk id="65271" max="16383" man="1"/>
    <brk id="65470" max="16383" man="1"/>
  </rowBreaks>
  <ignoredErrors>
    <ignoredError sqref="J17:Q17 J358:Q377 F74 F313 F260:F265 F89 F315:F317 F354:F356 F17:F20 F136:F139 F91:F92 F152 F214 F232:F236 F272:F282 F358:F377 F10:F15 F78:F80 F216:F219 F167 F154:F156 F76 F169:F171" unlockedFormula="1"/>
  </ignoredErrors>
  <legacyDrawingHF r:id="rId1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S355"/>
  <sheetViews>
    <sheetView showGridLines="0" zoomScale="80" zoomScaleNormal="80" workbookViewId="0">
      <selection activeCell="I9" sqref="I9"/>
    </sheetView>
  </sheetViews>
  <sheetFormatPr baseColWidth="10" defaultColWidth="9.1640625" defaultRowHeight="14" outlineLevelCol="1"/>
  <cols>
    <col min="1" max="1" width="9.1640625" style="10"/>
    <col min="2" max="2" width="38.6640625" style="10" bestFit="1" customWidth="1"/>
    <col min="3" max="6" width="10.83203125" style="10" hidden="1" customWidth="1" outlineLevel="1"/>
    <col min="7" max="7" width="10.83203125" style="10" bestFit="1" customWidth="1" collapsed="1"/>
    <col min="8" max="18" width="10.83203125" style="10" bestFit="1" customWidth="1"/>
    <col min="19" max="19" width="13.6640625" style="10" bestFit="1" customWidth="1"/>
    <col min="20" max="16384" width="9.1640625" style="10"/>
  </cols>
  <sheetData>
    <row r="1" spans="1:19">
      <c r="A1" s="1074" t="s">
        <v>497</v>
      </c>
      <c r="B1" s="1074"/>
      <c r="C1" s="1074"/>
      <c r="D1" s="1074"/>
      <c r="E1" s="1074"/>
      <c r="F1" s="1074"/>
      <c r="G1" s="1074"/>
      <c r="H1" s="1074"/>
      <c r="I1" s="1074"/>
      <c r="J1" s="1074"/>
      <c r="K1" s="1074"/>
      <c r="L1" s="1074"/>
      <c r="M1" s="1074"/>
      <c r="N1" s="1074"/>
      <c r="O1" s="1074"/>
      <c r="P1" s="1074"/>
    </row>
    <row r="2" spans="1:19">
      <c r="A2" s="1075" t="str">
        <f>TEXT(G4,"mmmm yyyy")&amp;" thru "&amp;TEXT(R4,"mmmm yyyy")</f>
        <v>September 2025 thru August 2026</v>
      </c>
      <c r="B2" s="1075"/>
      <c r="C2" s="1075"/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</row>
    <row r="3" spans="1:19" ht="15" thickBot="1"/>
    <row r="4" spans="1:19" ht="31" thickBot="1">
      <c r="A4" s="46" t="s">
        <v>206</v>
      </c>
      <c r="B4" s="42" t="s">
        <v>0</v>
      </c>
      <c r="C4" s="43">
        <f t="shared" ref="C4:D4" si="0">EOMONTH(D4,-1)</f>
        <v>45808</v>
      </c>
      <c r="D4" s="43">
        <f t="shared" si="0"/>
        <v>45838</v>
      </c>
      <c r="E4" s="43">
        <f>EOMONTH(F4,-1)</f>
        <v>45869</v>
      </c>
      <c r="F4" s="44">
        <f>EOMONTH(G4,-1)</f>
        <v>45900</v>
      </c>
      <c r="G4" s="45">
        <f>Summary!C5</f>
        <v>45901</v>
      </c>
      <c r="H4" s="45">
        <f>EOMONTH(G4,1)</f>
        <v>45961</v>
      </c>
      <c r="I4" s="45">
        <f t="shared" ref="I4:R4" si="1">EOMONTH(H4,1)</f>
        <v>45991</v>
      </c>
      <c r="J4" s="45">
        <f t="shared" si="1"/>
        <v>46022</v>
      </c>
      <c r="K4" s="45">
        <f t="shared" si="1"/>
        <v>46053</v>
      </c>
      <c r="L4" s="45">
        <f t="shared" si="1"/>
        <v>46081</v>
      </c>
      <c r="M4" s="45">
        <f t="shared" si="1"/>
        <v>46112</v>
      </c>
      <c r="N4" s="45">
        <f t="shared" si="1"/>
        <v>46142</v>
      </c>
      <c r="O4" s="45">
        <f t="shared" si="1"/>
        <v>46173</v>
      </c>
      <c r="P4" s="45">
        <f t="shared" si="1"/>
        <v>46203</v>
      </c>
      <c r="Q4" s="45">
        <f t="shared" si="1"/>
        <v>46234</v>
      </c>
      <c r="R4" s="45">
        <f t="shared" si="1"/>
        <v>46265</v>
      </c>
      <c r="S4" s="47" t="s">
        <v>220</v>
      </c>
    </row>
    <row r="5" spans="1:19" ht="15" thickBot="1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</row>
    <row r="6" spans="1:19">
      <c r="C6" s="18"/>
      <c r="D6" s="19"/>
      <c r="E6" s="19"/>
      <c r="F6" s="2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</row>
    <row r="7" spans="1:19">
      <c r="A7" s="11">
        <f>'Operating Budget'!A7</f>
        <v>4010</v>
      </c>
      <c r="B7" s="10" t="str">
        <f>'Operating Budget'!B7</f>
        <v>Market Rent</v>
      </c>
      <c r="C7" s="51" t="e">
        <f>#REF!</f>
        <v>#REF!</v>
      </c>
      <c r="D7" s="40" t="e">
        <f>#REF!</f>
        <v>#REF!</v>
      </c>
      <c r="E7" s="40" t="e">
        <f>#REF!</f>
        <v>#REF!</v>
      </c>
      <c r="F7" s="52" t="e">
        <f>#REF!</f>
        <v>#REF!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>
        <f>SUM(G7:R7)</f>
        <v>0</v>
      </c>
    </row>
    <row r="8" spans="1:19">
      <c r="A8" s="11">
        <f>'Operating Budget'!A8</f>
        <v>4010</v>
      </c>
      <c r="B8" s="10" t="str">
        <f>'Operating Budget'!B8</f>
        <v>Premiums</v>
      </c>
      <c r="C8" s="51" t="e">
        <f>#REF!</f>
        <v>#REF!</v>
      </c>
      <c r="D8" s="40" t="e">
        <f>#REF!</f>
        <v>#REF!</v>
      </c>
      <c r="E8" s="40" t="e">
        <f>#REF!</f>
        <v>#REF!</v>
      </c>
      <c r="F8" s="52" t="e">
        <f>#REF!</f>
        <v>#REF!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>
        <f t="shared" ref="S8:S16" si="2">SUM(G8:R8)</f>
        <v>0</v>
      </c>
    </row>
    <row r="9" spans="1:19">
      <c r="A9" s="11">
        <f>'Operating Budget'!A9</f>
        <v>4410</v>
      </c>
      <c r="B9" s="10" t="str">
        <f>'Operating Budget'!B9</f>
        <v>Gain/Loss to Lease in Force</v>
      </c>
      <c r="C9" s="51" t="e">
        <f>#REF!</f>
        <v>#REF!</v>
      </c>
      <c r="D9" s="40" t="e">
        <f>#REF!</f>
        <v>#REF!</v>
      </c>
      <c r="E9" s="40" t="e">
        <f>#REF!</f>
        <v>#REF!</v>
      </c>
      <c r="F9" s="52" t="e">
        <f>#REF!</f>
        <v>#REF!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>
        <f t="shared" si="2"/>
        <v>0</v>
      </c>
    </row>
    <row r="10" spans="1:19">
      <c r="A10" s="11">
        <f>'Operating Budget'!A10</f>
        <v>4400</v>
      </c>
      <c r="B10" s="10" t="str">
        <f>'Operating Budget'!B10</f>
        <v>Bad Debt - Rent</v>
      </c>
      <c r="C10" s="51" t="e">
        <f>#REF!</f>
        <v>#REF!</v>
      </c>
      <c r="D10" s="40" t="e">
        <f>#REF!</f>
        <v>#REF!</v>
      </c>
      <c r="E10" s="40" t="e">
        <f>#REF!</f>
        <v>#REF!</v>
      </c>
      <c r="F10" s="52" t="e">
        <f>#REF!</f>
        <v>#REF!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>
        <f t="shared" si="2"/>
        <v>0</v>
      </c>
    </row>
    <row r="11" spans="1:19">
      <c r="A11" s="11">
        <f>'Operating Budget'!A11</f>
        <v>4405</v>
      </c>
      <c r="B11" s="10" t="str">
        <f>'Operating Budget'!B11</f>
        <v>Bad Debt Recovery - Rent</v>
      </c>
      <c r="C11" s="51" t="e">
        <f>#REF!</f>
        <v>#REF!</v>
      </c>
      <c r="D11" s="40" t="e">
        <f>#REF!</f>
        <v>#REF!</v>
      </c>
      <c r="E11" s="40" t="e">
        <f>#REF!</f>
        <v>#REF!</v>
      </c>
      <c r="F11" s="52" t="e">
        <f>#REF!</f>
        <v>#REF!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>
        <f t="shared" si="2"/>
        <v>0</v>
      </c>
    </row>
    <row r="12" spans="1:19">
      <c r="A12" s="11">
        <f>'Operating Budget'!A12</f>
        <v>4515</v>
      </c>
      <c r="B12" s="10" t="str">
        <f>'Operating Budget'!B12</f>
        <v>Model / Administrative Units</v>
      </c>
      <c r="C12" s="51" t="e">
        <f>#REF!</f>
        <v>#REF!</v>
      </c>
      <c r="D12" s="40" t="e">
        <f>#REF!</f>
        <v>#REF!</v>
      </c>
      <c r="E12" s="40" t="e">
        <f>#REF!</f>
        <v>#REF!</v>
      </c>
      <c r="F12" s="52" t="e">
        <f>#REF!</f>
        <v>#REF!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>
        <f t="shared" si="2"/>
        <v>0</v>
      </c>
    </row>
    <row r="13" spans="1:19">
      <c r="A13" s="11">
        <f>'Operating Budget'!A13</f>
        <v>4525</v>
      </c>
      <c r="B13" s="10" t="str">
        <f>'Operating Budget'!B13</f>
        <v>Employee Units</v>
      </c>
      <c r="C13" s="51" t="e">
        <f>#REF!</f>
        <v>#REF!</v>
      </c>
      <c r="D13" s="40" t="e">
        <f>#REF!</f>
        <v>#REF!</v>
      </c>
      <c r="E13" s="40" t="e">
        <f>#REF!</f>
        <v>#REF!</v>
      </c>
      <c r="F13" s="52" t="e">
        <f>#REF!</f>
        <v>#REF!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>
        <f t="shared" si="2"/>
        <v>0</v>
      </c>
    </row>
    <row r="14" spans="1:19">
      <c r="A14" s="11">
        <f>'Operating Budget'!A14</f>
        <v>4510</v>
      </c>
      <c r="B14" s="10" t="str">
        <f>'Operating Budget'!B14</f>
        <v>Vacancy Loss</v>
      </c>
      <c r="C14" s="51" t="e">
        <f>#REF!</f>
        <v>#REF!</v>
      </c>
      <c r="D14" s="40" t="e">
        <f>#REF!</f>
        <v>#REF!</v>
      </c>
      <c r="E14" s="40" t="e">
        <f>#REF!</f>
        <v>#REF!</v>
      </c>
      <c r="F14" s="52" t="e">
        <f>#REF!</f>
        <v>#REF!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>
        <f t="shared" si="2"/>
        <v>0</v>
      </c>
    </row>
    <row r="15" spans="1:19">
      <c r="A15" s="11">
        <f>'Operating Budget'!A15</f>
        <v>4540</v>
      </c>
      <c r="B15" s="10" t="str">
        <f>'Operating Budget'!B15</f>
        <v>One-Time Special or Allowance</v>
      </c>
      <c r="C15" s="51" t="e">
        <f>#REF!</f>
        <v>#REF!</v>
      </c>
      <c r="D15" s="40" t="e">
        <f>#REF!</f>
        <v>#REF!</v>
      </c>
      <c r="E15" s="40" t="e">
        <f>#REF!</f>
        <v>#REF!</v>
      </c>
      <c r="F15" s="52" t="e">
        <f>#REF!</f>
        <v>#REF!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2">
        <f>SUM(G15:R15)</f>
        <v>0</v>
      </c>
    </row>
    <row r="16" spans="1:19">
      <c r="A16" s="11">
        <f>'Operating Budget'!A16</f>
        <v>4011</v>
      </c>
      <c r="B16" s="10" t="str">
        <f>'Operating Budget'!B16</f>
        <v>Retail Rent</v>
      </c>
      <c r="C16" s="51" t="e">
        <f>#REF!</f>
        <v>#REF!</v>
      </c>
      <c r="D16" s="40" t="e">
        <f>#REF!</f>
        <v>#REF!</v>
      </c>
      <c r="E16" s="40" t="e">
        <f>#REF!</f>
        <v>#REF!</v>
      </c>
      <c r="F16" s="52" t="e">
        <f>#REF!</f>
        <v>#REF!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>
        <f t="shared" si="2"/>
        <v>0</v>
      </c>
    </row>
    <row r="17" spans="1:19">
      <c r="C17" s="53"/>
      <c r="D17" s="41"/>
      <c r="E17" s="41"/>
      <c r="F17" s="54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</row>
    <row r="18" spans="1:19">
      <c r="B18" s="13" t="s">
        <v>1</v>
      </c>
      <c r="C18" s="55" t="e">
        <f t="shared" ref="C18:E18" si="3">SUM(C7:C16)</f>
        <v>#REF!</v>
      </c>
      <c r="D18" s="39" t="e">
        <f t="shared" si="3"/>
        <v>#REF!</v>
      </c>
      <c r="E18" s="39" t="e">
        <f t="shared" si="3"/>
        <v>#REF!</v>
      </c>
      <c r="F18" s="56" t="e">
        <f>SUM(F7:F16)</f>
        <v>#REF!</v>
      </c>
      <c r="G18" s="39">
        <f>SUM(G7:G16)</f>
        <v>0</v>
      </c>
      <c r="H18" s="39">
        <f t="shared" ref="H18:R18" si="4">SUM(H7:H16)</f>
        <v>0</v>
      </c>
      <c r="I18" s="39">
        <f t="shared" si="4"/>
        <v>0</v>
      </c>
      <c r="J18" s="39">
        <f t="shared" si="4"/>
        <v>0</v>
      </c>
      <c r="K18" s="39">
        <f t="shared" si="4"/>
        <v>0</v>
      </c>
      <c r="L18" s="39">
        <f t="shared" si="4"/>
        <v>0</v>
      </c>
      <c r="M18" s="39">
        <f t="shared" si="4"/>
        <v>0</v>
      </c>
      <c r="N18" s="39">
        <f t="shared" si="4"/>
        <v>0</v>
      </c>
      <c r="O18" s="39">
        <f t="shared" si="4"/>
        <v>0</v>
      </c>
      <c r="P18" s="39">
        <f t="shared" si="4"/>
        <v>0</v>
      </c>
      <c r="Q18" s="39">
        <f t="shared" si="4"/>
        <v>0</v>
      </c>
      <c r="R18" s="39">
        <f t="shared" si="4"/>
        <v>0</v>
      </c>
      <c r="S18" s="39">
        <f>SUM(S7:S16)</f>
        <v>0</v>
      </c>
    </row>
    <row r="19" spans="1:19">
      <c r="B19" s="10" t="s">
        <v>2</v>
      </c>
      <c r="C19" s="21"/>
      <c r="F19" s="2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B20" s="13" t="s">
        <v>3</v>
      </c>
      <c r="C20" s="25"/>
      <c r="D20" s="13"/>
      <c r="E20" s="13"/>
      <c r="F20" s="26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C21" s="21"/>
      <c r="F21" s="2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11">
        <f>'Operating Budget'!A21</f>
        <v>4020</v>
      </c>
      <c r="B22" s="10" t="str">
        <f>'Operating Budget'!B21</f>
        <v>Corporate/Guest Suite Income</v>
      </c>
      <c r="C22" s="48" t="e">
        <f>#REF!</f>
        <v>#REF!</v>
      </c>
      <c r="D22" s="49"/>
      <c r="E22" s="49" t="e">
        <f>#REF!</f>
        <v>#REF!</v>
      </c>
      <c r="F22" s="50" t="e">
        <f>#REF!</f>
        <v>#REF!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>
        <f>SUM(G22:R22)</f>
        <v>0</v>
      </c>
    </row>
    <row r="23" spans="1:19">
      <c r="A23" s="11" t="e">
        <f>'Operating Budget'!#REF!</f>
        <v>#REF!</v>
      </c>
      <c r="B23" s="10" t="e">
        <f>'Operating Budget'!#REF!</f>
        <v>#REF!</v>
      </c>
      <c r="C23" s="48" t="e">
        <f>#REF!</f>
        <v>#REF!</v>
      </c>
      <c r="D23" s="49"/>
      <c r="E23" s="49" t="e">
        <f>#REF!</f>
        <v>#REF!</v>
      </c>
      <c r="F23" s="50" t="e">
        <f>#REF!</f>
        <v>#REF!</v>
      </c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>
        <f t="shared" ref="S23:S69" si="5">SUM(G23:R23)</f>
        <v>0</v>
      </c>
    </row>
    <row r="24" spans="1:19">
      <c r="A24" s="11" t="e">
        <f>'Operating Budget'!#REF!</f>
        <v>#REF!</v>
      </c>
      <c r="B24" s="10" t="e">
        <f>'Operating Budget'!#REF!</f>
        <v>#REF!</v>
      </c>
      <c r="C24" s="48" t="e">
        <f>#REF!</f>
        <v>#REF!</v>
      </c>
      <c r="D24" s="49"/>
      <c r="E24" s="49" t="e">
        <f>#REF!</f>
        <v>#REF!</v>
      </c>
      <c r="F24" s="50" t="e">
        <f>#REF!</f>
        <v>#REF!</v>
      </c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>
        <f t="shared" si="5"/>
        <v>0</v>
      </c>
    </row>
    <row r="25" spans="1:19">
      <c r="A25" s="11">
        <f>'Operating Budget'!A23</f>
        <v>4810</v>
      </c>
      <c r="B25" s="10" t="str">
        <f>'Operating Budget'!B23</f>
        <v>Administrative Fees</v>
      </c>
      <c r="C25" s="48" t="e">
        <f>#REF!</f>
        <v>#REF!</v>
      </c>
      <c r="D25" s="49"/>
      <c r="E25" s="49" t="e">
        <f>#REF!</f>
        <v>#REF!</v>
      </c>
      <c r="F25" s="50" t="e">
        <f>#REF!</f>
        <v>#REF!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>
        <f t="shared" si="5"/>
        <v>0</v>
      </c>
    </row>
    <row r="26" spans="1:19">
      <c r="A26" s="11">
        <f>'Operating Budget'!A24</f>
        <v>4811</v>
      </c>
      <c r="B26" s="10" t="str">
        <f>'Operating Budget'!B24</f>
        <v>Administration Fees Concession</v>
      </c>
      <c r="C26" s="48" t="e">
        <f>#REF!</f>
        <v>#REF!</v>
      </c>
      <c r="D26" s="49"/>
      <c r="E26" s="49" t="e">
        <f>#REF!</f>
        <v>#REF!</v>
      </c>
      <c r="F26" s="50" t="e">
        <f>#REF!</f>
        <v>#REF!</v>
      </c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>
        <f t="shared" si="5"/>
        <v>0</v>
      </c>
    </row>
    <row r="27" spans="1:19">
      <c r="A27" s="11">
        <f>'Operating Budget'!A25</f>
        <v>4813</v>
      </c>
      <c r="B27" s="10" t="str">
        <f>'Operating Budget'!B25</f>
        <v>Alarm Fees</v>
      </c>
      <c r="C27" s="48" t="e">
        <f>#REF!</f>
        <v>#REF!</v>
      </c>
      <c r="D27" s="49"/>
      <c r="E27" s="49" t="e">
        <f>#REF!</f>
        <v>#REF!</v>
      </c>
      <c r="F27" s="50" t="e">
        <f>#REF!</f>
        <v>#REF!</v>
      </c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>
        <f t="shared" si="5"/>
        <v>0</v>
      </c>
    </row>
    <row r="28" spans="1:19">
      <c r="A28" s="11">
        <f>'Operating Budget'!A26</f>
        <v>4815</v>
      </c>
      <c r="B28" s="10" t="str">
        <f>'Operating Budget'!B26</f>
        <v>Amenity Fees</v>
      </c>
      <c r="C28" s="48" t="e">
        <f>#REF!</f>
        <v>#REF!</v>
      </c>
      <c r="D28" s="49"/>
      <c r="E28" s="49" t="e">
        <f>#REF!</f>
        <v>#REF!</v>
      </c>
      <c r="F28" s="50" t="e">
        <f>#REF!</f>
        <v>#REF!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>
        <f t="shared" si="5"/>
        <v>0</v>
      </c>
    </row>
    <row r="29" spans="1:19">
      <c r="A29" s="11">
        <f>'Operating Budget'!A27</f>
        <v>4816</v>
      </c>
      <c r="B29" s="10" t="str">
        <f>'Operating Budget'!B27</f>
        <v>Account Set-Up Fee</v>
      </c>
      <c r="C29" s="48" t="e">
        <f>#REF!</f>
        <v>#REF!</v>
      </c>
      <c r="D29" s="49"/>
      <c r="E29" s="49" t="e">
        <f>#REF!</f>
        <v>#REF!</v>
      </c>
      <c r="F29" s="50" t="e">
        <f>#REF!</f>
        <v>#REF!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>
        <f t="shared" si="5"/>
        <v>0</v>
      </c>
    </row>
    <row r="30" spans="1:19">
      <c r="A30" s="11">
        <f>'Operating Budget'!A28</f>
        <v>4817</v>
      </c>
      <c r="B30" s="10" t="str">
        <f>'Operating Budget'!B28</f>
        <v>Move-Out Fee</v>
      </c>
      <c r="C30" s="48" t="e">
        <f>#REF!</f>
        <v>#REF!</v>
      </c>
      <c r="D30" s="49"/>
      <c r="E30" s="49" t="e">
        <f>#REF!</f>
        <v>#REF!</v>
      </c>
      <c r="F30" s="50" t="e">
        <f>#REF!</f>
        <v>#REF!</v>
      </c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>
        <f t="shared" si="5"/>
        <v>0</v>
      </c>
    </row>
    <row r="31" spans="1:19">
      <c r="A31" s="11">
        <f>'Operating Budget'!A29</f>
        <v>4825</v>
      </c>
      <c r="B31" s="10" t="str">
        <f>'Operating Budget'!B29</f>
        <v>Application Fee Income</v>
      </c>
      <c r="C31" s="48" t="e">
        <f>#REF!</f>
        <v>#REF!</v>
      </c>
      <c r="D31" s="49"/>
      <c r="E31" s="49" t="e">
        <f>#REF!</f>
        <v>#REF!</v>
      </c>
      <c r="F31" s="50" t="e">
        <f>#REF!</f>
        <v>#REF!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>
        <f t="shared" si="5"/>
        <v>0</v>
      </c>
    </row>
    <row r="32" spans="1:19">
      <c r="A32" s="11">
        <f>'Operating Budget'!A30</f>
        <v>4826</v>
      </c>
      <c r="B32" s="10" t="str">
        <f>'Operating Budget'!B30</f>
        <v>Application Fee Concessions</v>
      </c>
      <c r="C32" s="48" t="e">
        <f>#REF!</f>
        <v>#REF!</v>
      </c>
      <c r="D32" s="49"/>
      <c r="E32" s="49" t="e">
        <f>#REF!</f>
        <v>#REF!</v>
      </c>
      <c r="F32" s="50" t="e">
        <f>#REF!</f>
        <v>#REF!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>
        <f t="shared" si="5"/>
        <v>0</v>
      </c>
    </row>
    <row r="33" spans="1:19">
      <c r="A33" s="11">
        <f>'Operating Budget'!A31</f>
        <v>4830</v>
      </c>
      <c r="B33" s="10" t="str">
        <f>'Operating Budget'!B31</f>
        <v>Cable TV Bulk Income</v>
      </c>
      <c r="C33" s="48" t="e">
        <f>#REF!</f>
        <v>#REF!</v>
      </c>
      <c r="D33" s="49"/>
      <c r="E33" s="49" t="e">
        <f>#REF!</f>
        <v>#REF!</v>
      </c>
      <c r="F33" s="50" t="e">
        <f>#REF!</f>
        <v>#REF!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>
        <f t="shared" si="5"/>
        <v>0</v>
      </c>
    </row>
    <row r="34" spans="1:19">
      <c r="A34" s="11">
        <f>'Operating Budget'!A32</f>
        <v>4835</v>
      </c>
      <c r="B34" s="10" t="str">
        <f>'Operating Budget'!B32</f>
        <v>Cable TV Commissions</v>
      </c>
      <c r="C34" s="48" t="e">
        <f>#REF!</f>
        <v>#REF!</v>
      </c>
      <c r="D34" s="49"/>
      <c r="E34" s="49" t="e">
        <f>#REF!</f>
        <v>#REF!</v>
      </c>
      <c r="F34" s="50" t="e">
        <f>#REF!</f>
        <v>#REF!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>
        <f t="shared" si="5"/>
        <v>0</v>
      </c>
    </row>
    <row r="35" spans="1:19">
      <c r="A35" s="11">
        <f>'Operating Budget'!A33</f>
        <v>4840</v>
      </c>
      <c r="B35" s="10" t="str">
        <f>'Operating Budget'!B33</f>
        <v>Damages Charged to Residents</v>
      </c>
      <c r="C35" s="48" t="e">
        <f>#REF!</f>
        <v>#REF!</v>
      </c>
      <c r="D35" s="49"/>
      <c r="E35" s="49" t="e">
        <f>#REF!</f>
        <v>#REF!</v>
      </c>
      <c r="F35" s="50" t="e">
        <f>#REF!</f>
        <v>#REF!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>
        <f t="shared" si="5"/>
        <v>0</v>
      </c>
    </row>
    <row r="36" spans="1:19">
      <c r="A36" s="11">
        <f>'Operating Budget'!A34</f>
        <v>4845</v>
      </c>
      <c r="B36" s="10" t="str">
        <f>'Operating Budget'!B34</f>
        <v>Electric Reimbursement</v>
      </c>
      <c r="C36" s="48" t="e">
        <f>#REF!</f>
        <v>#REF!</v>
      </c>
      <c r="D36" s="49"/>
      <c r="E36" s="49" t="e">
        <f>#REF!</f>
        <v>#REF!</v>
      </c>
      <c r="F36" s="50" t="e">
        <f>#REF!</f>
        <v>#REF!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>
        <f t="shared" si="5"/>
        <v>0</v>
      </c>
    </row>
    <row r="37" spans="1:19">
      <c r="A37" s="11">
        <f>'Operating Budget'!A35</f>
        <v>4853</v>
      </c>
      <c r="B37" s="10" t="str">
        <f>'Operating Budget'!B35</f>
        <v>Forfeited Deposit</v>
      </c>
      <c r="C37" s="48" t="e">
        <f>#REF!</f>
        <v>#REF!</v>
      </c>
      <c r="D37" s="49"/>
      <c r="E37" s="49" t="e">
        <f>#REF!</f>
        <v>#REF!</v>
      </c>
      <c r="F37" s="50" t="e">
        <f>#REF!</f>
        <v>#REF!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>
        <f t="shared" si="5"/>
        <v>0</v>
      </c>
    </row>
    <row r="38" spans="1:19">
      <c r="A38" s="11">
        <f>'Operating Budget'!A36</f>
        <v>4854</v>
      </c>
      <c r="B38" s="10" t="str">
        <f>'Operating Budget'!B36</f>
        <v>Furniture Rental Income</v>
      </c>
      <c r="C38" s="48" t="e">
        <f>#REF!</f>
        <v>#REF!</v>
      </c>
      <c r="D38" s="49"/>
      <c r="E38" s="49" t="e">
        <f>#REF!</f>
        <v>#REF!</v>
      </c>
      <c r="F38" s="50" t="e">
        <f>#REF!</f>
        <v>#REF!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>
        <f t="shared" si="5"/>
        <v>0</v>
      </c>
    </row>
    <row r="39" spans="1:19">
      <c r="A39" s="11">
        <f>'Operating Budget'!A37</f>
        <v>4855</v>
      </c>
      <c r="B39" s="10" t="str">
        <f>'Operating Budget'!B37</f>
        <v>Garage or Tower Parking Permit</v>
      </c>
      <c r="C39" s="48" t="e">
        <f>#REF!</f>
        <v>#REF!</v>
      </c>
      <c r="D39" s="49"/>
      <c r="E39" s="49" t="e">
        <f>#REF!</f>
        <v>#REF!</v>
      </c>
      <c r="F39" s="50" t="e">
        <f>#REF!</f>
        <v>#REF!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>
        <f t="shared" si="5"/>
        <v>0</v>
      </c>
    </row>
    <row r="40" spans="1:19">
      <c r="A40" s="11">
        <f>'Operating Budget'!A38</f>
        <v>4856</v>
      </c>
      <c r="B40" s="10" t="str">
        <f>'Operating Budget'!B38</f>
        <v>Interest Income</v>
      </c>
      <c r="C40" s="48" t="e">
        <f>#REF!</f>
        <v>#REF!</v>
      </c>
      <c r="D40" s="49"/>
      <c r="E40" s="49" t="e">
        <f>#REF!</f>
        <v>#REF!</v>
      </c>
      <c r="F40" s="50" t="e">
        <f>#REF!</f>
        <v>#REF!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>
        <f t="shared" si="5"/>
        <v>0</v>
      </c>
    </row>
    <row r="41" spans="1:19">
      <c r="A41" s="11">
        <f>'Operating Budget'!A39</f>
        <v>4857</v>
      </c>
      <c r="B41" s="10" t="str">
        <f>'Operating Budget'!B39</f>
        <v>Keys, Locks, Lock Changes</v>
      </c>
      <c r="C41" s="48" t="e">
        <f>#REF!</f>
        <v>#REF!</v>
      </c>
      <c r="D41" s="49"/>
      <c r="E41" s="49" t="e">
        <f>#REF!</f>
        <v>#REF!</v>
      </c>
      <c r="F41" s="50" t="e">
        <f>#REF!</f>
        <v>#REF!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f t="shared" si="5"/>
        <v>0</v>
      </c>
    </row>
    <row r="42" spans="1:19">
      <c r="A42" s="11">
        <f>'Operating Budget'!A40</f>
        <v>4858</v>
      </c>
      <c r="B42" s="10" t="str">
        <f>'Operating Budget'!B40</f>
        <v>Late Charges</v>
      </c>
      <c r="C42" s="48" t="e">
        <f>#REF!</f>
        <v>#REF!</v>
      </c>
      <c r="D42" s="49"/>
      <c r="E42" s="49" t="e">
        <f>#REF!</f>
        <v>#REF!</v>
      </c>
      <c r="F42" s="50" t="e">
        <f>#REF!</f>
        <v>#REF!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>
        <f t="shared" si="5"/>
        <v>0</v>
      </c>
    </row>
    <row r="43" spans="1:19">
      <c r="A43" s="11">
        <f>'Operating Budget'!A41</f>
        <v>4859</v>
      </c>
      <c r="B43" s="10" t="str">
        <f>'Operating Budget'!B41</f>
        <v>Concession of Late Charges</v>
      </c>
      <c r="C43" s="48" t="e">
        <f>#REF!</f>
        <v>#REF!</v>
      </c>
      <c r="D43" s="49"/>
      <c r="E43" s="49" t="e">
        <f>#REF!</f>
        <v>#REF!</v>
      </c>
      <c r="F43" s="50" t="e">
        <f>#REF!</f>
        <v>#REF!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>
        <f t="shared" si="5"/>
        <v>0</v>
      </c>
    </row>
    <row r="44" spans="1:19">
      <c r="A44" s="11">
        <f>'Operating Budget'!A42</f>
        <v>4860</v>
      </c>
      <c r="B44" s="10" t="str">
        <f>'Operating Budget'!B42</f>
        <v>Laundry Room Income</v>
      </c>
      <c r="C44" s="48" t="e">
        <f>#REF!</f>
        <v>#REF!</v>
      </c>
      <c r="D44" s="49"/>
      <c r="E44" s="49" t="e">
        <f>#REF!</f>
        <v>#REF!</v>
      </c>
      <c r="F44" s="50" t="e">
        <f>#REF!</f>
        <v>#REF!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>
        <f t="shared" si="5"/>
        <v>0</v>
      </c>
    </row>
    <row r="45" spans="1:19">
      <c r="A45" s="11">
        <f>'Operating Budget'!A43</f>
        <v>4865</v>
      </c>
      <c r="B45" s="10" t="str">
        <f>'Operating Budget'!B43</f>
        <v>Lease Termination Fee Income</v>
      </c>
      <c r="C45" s="48" t="e">
        <f>#REF!</f>
        <v>#REF!</v>
      </c>
      <c r="D45" s="49"/>
      <c r="E45" s="49" t="e">
        <f>#REF!</f>
        <v>#REF!</v>
      </c>
      <c r="F45" s="50" t="e">
        <f>#REF!</f>
        <v>#REF!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>
        <f t="shared" si="5"/>
        <v>0</v>
      </c>
    </row>
    <row r="46" spans="1:19">
      <c r="A46" s="11">
        <f>'Operating Budget'!A44</f>
        <v>4870</v>
      </c>
      <c r="B46" s="10" t="str">
        <f>'Operating Budget'!B44</f>
        <v>Legal &amp; Collection Fee Income</v>
      </c>
      <c r="C46" s="48" t="e">
        <f>#REF!</f>
        <v>#REF!</v>
      </c>
      <c r="D46" s="49"/>
      <c r="E46" s="49" t="e">
        <f>#REF!</f>
        <v>#REF!</v>
      </c>
      <c r="F46" s="50" t="e">
        <f>#REF!</f>
        <v>#REF!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>
        <f t="shared" si="5"/>
        <v>0</v>
      </c>
    </row>
    <row r="47" spans="1:19">
      <c r="A47" s="11">
        <f>'Operating Budget'!A46</f>
        <v>4875</v>
      </c>
      <c r="B47" s="10" t="str">
        <f>'Operating Budget'!B46</f>
        <v>Miscellaneous Income</v>
      </c>
      <c r="C47" s="48" t="e">
        <f>#REF!</f>
        <v>#REF!</v>
      </c>
      <c r="D47" s="49"/>
      <c r="E47" s="49" t="e">
        <f>#REF!</f>
        <v>#REF!</v>
      </c>
      <c r="F47" s="50" t="e">
        <f>#REF!</f>
        <v>#REF!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>
        <f t="shared" si="5"/>
        <v>0</v>
      </c>
    </row>
    <row r="48" spans="1:19">
      <c r="A48" s="11">
        <f>'Operating Budget'!A47</f>
        <v>4876</v>
      </c>
      <c r="B48" s="10" t="str">
        <f>'Operating Budget'!B47</f>
        <v>Renters Insurance Reimbursement</v>
      </c>
      <c r="C48" s="48" t="e">
        <f>#REF!</f>
        <v>#REF!</v>
      </c>
      <c r="D48" s="49"/>
      <c r="E48" s="49" t="e">
        <f>#REF!</f>
        <v>#REF!</v>
      </c>
      <c r="F48" s="50" t="e">
        <f>#REF!</f>
        <v>#REF!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>
        <f t="shared" si="5"/>
        <v>0</v>
      </c>
    </row>
    <row r="49" spans="1:19">
      <c r="A49" s="11" t="e">
        <f>'Operating Budget'!#REF!</f>
        <v>#REF!</v>
      </c>
      <c r="B49" s="10" t="e">
        <f>'Operating Budget'!#REF!</f>
        <v>#REF!</v>
      </c>
      <c r="C49" s="48" t="e">
        <f>#REF!</f>
        <v>#REF!</v>
      </c>
      <c r="D49" s="49"/>
      <c r="E49" s="49" t="e">
        <f>#REF!</f>
        <v>#REF!</v>
      </c>
      <c r="F49" s="50" t="e">
        <f>#REF!</f>
        <v>#REF!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>
        <f t="shared" si="5"/>
        <v>0</v>
      </c>
    </row>
    <row r="50" spans="1:19">
      <c r="A50" s="11">
        <f>'Operating Budget'!A48</f>
        <v>4880</v>
      </c>
      <c r="B50" s="10" t="str">
        <f>'Operating Budget'!B48</f>
        <v>Month to Month Fees</v>
      </c>
      <c r="C50" s="48" t="e">
        <f>#REF!</f>
        <v>#REF!</v>
      </c>
      <c r="D50" s="49"/>
      <c r="E50" s="49" t="e">
        <f>#REF!</f>
        <v>#REF!</v>
      </c>
      <c r="F50" s="50" t="e">
        <f>#REF!</f>
        <v>#REF!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>
        <f t="shared" si="5"/>
        <v>0</v>
      </c>
    </row>
    <row r="51" spans="1:19">
      <c r="A51" s="11">
        <f>'Operating Budget'!A49</f>
        <v>4885</v>
      </c>
      <c r="B51" s="10" t="str">
        <f>'Operating Budget'!B49</f>
        <v>NSF Fee Income</v>
      </c>
      <c r="C51" s="48" t="e">
        <f>#REF!</f>
        <v>#REF!</v>
      </c>
      <c r="D51" s="49"/>
      <c r="E51" s="49" t="e">
        <f>#REF!</f>
        <v>#REF!</v>
      </c>
      <c r="F51" s="50" t="e">
        <f>#REF!</f>
        <v>#REF!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>
        <f t="shared" si="5"/>
        <v>0</v>
      </c>
    </row>
    <row r="52" spans="1:19">
      <c r="A52" s="11">
        <f>'Operating Budget'!A50</f>
        <v>4890</v>
      </c>
      <c r="B52" s="10" t="str">
        <f>'Operating Budget'!B50</f>
        <v>Reserved Parking</v>
      </c>
      <c r="C52" s="48" t="e">
        <f>#REF!</f>
        <v>#REF!</v>
      </c>
      <c r="D52" s="49"/>
      <c r="E52" s="49" t="e">
        <f>#REF!</f>
        <v>#REF!</v>
      </c>
      <c r="F52" s="50" t="e">
        <f>#REF!</f>
        <v>#REF!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>
        <f t="shared" si="5"/>
        <v>0</v>
      </c>
    </row>
    <row r="53" spans="1:19">
      <c r="A53" s="11">
        <f>'Operating Budget'!A51</f>
        <v>0</v>
      </c>
      <c r="B53" s="10">
        <f>'Operating Budget'!B51</f>
        <v>0</v>
      </c>
      <c r="C53" s="48" t="e">
        <f>#REF!</f>
        <v>#REF!</v>
      </c>
      <c r="D53" s="49"/>
      <c r="E53" s="49" t="e">
        <f>#REF!</f>
        <v>#REF!</v>
      </c>
      <c r="F53" s="50" t="e">
        <f>#REF!</f>
        <v>#REF!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>
        <f t="shared" si="5"/>
        <v>0</v>
      </c>
    </row>
    <row r="54" spans="1:19">
      <c r="A54" s="11">
        <f>'Operating Budget'!A52</f>
        <v>4891</v>
      </c>
      <c r="B54" s="10" t="str">
        <f>'Operating Budget'!B52</f>
        <v>Parking Concessions</v>
      </c>
      <c r="C54" s="48" t="e">
        <f>#REF!</f>
        <v>#REF!</v>
      </c>
      <c r="D54" s="49"/>
      <c r="E54" s="49" t="e">
        <f>#REF!</f>
        <v>#REF!</v>
      </c>
      <c r="F54" s="50" t="e">
        <f>#REF!</f>
        <v>#REF!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>
        <f t="shared" si="5"/>
        <v>0</v>
      </c>
    </row>
    <row r="55" spans="1:19">
      <c r="A55" s="11">
        <f>'Operating Budget'!A53</f>
        <v>4895</v>
      </c>
      <c r="B55" s="10" t="str">
        <f>'Operating Budget'!B53</f>
        <v>Pest Control Reimbursement</v>
      </c>
      <c r="C55" s="48" t="e">
        <f>#REF!</f>
        <v>#REF!</v>
      </c>
      <c r="D55" s="49"/>
      <c r="E55" s="49" t="e">
        <f>#REF!</f>
        <v>#REF!</v>
      </c>
      <c r="F55" s="50" t="e">
        <f>#REF!</f>
        <v>#REF!</v>
      </c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>
        <f t="shared" si="5"/>
        <v>0</v>
      </c>
    </row>
    <row r="56" spans="1:19">
      <c r="A56" s="11">
        <f>'Operating Budget'!A54</f>
        <v>4900</v>
      </c>
      <c r="B56" s="10" t="str">
        <f>'Operating Budget'!B54</f>
        <v>Pet Fee Income</v>
      </c>
      <c r="C56" s="48" t="e">
        <f>#REF!</f>
        <v>#REF!</v>
      </c>
      <c r="D56" s="49"/>
      <c r="E56" s="49" t="e">
        <f>#REF!</f>
        <v>#REF!</v>
      </c>
      <c r="F56" s="50" t="e">
        <f>#REF!</f>
        <v>#REF!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>
        <f t="shared" si="5"/>
        <v>0</v>
      </c>
    </row>
    <row r="57" spans="1:19">
      <c r="A57" s="11">
        <f>'Operating Budget'!A55</f>
        <v>4900.1000000000004</v>
      </c>
      <c r="B57" s="10" t="str">
        <f>'Operating Budget'!B55</f>
        <v>Pet Rent Income</v>
      </c>
      <c r="C57" s="48" t="e">
        <f>#REF!</f>
        <v>#REF!</v>
      </c>
      <c r="D57" s="49"/>
      <c r="E57" s="49" t="e">
        <f>#REF!</f>
        <v>#REF!</v>
      </c>
      <c r="F57" s="50" t="e">
        <f>#REF!</f>
        <v>#REF!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>
        <f t="shared" si="5"/>
        <v>0</v>
      </c>
    </row>
    <row r="58" spans="1:19">
      <c r="A58" s="11">
        <f>'Operating Budget'!A56</f>
        <v>4901</v>
      </c>
      <c r="B58" s="10" t="str">
        <f>'Operating Budget'!B56</f>
        <v>Cleaning Fees</v>
      </c>
      <c r="C58" s="48" t="e">
        <f>#REF!</f>
        <v>#REF!</v>
      </c>
      <c r="D58" s="49"/>
      <c r="E58" s="49" t="e">
        <f>#REF!</f>
        <v>#REF!</v>
      </c>
      <c r="F58" s="50" t="e">
        <f>#REF!</f>
        <v>#REF!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>
        <f t="shared" si="5"/>
        <v>0</v>
      </c>
    </row>
    <row r="59" spans="1:19">
      <c r="A59" s="11" t="e">
        <f>'Operating Budget'!#REF!</f>
        <v>#REF!</v>
      </c>
      <c r="B59" s="10" t="e">
        <f>'Operating Budget'!#REF!</f>
        <v>#REF!</v>
      </c>
      <c r="C59" s="48" t="e">
        <f>#REF!</f>
        <v>#REF!</v>
      </c>
      <c r="D59" s="49"/>
      <c r="E59" s="49" t="e">
        <f>#REF!</f>
        <v>#REF!</v>
      </c>
      <c r="F59" s="50" t="e">
        <f>#REF!</f>
        <v>#REF!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>
        <f t="shared" si="5"/>
        <v>0</v>
      </c>
    </row>
    <row r="60" spans="1:19">
      <c r="A60" s="11">
        <f>'Operating Budget'!A57</f>
        <v>4905</v>
      </c>
      <c r="B60" s="10" t="str">
        <f>'Operating Budget'!B57</f>
        <v xml:space="preserve">Short Term Premium </v>
      </c>
      <c r="C60" s="48" t="e">
        <f>#REF!</f>
        <v>#REF!</v>
      </c>
      <c r="D60" s="49"/>
      <c r="E60" s="49" t="e">
        <f>#REF!</f>
        <v>#REF!</v>
      </c>
      <c r="F60" s="50" t="e">
        <f>#REF!</f>
        <v>#REF!</v>
      </c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>
        <f t="shared" si="5"/>
        <v>0</v>
      </c>
    </row>
    <row r="61" spans="1:19">
      <c r="A61" s="11" t="e">
        <f>'Operating Budget'!#REF!</f>
        <v>#REF!</v>
      </c>
      <c r="B61" s="10" t="e">
        <f>'Operating Budget'!#REF!</f>
        <v>#REF!</v>
      </c>
      <c r="C61" s="48" t="e">
        <f>#REF!</f>
        <v>#REF!</v>
      </c>
      <c r="D61" s="49"/>
      <c r="E61" s="49" t="e">
        <f>#REF!</f>
        <v>#REF!</v>
      </c>
      <c r="F61" s="50" t="e">
        <f>#REF!</f>
        <v>#REF!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>
        <f t="shared" si="5"/>
        <v>0</v>
      </c>
    </row>
    <row r="62" spans="1:19">
      <c r="A62" s="11">
        <f>'Operating Budget'!A58</f>
        <v>4910</v>
      </c>
      <c r="B62" s="10" t="str">
        <f>'Operating Budget'!B58</f>
        <v>Storage Space Rental</v>
      </c>
      <c r="C62" s="48" t="e">
        <f>#REF!</f>
        <v>#REF!</v>
      </c>
      <c r="D62" s="49"/>
      <c r="E62" s="49" t="e">
        <f>#REF!</f>
        <v>#REF!</v>
      </c>
      <c r="F62" s="50" t="e">
        <f>#REF!</f>
        <v>#REF!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>
        <f t="shared" si="5"/>
        <v>0</v>
      </c>
    </row>
    <row r="63" spans="1:19">
      <c r="A63" s="11">
        <f>'Operating Budget'!A59</f>
        <v>0</v>
      </c>
      <c r="B63" s="10">
        <f>'Operating Budget'!B59</f>
        <v>0</v>
      </c>
      <c r="C63" s="48" t="e">
        <f>#REF!</f>
        <v>#REF!</v>
      </c>
      <c r="D63" s="49"/>
      <c r="E63" s="49" t="e">
        <f>#REF!</f>
        <v>#REF!</v>
      </c>
      <c r="F63" s="50" t="e">
        <f>#REF!</f>
        <v>#REF!</v>
      </c>
      <c r="G63" s="12"/>
      <c r="H63" s="40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>
        <f t="shared" si="5"/>
        <v>0</v>
      </c>
    </row>
    <row r="64" spans="1:19">
      <c r="A64" s="11">
        <f>'Operating Budget'!A60</f>
        <v>4911</v>
      </c>
      <c r="B64" s="10" t="str">
        <f>'Operating Budget'!B60</f>
        <v>Storage Space Rental Concession</v>
      </c>
      <c r="C64" s="48" t="e">
        <f>#REF!</f>
        <v>#REF!</v>
      </c>
      <c r="D64" s="49"/>
      <c r="E64" s="49" t="e">
        <f>#REF!</f>
        <v>#REF!</v>
      </c>
      <c r="F64" s="50" t="e">
        <f>#REF!</f>
        <v>#REF!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>
        <f t="shared" si="5"/>
        <v>0</v>
      </c>
    </row>
    <row r="65" spans="1:19">
      <c r="A65" s="11">
        <f>'Operating Budget'!A61</f>
        <v>4912</v>
      </c>
      <c r="B65" s="10" t="str">
        <f>'Operating Budget'!B61</f>
        <v>Storm Water Reimbursement</v>
      </c>
      <c r="C65" s="48" t="e">
        <f>#REF!</f>
        <v>#REF!</v>
      </c>
      <c r="D65" s="49"/>
      <c r="E65" s="49" t="e">
        <f>#REF!</f>
        <v>#REF!</v>
      </c>
      <c r="F65" s="50" t="e">
        <f>#REF!</f>
        <v>#REF!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>
        <f t="shared" si="5"/>
        <v>0</v>
      </c>
    </row>
    <row r="66" spans="1:19">
      <c r="A66" s="11" t="e">
        <f>'Operating Budget'!#REF!</f>
        <v>#REF!</v>
      </c>
      <c r="B66" s="10" t="e">
        <f>'Operating Budget'!#REF!</f>
        <v>#REF!</v>
      </c>
      <c r="C66" s="48" t="e">
        <f>#REF!</f>
        <v>#REF!</v>
      </c>
      <c r="D66" s="49"/>
      <c r="E66" s="49" t="e">
        <f>#REF!</f>
        <v>#REF!</v>
      </c>
      <c r="F66" s="50" t="e">
        <f>#REF!</f>
        <v>#REF!</v>
      </c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>
        <f t="shared" si="5"/>
        <v>0</v>
      </c>
    </row>
    <row r="67" spans="1:19">
      <c r="A67" s="11">
        <f>'Operating Budget'!A62</f>
        <v>4920</v>
      </c>
      <c r="B67" s="10" t="str">
        <f>'Operating Budget'!B62</f>
        <v>Transfer Fee</v>
      </c>
      <c r="C67" s="48" t="e">
        <f>#REF!</f>
        <v>#REF!</v>
      </c>
      <c r="D67" s="49"/>
      <c r="E67" s="49" t="e">
        <f>#REF!</f>
        <v>#REF!</v>
      </c>
      <c r="F67" s="50" t="e">
        <f>#REF!</f>
        <v>#REF!</v>
      </c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>
        <f t="shared" si="5"/>
        <v>0</v>
      </c>
    </row>
    <row r="68" spans="1:19">
      <c r="A68" s="11" t="e">
        <f>'Operating Budget'!#REF!</f>
        <v>#REF!</v>
      </c>
      <c r="B68" s="10" t="e">
        <f>'Operating Budget'!#REF!</f>
        <v>#REF!</v>
      </c>
      <c r="C68" s="48" t="e">
        <f>#REF!</f>
        <v>#REF!</v>
      </c>
      <c r="D68" s="49"/>
      <c r="E68" s="49" t="e">
        <f>#REF!</f>
        <v>#REF!</v>
      </c>
      <c r="F68" s="50" t="e">
        <f>#REF!</f>
        <v>#REF!</v>
      </c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>
        <f t="shared" si="5"/>
        <v>0</v>
      </c>
    </row>
    <row r="69" spans="1:19">
      <c r="A69" s="11">
        <f>'Operating Budget'!A65</f>
        <v>4940</v>
      </c>
      <c r="B69" s="10" t="str">
        <f>'Operating Budget'!B65</f>
        <v>Utility Reimbursement</v>
      </c>
      <c r="C69" s="48" t="e">
        <f>#REF!</f>
        <v>#REF!</v>
      </c>
      <c r="D69" s="49"/>
      <c r="E69" s="49" t="e">
        <f>#REF!</f>
        <v>#REF!</v>
      </c>
      <c r="F69" s="50" t="e">
        <f>#REF!</f>
        <v>#REF!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>
        <f t="shared" si="5"/>
        <v>0</v>
      </c>
    </row>
    <row r="70" spans="1:19">
      <c r="C70" s="23"/>
      <c r="D70" s="17"/>
      <c r="E70" s="17"/>
      <c r="F70" s="24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</row>
    <row r="71" spans="1:19">
      <c r="B71" s="13" t="s">
        <v>11</v>
      </c>
      <c r="C71" s="30" t="e">
        <f t="shared" ref="C71:F71" si="6">SUM(C22:C69)</f>
        <v>#REF!</v>
      </c>
      <c r="D71" s="31">
        <f t="shared" si="6"/>
        <v>0</v>
      </c>
      <c r="E71" s="31" t="e">
        <f t="shared" si="6"/>
        <v>#REF!</v>
      </c>
      <c r="F71" s="32" t="e">
        <f t="shared" si="6"/>
        <v>#REF!</v>
      </c>
      <c r="G71" s="39">
        <f>SUM(G22:G69)</f>
        <v>0</v>
      </c>
      <c r="H71" s="39">
        <f t="shared" ref="H71:Q71" si="7">SUM(H22:H69)</f>
        <v>0</v>
      </c>
      <c r="I71" s="39">
        <f t="shared" si="7"/>
        <v>0</v>
      </c>
      <c r="J71" s="39">
        <f t="shared" si="7"/>
        <v>0</v>
      </c>
      <c r="K71" s="39">
        <f t="shared" si="7"/>
        <v>0</v>
      </c>
      <c r="L71" s="39">
        <f t="shared" si="7"/>
        <v>0</v>
      </c>
      <c r="M71" s="39">
        <f t="shared" si="7"/>
        <v>0</v>
      </c>
      <c r="N71" s="39">
        <f t="shared" si="7"/>
        <v>0</v>
      </c>
      <c r="O71" s="39">
        <f t="shared" si="7"/>
        <v>0</v>
      </c>
      <c r="P71" s="39">
        <f t="shared" si="7"/>
        <v>0</v>
      </c>
      <c r="Q71" s="39">
        <f t="shared" si="7"/>
        <v>0</v>
      </c>
      <c r="R71" s="39">
        <f>SUM(R22:R69)</f>
        <v>0</v>
      </c>
      <c r="S71" s="39">
        <f>SUM(S22:S69)</f>
        <v>0</v>
      </c>
    </row>
    <row r="72" spans="1:19">
      <c r="C72" s="21"/>
      <c r="F72" s="2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ht="15" thickBot="1">
      <c r="B73" s="13" t="s">
        <v>4</v>
      </c>
      <c r="C73" s="33" t="e">
        <f t="shared" ref="C73:F73" si="8">SUM(C18,C71)</f>
        <v>#REF!</v>
      </c>
      <c r="D73" s="34" t="e">
        <f t="shared" si="8"/>
        <v>#REF!</v>
      </c>
      <c r="E73" s="34" t="e">
        <f t="shared" si="8"/>
        <v>#REF!</v>
      </c>
      <c r="F73" s="35" t="e">
        <f t="shared" si="8"/>
        <v>#REF!</v>
      </c>
      <c r="G73" s="14">
        <f>SUM(G18,G71)</f>
        <v>0</v>
      </c>
      <c r="H73" s="14">
        <f t="shared" ref="H73:R73" si="9">SUM(H18,H71)</f>
        <v>0</v>
      </c>
      <c r="I73" s="14">
        <f t="shared" si="9"/>
        <v>0</v>
      </c>
      <c r="J73" s="14">
        <f t="shared" si="9"/>
        <v>0</v>
      </c>
      <c r="K73" s="14">
        <f t="shared" si="9"/>
        <v>0</v>
      </c>
      <c r="L73" s="14">
        <f t="shared" si="9"/>
        <v>0</v>
      </c>
      <c r="M73" s="14">
        <f t="shared" si="9"/>
        <v>0</v>
      </c>
      <c r="N73" s="14">
        <f t="shared" si="9"/>
        <v>0</v>
      </c>
      <c r="O73" s="14">
        <f t="shared" si="9"/>
        <v>0</v>
      </c>
      <c r="P73" s="14">
        <f t="shared" si="9"/>
        <v>0</v>
      </c>
      <c r="Q73" s="14">
        <f t="shared" si="9"/>
        <v>0</v>
      </c>
      <c r="R73" s="14">
        <f t="shared" si="9"/>
        <v>0</v>
      </c>
      <c r="S73" s="14">
        <f>SUM(G73:R73)</f>
        <v>0</v>
      </c>
    </row>
    <row r="74" spans="1:19" ht="15" thickTop="1">
      <c r="C74" s="21"/>
      <c r="F74" s="2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B75" s="13" t="s">
        <v>37</v>
      </c>
      <c r="C75" s="25"/>
      <c r="D75" s="13"/>
      <c r="E75" s="13"/>
      <c r="F75" s="26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C76" s="21"/>
      <c r="F76" s="2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11">
        <f>'Operating Budget'!A81</f>
        <v>7000</v>
      </c>
      <c r="B77" s="10" t="str">
        <f>'Operating Budget'!B81</f>
        <v>Electric/Common Areas</v>
      </c>
      <c r="C77" s="48" t="e">
        <f>#REF!</f>
        <v>#REF!</v>
      </c>
      <c r="D77" s="49" t="e">
        <f>#REF!</f>
        <v>#REF!</v>
      </c>
      <c r="E77" s="49" t="e">
        <f>#REF!</f>
        <v>#REF!</v>
      </c>
      <c r="F77" s="50" t="e">
        <f>#REF!</f>
        <v>#REF!</v>
      </c>
      <c r="G77" s="12" t="e">
        <f>'Operating Budget'!#REF!</f>
        <v>#REF!</v>
      </c>
      <c r="H77" s="12" t="e">
        <f>'Operating Budget'!#REF!</f>
        <v>#REF!</v>
      </c>
      <c r="I77" s="12" t="e">
        <f>'Operating Budget'!#REF!</f>
        <v>#REF!</v>
      </c>
      <c r="J77" s="12">
        <f>'Operating Budget'!F81</f>
        <v>433.33333333333331</v>
      </c>
      <c r="K77" s="12">
        <f>'Operating Budget'!J81</f>
        <v>1300</v>
      </c>
      <c r="L77" s="12">
        <f>'Operating Budget'!K81</f>
        <v>1300</v>
      </c>
      <c r="M77" s="12">
        <f>'Operating Budget'!L81</f>
        <v>1300</v>
      </c>
      <c r="N77" s="12">
        <f>'Operating Budget'!M81</f>
        <v>1300</v>
      </c>
      <c r="O77" s="12">
        <f>'Operating Budget'!N81</f>
        <v>1300</v>
      </c>
      <c r="P77" s="12">
        <f>'Operating Budget'!O81</f>
        <v>1300</v>
      </c>
      <c r="Q77" s="12">
        <f>'Operating Budget'!P81</f>
        <v>1300</v>
      </c>
      <c r="R77" s="12">
        <f>'Operating Budget'!Q81</f>
        <v>1300</v>
      </c>
      <c r="S77" s="12" t="e">
        <f>SUM(G77:R77)</f>
        <v>#REF!</v>
      </c>
    </row>
    <row r="78" spans="1:19">
      <c r="A78" s="11">
        <f>'Operating Budget'!A82</f>
        <v>7005</v>
      </c>
      <c r="B78" s="10" t="str">
        <f>'Operating Budget'!B82</f>
        <v>Electric - Corporate Units</v>
      </c>
      <c r="C78" s="48" t="e">
        <f>#REF!</f>
        <v>#REF!</v>
      </c>
      <c r="D78" s="49" t="e">
        <f>#REF!</f>
        <v>#REF!</v>
      </c>
      <c r="E78" s="49" t="e">
        <f>#REF!</f>
        <v>#REF!</v>
      </c>
      <c r="F78" s="50" t="e">
        <f>#REF!</f>
        <v>#REF!</v>
      </c>
      <c r="G78" s="12" t="e">
        <f>'Operating Budget'!#REF!</f>
        <v>#REF!</v>
      </c>
      <c r="H78" s="12" t="e">
        <f>'Operating Budget'!#REF!</f>
        <v>#REF!</v>
      </c>
      <c r="I78" s="12" t="e">
        <f>'Operating Budget'!#REF!</f>
        <v>#REF!</v>
      </c>
      <c r="J78" s="12">
        <f>'Operating Budget'!F82</f>
        <v>0</v>
      </c>
      <c r="K78" s="12">
        <f>'Operating Budget'!J82</f>
        <v>0</v>
      </c>
      <c r="L78" s="12">
        <f>'Operating Budget'!K82</f>
        <v>0</v>
      </c>
      <c r="M78" s="12">
        <f>'Operating Budget'!L82</f>
        <v>0</v>
      </c>
      <c r="N78" s="12">
        <f>'Operating Budget'!M82</f>
        <v>0</v>
      </c>
      <c r="O78" s="12">
        <f>'Operating Budget'!N82</f>
        <v>0</v>
      </c>
      <c r="P78" s="12">
        <f>'Operating Budget'!O82</f>
        <v>0</v>
      </c>
      <c r="Q78" s="12">
        <f>'Operating Budget'!P82</f>
        <v>0</v>
      </c>
      <c r="R78" s="12">
        <f>'Operating Budget'!Q82</f>
        <v>0</v>
      </c>
      <c r="S78" s="12" t="e">
        <f t="shared" ref="S78:S84" si="10">SUM(G78:R78)</f>
        <v>#REF!</v>
      </c>
    </row>
    <row r="79" spans="1:19">
      <c r="A79" s="11" t="e">
        <f>'Operating Budget'!A83</f>
        <v>#N/A</v>
      </c>
      <c r="B79" s="10" t="str">
        <f>'Operating Budget'!B83</f>
        <v xml:space="preserve"> </v>
      </c>
      <c r="C79" s="48" t="e">
        <f>#REF!</f>
        <v>#REF!</v>
      </c>
      <c r="D79" s="49" t="e">
        <f>#REF!</f>
        <v>#REF!</v>
      </c>
      <c r="E79" s="49" t="e">
        <f>#REF!</f>
        <v>#REF!</v>
      </c>
      <c r="F79" s="50" t="e">
        <f>#REF!</f>
        <v>#REF!</v>
      </c>
      <c r="G79" s="12" t="e">
        <f>'Operating Budget'!#REF!</f>
        <v>#REF!</v>
      </c>
      <c r="H79" s="12" t="e">
        <f>'Operating Budget'!#REF!</f>
        <v>#REF!</v>
      </c>
      <c r="I79" s="12" t="e">
        <f>'Operating Budget'!#REF!</f>
        <v>#REF!</v>
      </c>
      <c r="J79" s="12">
        <f>'Operating Budget'!F83</f>
        <v>650</v>
      </c>
      <c r="K79" s="12">
        <f>'Operating Budget'!J83</f>
        <v>700</v>
      </c>
      <c r="L79" s="12">
        <f>'Operating Budget'!K83</f>
        <v>1250</v>
      </c>
      <c r="M79" s="12">
        <f>'Operating Budget'!L83</f>
        <v>350</v>
      </c>
      <c r="N79" s="12">
        <f>'Operating Budget'!M83</f>
        <v>50.000000000000156</v>
      </c>
      <c r="O79" s="12">
        <f>'Operating Budget'!N83</f>
        <v>50.000000000000156</v>
      </c>
      <c r="P79" s="12">
        <f>'Operating Budget'!O83</f>
        <v>50.000000000000156</v>
      </c>
      <c r="Q79" s="12">
        <f>'Operating Budget'!P83</f>
        <v>50.000000000000156</v>
      </c>
      <c r="R79" s="12">
        <f>'Operating Budget'!Q83</f>
        <v>50.000000000000156</v>
      </c>
      <c r="S79" s="12" t="e">
        <f t="shared" si="10"/>
        <v>#REF!</v>
      </c>
    </row>
    <row r="80" spans="1:19">
      <c r="A80" s="11">
        <f>'Operating Budget'!A84</f>
        <v>7015</v>
      </c>
      <c r="B80" s="10" t="str">
        <f>'Operating Budget'!B84</f>
        <v>Electric  - Model</v>
      </c>
      <c r="C80" s="48" t="e">
        <f>#REF!</f>
        <v>#REF!</v>
      </c>
      <c r="D80" s="49" t="e">
        <f>#REF!</f>
        <v>#REF!</v>
      </c>
      <c r="E80" s="49" t="e">
        <f>#REF!</f>
        <v>#REF!</v>
      </c>
      <c r="F80" s="50" t="e">
        <f>#REF!</f>
        <v>#REF!</v>
      </c>
      <c r="G80" s="12" t="e">
        <f>'Operating Budget'!#REF!</f>
        <v>#REF!</v>
      </c>
      <c r="H80" s="12" t="e">
        <f>'Operating Budget'!#REF!</f>
        <v>#REF!</v>
      </c>
      <c r="I80" s="12" t="e">
        <f>'Operating Budget'!#REF!</f>
        <v>#REF!</v>
      </c>
      <c r="J80" s="12">
        <f>'Operating Budget'!F84</f>
        <v>100</v>
      </c>
      <c r="K80" s="12">
        <f>'Operating Budget'!J84</f>
        <v>100</v>
      </c>
      <c r="L80" s="12">
        <f>'Operating Budget'!K84</f>
        <v>100</v>
      </c>
      <c r="M80" s="12">
        <f>'Operating Budget'!L84</f>
        <v>100</v>
      </c>
      <c r="N80" s="12">
        <f>'Operating Budget'!M84</f>
        <v>100</v>
      </c>
      <c r="O80" s="12">
        <f>'Operating Budget'!N84</f>
        <v>100</v>
      </c>
      <c r="P80" s="12">
        <f>'Operating Budget'!O84</f>
        <v>100</v>
      </c>
      <c r="Q80" s="12">
        <f>'Operating Budget'!P84</f>
        <v>100</v>
      </c>
      <c r="R80" s="12">
        <f>'Operating Budget'!Q84</f>
        <v>100</v>
      </c>
      <c r="S80" s="12" t="e">
        <f t="shared" si="10"/>
        <v>#REF!</v>
      </c>
    </row>
    <row r="81" spans="1:19">
      <c r="A81" s="11">
        <f>'Operating Budget'!A85</f>
        <v>7017</v>
      </c>
      <c r="B81" s="10" t="str">
        <f>'Operating Budget'!B85</f>
        <v>Utilities - Billing Fee</v>
      </c>
      <c r="C81" s="48" t="e">
        <f>#REF!</f>
        <v>#REF!</v>
      </c>
      <c r="D81" s="49" t="e">
        <f>#REF!</f>
        <v>#REF!</v>
      </c>
      <c r="E81" s="49" t="e">
        <f>#REF!</f>
        <v>#REF!</v>
      </c>
      <c r="F81" s="50" t="e">
        <f>#REF!</f>
        <v>#REF!</v>
      </c>
      <c r="G81" s="12" t="e">
        <f>'Operating Budget'!#REF!</f>
        <v>#REF!</v>
      </c>
      <c r="H81" s="12" t="e">
        <f>'Operating Budget'!#REF!</f>
        <v>#REF!</v>
      </c>
      <c r="I81" s="12" t="e">
        <f>'Operating Budget'!#REF!</f>
        <v>#REF!</v>
      </c>
      <c r="J81" s="12">
        <f>'Operating Budget'!F85</f>
        <v>75</v>
      </c>
      <c r="K81" s="12">
        <f>'Operating Budget'!J85</f>
        <v>161.25</v>
      </c>
      <c r="L81" s="12">
        <f>'Operating Budget'!K85</f>
        <v>255</v>
      </c>
      <c r="M81" s="12">
        <f>'Operating Budget'!L85</f>
        <v>307.5</v>
      </c>
      <c r="N81" s="12">
        <f>'Operating Budget'!M85</f>
        <v>307.5</v>
      </c>
      <c r="O81" s="12">
        <f>'Operating Budget'!N85</f>
        <v>307.5</v>
      </c>
      <c r="P81" s="12">
        <f>'Operating Budget'!O85</f>
        <v>307.5</v>
      </c>
      <c r="Q81" s="12">
        <f>'Operating Budget'!P85</f>
        <v>307.5</v>
      </c>
      <c r="R81" s="12">
        <f>'Operating Budget'!Q85</f>
        <v>307.5</v>
      </c>
      <c r="S81" s="12" t="e">
        <f t="shared" si="10"/>
        <v>#REF!</v>
      </c>
    </row>
    <row r="82" spans="1:19">
      <c r="A82" s="11">
        <f>'Operating Budget'!A86</f>
        <v>7020</v>
      </c>
      <c r="B82" s="10" t="str">
        <f>'Operating Budget'!B86</f>
        <v>Utilities - Electricity</v>
      </c>
      <c r="C82" s="48" t="e">
        <f>#REF!</f>
        <v>#REF!</v>
      </c>
      <c r="D82" s="49" t="e">
        <f>#REF!</f>
        <v>#REF!</v>
      </c>
      <c r="E82" s="49" t="e">
        <f>#REF!</f>
        <v>#REF!</v>
      </c>
      <c r="F82" s="50" t="e">
        <f>#REF!</f>
        <v>#REF!</v>
      </c>
      <c r="G82" s="12" t="e">
        <f>'Operating Budget'!#REF!</f>
        <v>#REF!</v>
      </c>
      <c r="H82" s="12" t="e">
        <f>'Operating Budget'!#REF!</f>
        <v>#REF!</v>
      </c>
      <c r="I82" s="12" t="e">
        <f>'Operating Budget'!#REF!</f>
        <v>#REF!</v>
      </c>
      <c r="J82" s="12">
        <f>'Operating Budget'!F86</f>
        <v>0</v>
      </c>
      <c r="K82" s="12">
        <f>'Operating Budget'!J86</f>
        <v>0</v>
      </c>
      <c r="L82" s="12">
        <f>'Operating Budget'!K86</f>
        <v>0</v>
      </c>
      <c r="M82" s="12">
        <f>'Operating Budget'!L86</f>
        <v>0</v>
      </c>
      <c r="N82" s="12">
        <f>'Operating Budget'!M86</f>
        <v>0</v>
      </c>
      <c r="O82" s="12">
        <f>'Operating Budget'!N86</f>
        <v>0</v>
      </c>
      <c r="P82" s="12">
        <f>'Operating Budget'!O86</f>
        <v>0</v>
      </c>
      <c r="Q82" s="12">
        <f>'Operating Budget'!P86</f>
        <v>0</v>
      </c>
      <c r="R82" s="12">
        <f>'Operating Budget'!Q86</f>
        <v>0</v>
      </c>
      <c r="S82" s="12" t="e">
        <f t="shared" si="10"/>
        <v>#REF!</v>
      </c>
    </row>
    <row r="83" spans="1:19">
      <c r="A83" s="11">
        <f>'Operating Budget'!A87</f>
        <v>7030</v>
      </c>
      <c r="B83" s="10" t="str">
        <f>'Operating Budget'!B87</f>
        <v>Utilities - Gas/Heating Oil</v>
      </c>
      <c r="C83" s="48" t="e">
        <f>#REF!</f>
        <v>#REF!</v>
      </c>
      <c r="D83" s="49" t="e">
        <f>#REF!</f>
        <v>#REF!</v>
      </c>
      <c r="E83" s="49" t="e">
        <f>#REF!</f>
        <v>#REF!</v>
      </c>
      <c r="F83" s="50" t="e">
        <f>#REF!</f>
        <v>#REF!</v>
      </c>
      <c r="G83" s="12" t="e">
        <f>'Operating Budget'!#REF!</f>
        <v>#REF!</v>
      </c>
      <c r="H83" s="12" t="e">
        <f>'Operating Budget'!#REF!</f>
        <v>#REF!</v>
      </c>
      <c r="I83" s="12" t="e">
        <f>'Operating Budget'!#REF!</f>
        <v>#REF!</v>
      </c>
      <c r="J83" s="12">
        <f>'Operating Budget'!F87</f>
        <v>0</v>
      </c>
      <c r="K83" s="12">
        <f>'Operating Budget'!J87</f>
        <v>0</v>
      </c>
      <c r="L83" s="12">
        <f>'Operating Budget'!K87</f>
        <v>0</v>
      </c>
      <c r="M83" s="12">
        <f>'Operating Budget'!L87</f>
        <v>0</v>
      </c>
      <c r="N83" s="12">
        <f>'Operating Budget'!M87</f>
        <v>0</v>
      </c>
      <c r="O83" s="12">
        <f>'Operating Budget'!N87</f>
        <v>0</v>
      </c>
      <c r="P83" s="12">
        <f>'Operating Budget'!O87</f>
        <v>0</v>
      </c>
      <c r="Q83" s="12">
        <f>'Operating Budget'!P87</f>
        <v>0</v>
      </c>
      <c r="R83" s="12">
        <f>'Operating Budget'!Q87</f>
        <v>0</v>
      </c>
      <c r="S83" s="12" t="e">
        <f t="shared" si="10"/>
        <v>#REF!</v>
      </c>
    </row>
    <row r="84" spans="1:19">
      <c r="A84" s="11">
        <f>'Operating Budget'!A88</f>
        <v>7060</v>
      </c>
      <c r="B84" s="10" t="str">
        <f>'Operating Budget'!B88</f>
        <v>Utilities - Water/Sewer</v>
      </c>
      <c r="C84" s="48" t="e">
        <f>#REF!</f>
        <v>#REF!</v>
      </c>
      <c r="D84" s="49" t="e">
        <f>#REF!</f>
        <v>#REF!</v>
      </c>
      <c r="E84" s="49" t="e">
        <f>#REF!</f>
        <v>#REF!</v>
      </c>
      <c r="F84" s="50" t="e">
        <f>#REF!</f>
        <v>#REF!</v>
      </c>
      <c r="G84" s="12" t="e">
        <f>'Operating Budget'!#REF!</f>
        <v>#REF!</v>
      </c>
      <c r="H84" s="12" t="e">
        <f>'Operating Budget'!#REF!</f>
        <v>#REF!</v>
      </c>
      <c r="I84" s="12" t="e">
        <f>'Operating Budget'!#REF!</f>
        <v>#REF!</v>
      </c>
      <c r="J84" s="12">
        <f>'Operating Budget'!F88</f>
        <v>600</v>
      </c>
      <c r="K84" s="12">
        <f>'Operating Budget'!J88</f>
        <v>1290</v>
      </c>
      <c r="L84" s="12">
        <f>'Operating Budget'!K88</f>
        <v>2040</v>
      </c>
      <c r="M84" s="12">
        <f>'Operating Budget'!L88</f>
        <v>2460</v>
      </c>
      <c r="N84" s="12">
        <f>'Operating Budget'!M88</f>
        <v>2460</v>
      </c>
      <c r="O84" s="12">
        <f>'Operating Budget'!N88</f>
        <v>2460</v>
      </c>
      <c r="P84" s="12">
        <f>'Operating Budget'!O88</f>
        <v>2460</v>
      </c>
      <c r="Q84" s="12">
        <f>'Operating Budget'!P88</f>
        <v>2460</v>
      </c>
      <c r="R84" s="12">
        <f>'Operating Budget'!Q88</f>
        <v>2460</v>
      </c>
      <c r="S84" s="12" t="e">
        <f t="shared" si="10"/>
        <v>#REF!</v>
      </c>
    </row>
    <row r="85" spans="1:19">
      <c r="C85" s="23"/>
      <c r="D85" s="17"/>
      <c r="E85" s="17"/>
      <c r="F85" s="24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</row>
    <row r="86" spans="1:19">
      <c r="B86" s="13" t="s">
        <v>35</v>
      </c>
      <c r="C86" s="30" t="e">
        <f t="shared" ref="C86:F86" si="11">SUM(C77:C84)</f>
        <v>#REF!</v>
      </c>
      <c r="D86" s="31" t="e">
        <f t="shared" si="11"/>
        <v>#REF!</v>
      </c>
      <c r="E86" s="31" t="e">
        <f t="shared" si="11"/>
        <v>#REF!</v>
      </c>
      <c r="F86" s="32" t="e">
        <f t="shared" si="11"/>
        <v>#REF!</v>
      </c>
      <c r="G86" s="39" t="e">
        <f t="shared" ref="G86:S86" si="12">SUM(G77:G84)</f>
        <v>#REF!</v>
      </c>
      <c r="H86" s="39" t="e">
        <f t="shared" si="12"/>
        <v>#REF!</v>
      </c>
      <c r="I86" s="39" t="e">
        <f t="shared" si="12"/>
        <v>#REF!</v>
      </c>
      <c r="J86" s="39">
        <f t="shared" si="12"/>
        <v>1858.3333333333333</v>
      </c>
      <c r="K86" s="39">
        <f t="shared" si="12"/>
        <v>3551.25</v>
      </c>
      <c r="L86" s="39">
        <f t="shared" si="12"/>
        <v>4945</v>
      </c>
      <c r="M86" s="39">
        <f t="shared" si="12"/>
        <v>4517.5</v>
      </c>
      <c r="N86" s="39">
        <f t="shared" si="12"/>
        <v>4217.5</v>
      </c>
      <c r="O86" s="39">
        <f t="shared" si="12"/>
        <v>4217.5</v>
      </c>
      <c r="P86" s="39">
        <f t="shared" si="12"/>
        <v>4217.5</v>
      </c>
      <c r="Q86" s="39">
        <f t="shared" si="12"/>
        <v>4217.5</v>
      </c>
      <c r="R86" s="39">
        <f t="shared" si="12"/>
        <v>4217.5</v>
      </c>
      <c r="S86" s="39" t="e">
        <f t="shared" si="12"/>
        <v>#REF!</v>
      </c>
    </row>
    <row r="87" spans="1:19">
      <c r="C87" s="21"/>
      <c r="F87" s="2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B88" s="13" t="s">
        <v>5</v>
      </c>
      <c r="C88" s="25"/>
      <c r="D88" s="13"/>
      <c r="E88" s="13"/>
      <c r="F88" s="26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C89" s="21"/>
      <c r="F89" s="2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11">
        <f>'Operating Budget'!A94</f>
        <v>7210</v>
      </c>
      <c r="B90" s="10" t="str">
        <f>'Operating Budget'!B94</f>
        <v>Answering/On Hold Services</v>
      </c>
      <c r="C90" s="48" t="e">
        <f>#REF!</f>
        <v>#REF!</v>
      </c>
      <c r="D90" s="49" t="e">
        <f>#REF!</f>
        <v>#REF!</v>
      </c>
      <c r="E90" s="49" t="e">
        <f>#REF!</f>
        <v>#REF!</v>
      </c>
      <c r="F90" s="50" t="e">
        <f>#REF!</f>
        <v>#REF!</v>
      </c>
      <c r="G90" s="12" t="e">
        <f>'Operating Budget'!#REF!</f>
        <v>#REF!</v>
      </c>
      <c r="H90" s="12" t="e">
        <f>'Operating Budget'!#REF!</f>
        <v>#REF!</v>
      </c>
      <c r="I90" s="12" t="e">
        <f>'Operating Budget'!#REF!</f>
        <v>#REF!</v>
      </c>
      <c r="J90" s="12">
        <f>'Operating Budget'!F94</f>
        <v>0</v>
      </c>
      <c r="K90" s="12">
        <f>'Operating Budget'!J94</f>
        <v>0</v>
      </c>
      <c r="L90" s="12">
        <f>'Operating Budget'!K94</f>
        <v>0</v>
      </c>
      <c r="M90" s="12">
        <f>'Operating Budget'!L94</f>
        <v>0</v>
      </c>
      <c r="N90" s="12">
        <f>'Operating Budget'!M94</f>
        <v>0</v>
      </c>
      <c r="O90" s="12">
        <f>'Operating Budget'!N94</f>
        <v>0</v>
      </c>
      <c r="P90" s="12">
        <f>'Operating Budget'!O94</f>
        <v>0</v>
      </c>
      <c r="Q90" s="12">
        <f>'Operating Budget'!P94</f>
        <v>0</v>
      </c>
      <c r="R90" s="12">
        <f>'Operating Budget'!Q94</f>
        <v>0</v>
      </c>
      <c r="S90" s="12" t="e">
        <f>SUM(G90:R90)</f>
        <v>#REF!</v>
      </c>
    </row>
    <row r="91" spans="1:19">
      <c r="A91" s="11">
        <f>'Operating Budget'!A95</f>
        <v>7220</v>
      </c>
      <c r="B91" s="10" t="str">
        <f>'Operating Budget'!B95</f>
        <v>Bank Charges</v>
      </c>
      <c r="C91" s="48" t="e">
        <f>#REF!</f>
        <v>#REF!</v>
      </c>
      <c r="D91" s="49" t="e">
        <f>#REF!</f>
        <v>#REF!</v>
      </c>
      <c r="E91" s="49" t="e">
        <f>#REF!</f>
        <v>#REF!</v>
      </c>
      <c r="F91" s="50" t="e">
        <f>#REF!</f>
        <v>#REF!</v>
      </c>
      <c r="G91" s="12" t="e">
        <f>'Operating Budget'!#REF!</f>
        <v>#REF!</v>
      </c>
      <c r="H91" s="12" t="e">
        <f>'Operating Budget'!#REF!</f>
        <v>#REF!</v>
      </c>
      <c r="I91" s="12" t="e">
        <f>'Operating Budget'!#REF!</f>
        <v>#REF!</v>
      </c>
      <c r="J91" s="12">
        <f>'Operating Budget'!F95</f>
        <v>0</v>
      </c>
      <c r="K91" s="12">
        <f>'Operating Budget'!J95</f>
        <v>0</v>
      </c>
      <c r="L91" s="12">
        <f>'Operating Budget'!K95</f>
        <v>0</v>
      </c>
      <c r="M91" s="12">
        <f>'Operating Budget'!L95</f>
        <v>0</v>
      </c>
      <c r="N91" s="12">
        <f>'Operating Budget'!M95</f>
        <v>0</v>
      </c>
      <c r="O91" s="12">
        <f>'Operating Budget'!N95</f>
        <v>0</v>
      </c>
      <c r="P91" s="12">
        <f>'Operating Budget'!O95</f>
        <v>0</v>
      </c>
      <c r="Q91" s="12">
        <f>'Operating Budget'!P95</f>
        <v>0</v>
      </c>
      <c r="R91" s="12">
        <f>'Operating Budget'!Q95</f>
        <v>0</v>
      </c>
      <c r="S91" s="12"/>
    </row>
    <row r="92" spans="1:19">
      <c r="A92" s="11">
        <f>'Operating Budget'!A96</f>
        <v>7230</v>
      </c>
      <c r="B92" s="10" t="str">
        <f>'Operating Budget'!B96</f>
        <v>Cell Phones/Pagers</v>
      </c>
      <c r="C92" s="48" t="e">
        <f>#REF!</f>
        <v>#REF!</v>
      </c>
      <c r="D92" s="49" t="e">
        <f>#REF!</f>
        <v>#REF!</v>
      </c>
      <c r="E92" s="49" t="e">
        <f>#REF!</f>
        <v>#REF!</v>
      </c>
      <c r="F92" s="50" t="e">
        <f>#REF!</f>
        <v>#REF!</v>
      </c>
      <c r="G92" s="12" t="e">
        <f>'Operating Budget'!#REF!</f>
        <v>#REF!</v>
      </c>
      <c r="H92" s="12" t="e">
        <f>'Operating Budget'!#REF!</f>
        <v>#REF!</v>
      </c>
      <c r="I92" s="12" t="e">
        <f>'Operating Budget'!#REF!</f>
        <v>#REF!</v>
      </c>
      <c r="J92" s="12">
        <f>'Operating Budget'!F96</f>
        <v>150</v>
      </c>
      <c r="K92" s="12">
        <f>'Operating Budget'!J96</f>
        <v>150</v>
      </c>
      <c r="L92" s="12">
        <f>'Operating Budget'!K96</f>
        <v>150</v>
      </c>
      <c r="M92" s="12">
        <f>'Operating Budget'!L96</f>
        <v>150</v>
      </c>
      <c r="N92" s="12">
        <f>'Operating Budget'!M96</f>
        <v>150</v>
      </c>
      <c r="O92" s="12">
        <f>'Operating Budget'!N96</f>
        <v>150</v>
      </c>
      <c r="P92" s="12">
        <f>'Operating Budget'!O96</f>
        <v>150</v>
      </c>
      <c r="Q92" s="12">
        <f>'Operating Budget'!P96</f>
        <v>150</v>
      </c>
      <c r="R92" s="12">
        <f>'Operating Budget'!Q96</f>
        <v>150</v>
      </c>
      <c r="S92" s="12" t="e">
        <f t="shared" ref="S92:S127" si="13">SUM(G92:R92)</f>
        <v>#REF!</v>
      </c>
    </row>
    <row r="93" spans="1:19">
      <c r="A93" s="11">
        <f>'Operating Budget'!A97</f>
        <v>7235</v>
      </c>
      <c r="B93" s="10" t="str">
        <f>'Operating Budget'!B97</f>
        <v>Coffee and Refreshments</v>
      </c>
      <c r="C93" s="48" t="e">
        <f>#REF!</f>
        <v>#REF!</v>
      </c>
      <c r="D93" s="49" t="e">
        <f>#REF!</f>
        <v>#REF!</v>
      </c>
      <c r="E93" s="49" t="e">
        <f>#REF!</f>
        <v>#REF!</v>
      </c>
      <c r="F93" s="50" t="e">
        <f>#REF!</f>
        <v>#REF!</v>
      </c>
      <c r="G93" s="12" t="e">
        <f>'Operating Budget'!#REF!</f>
        <v>#REF!</v>
      </c>
      <c r="H93" s="12" t="e">
        <f>'Operating Budget'!#REF!</f>
        <v>#REF!</v>
      </c>
      <c r="I93" s="12" t="e">
        <f>'Operating Budget'!#REF!</f>
        <v>#REF!</v>
      </c>
      <c r="J93" s="12">
        <f>'Operating Budget'!F97</f>
        <v>100</v>
      </c>
      <c r="K93" s="12">
        <f>'Operating Budget'!J97</f>
        <v>150</v>
      </c>
      <c r="L93" s="12">
        <f>'Operating Budget'!K97</f>
        <v>150</v>
      </c>
      <c r="M93" s="12">
        <f>'Operating Budget'!L97</f>
        <v>150</v>
      </c>
      <c r="N93" s="12">
        <f>'Operating Budget'!M97</f>
        <v>300</v>
      </c>
      <c r="O93" s="12">
        <f>'Operating Budget'!N97</f>
        <v>300</v>
      </c>
      <c r="P93" s="12">
        <f>'Operating Budget'!O97</f>
        <v>300</v>
      </c>
      <c r="Q93" s="12">
        <f>'Operating Budget'!P97</f>
        <v>350</v>
      </c>
      <c r="R93" s="12">
        <f>'Operating Budget'!Q97</f>
        <v>350</v>
      </c>
      <c r="S93" s="12" t="e">
        <f t="shared" si="13"/>
        <v>#REF!</v>
      </c>
    </row>
    <row r="94" spans="1:19">
      <c r="A94" s="11">
        <f>'Operating Budget'!A98</f>
        <v>7237</v>
      </c>
      <c r="B94" s="10" t="str">
        <f>'Operating Budget'!B98</f>
        <v>Compliance Fees</v>
      </c>
      <c r="C94" s="48" t="e">
        <f>#REF!</f>
        <v>#REF!</v>
      </c>
      <c r="D94" s="49" t="e">
        <f>#REF!</f>
        <v>#REF!</v>
      </c>
      <c r="E94" s="49" t="e">
        <f>#REF!</f>
        <v>#REF!</v>
      </c>
      <c r="F94" s="50" t="e">
        <f>#REF!</f>
        <v>#REF!</v>
      </c>
      <c r="G94" s="12" t="e">
        <f>'Operating Budget'!#REF!</f>
        <v>#REF!</v>
      </c>
      <c r="H94" s="12" t="e">
        <f>'Operating Budget'!#REF!</f>
        <v>#REF!</v>
      </c>
      <c r="I94" s="12" t="e">
        <f>'Operating Budget'!#REF!</f>
        <v>#REF!</v>
      </c>
      <c r="J94" s="12">
        <f>'Operating Budget'!F98</f>
        <v>0</v>
      </c>
      <c r="K94" s="12">
        <f>'Operating Budget'!J98</f>
        <v>0</v>
      </c>
      <c r="L94" s="12">
        <f>'Operating Budget'!K98</f>
        <v>0</v>
      </c>
      <c r="M94" s="12">
        <f>'Operating Budget'!L98</f>
        <v>0</v>
      </c>
      <c r="N94" s="12">
        <f>'Operating Budget'!M98</f>
        <v>0</v>
      </c>
      <c r="O94" s="12">
        <f>'Operating Budget'!N98</f>
        <v>0</v>
      </c>
      <c r="P94" s="12">
        <f>'Operating Budget'!O98</f>
        <v>0</v>
      </c>
      <c r="Q94" s="12">
        <f>'Operating Budget'!P98</f>
        <v>0</v>
      </c>
      <c r="R94" s="12">
        <f>'Operating Budget'!Q98</f>
        <v>0</v>
      </c>
      <c r="S94" s="12" t="e">
        <f t="shared" si="13"/>
        <v>#REF!</v>
      </c>
    </row>
    <row r="95" spans="1:19">
      <c r="A95" s="11">
        <f>'Operating Budget'!A99</f>
        <v>7240</v>
      </c>
      <c r="B95" s="10" t="str">
        <f>'Operating Budget'!B99</f>
        <v>Computer Expense</v>
      </c>
      <c r="C95" s="48" t="e">
        <f>#REF!</f>
        <v>#REF!</v>
      </c>
      <c r="D95" s="49" t="e">
        <f>#REF!</f>
        <v>#REF!</v>
      </c>
      <c r="E95" s="49" t="e">
        <f>#REF!</f>
        <v>#REF!</v>
      </c>
      <c r="F95" s="50" t="e">
        <f>#REF!</f>
        <v>#REF!</v>
      </c>
      <c r="G95" s="12" t="e">
        <f>'Operating Budget'!#REF!</f>
        <v>#REF!</v>
      </c>
      <c r="H95" s="12" t="e">
        <f>'Operating Budget'!#REF!</f>
        <v>#REF!</v>
      </c>
      <c r="I95" s="12" t="e">
        <f>'Operating Budget'!#REF!</f>
        <v>#REF!</v>
      </c>
      <c r="J95" s="12">
        <f>'Operating Budget'!F99</f>
        <v>125</v>
      </c>
      <c r="K95" s="12">
        <f>'Operating Budget'!J99</f>
        <v>125</v>
      </c>
      <c r="L95" s="12">
        <f>'Operating Budget'!K99</f>
        <v>125</v>
      </c>
      <c r="M95" s="12">
        <f>'Operating Budget'!L99</f>
        <v>125</v>
      </c>
      <c r="N95" s="12">
        <f>'Operating Budget'!M99</f>
        <v>125</v>
      </c>
      <c r="O95" s="12">
        <f>'Operating Budget'!N99</f>
        <v>125</v>
      </c>
      <c r="P95" s="12">
        <f>'Operating Budget'!O99</f>
        <v>125</v>
      </c>
      <c r="Q95" s="12">
        <f>'Operating Budget'!P99</f>
        <v>125</v>
      </c>
      <c r="R95" s="12">
        <f>'Operating Budget'!Q99</f>
        <v>125</v>
      </c>
      <c r="S95" s="12" t="e">
        <f t="shared" si="13"/>
        <v>#REF!</v>
      </c>
    </row>
    <row r="96" spans="1:19">
      <c r="A96" s="11" t="e">
        <f>'Operating Budget'!#REF!</f>
        <v>#REF!</v>
      </c>
      <c r="B96" s="10" t="e">
        <f>'Operating Budget'!#REF!</f>
        <v>#REF!</v>
      </c>
      <c r="C96" s="48" t="e">
        <f>#REF!</f>
        <v>#REF!</v>
      </c>
      <c r="D96" s="49" t="e">
        <f>#REF!</f>
        <v>#REF!</v>
      </c>
      <c r="E96" s="49" t="e">
        <f>#REF!</f>
        <v>#REF!</v>
      </c>
      <c r="F96" s="50" t="e">
        <f>#REF!</f>
        <v>#REF!</v>
      </c>
      <c r="G96" s="12" t="e">
        <f>'Operating Budget'!#REF!</f>
        <v>#REF!</v>
      </c>
      <c r="H96" s="12" t="e">
        <f>'Operating Budget'!#REF!</f>
        <v>#REF!</v>
      </c>
      <c r="I96" s="12" t="e">
        <f>'Operating Budget'!#REF!</f>
        <v>#REF!</v>
      </c>
      <c r="J96" s="12" t="e">
        <f>'Operating Budget'!#REF!</f>
        <v>#REF!</v>
      </c>
      <c r="K96" s="12" t="e">
        <f>'Operating Budget'!#REF!</f>
        <v>#REF!</v>
      </c>
      <c r="L96" s="12" t="e">
        <f>'Operating Budget'!#REF!</f>
        <v>#REF!</v>
      </c>
      <c r="M96" s="12" t="e">
        <f>'Operating Budget'!#REF!</f>
        <v>#REF!</v>
      </c>
      <c r="N96" s="12" t="e">
        <f>'Operating Budget'!#REF!</f>
        <v>#REF!</v>
      </c>
      <c r="O96" s="12" t="e">
        <f>'Operating Budget'!#REF!</f>
        <v>#REF!</v>
      </c>
      <c r="P96" s="12" t="e">
        <f>'Operating Budget'!#REF!</f>
        <v>#REF!</v>
      </c>
      <c r="Q96" s="12" t="e">
        <f>'Operating Budget'!#REF!</f>
        <v>#REF!</v>
      </c>
      <c r="R96" s="12" t="e">
        <f>'Operating Budget'!#REF!</f>
        <v>#REF!</v>
      </c>
      <c r="S96" s="12" t="e">
        <f t="shared" si="13"/>
        <v>#REF!</v>
      </c>
    </row>
    <row r="97" spans="1:19">
      <c r="A97" s="11">
        <f>'Operating Budget'!A100</f>
        <v>7251</v>
      </c>
      <c r="B97" s="10" t="str">
        <f>'Operating Budget'!B100</f>
        <v>Key Machine Contract</v>
      </c>
      <c r="C97" s="48" t="e">
        <f>#REF!</f>
        <v>#REF!</v>
      </c>
      <c r="D97" s="49" t="e">
        <f>#REF!</f>
        <v>#REF!</v>
      </c>
      <c r="E97" s="49" t="e">
        <f>#REF!</f>
        <v>#REF!</v>
      </c>
      <c r="F97" s="50" t="e">
        <f>#REF!</f>
        <v>#REF!</v>
      </c>
      <c r="G97" s="12" t="e">
        <f>'Operating Budget'!#REF!</f>
        <v>#REF!</v>
      </c>
      <c r="H97" s="12" t="e">
        <f>'Operating Budget'!#REF!</f>
        <v>#REF!</v>
      </c>
      <c r="I97" s="12" t="e">
        <f>'Operating Budget'!#REF!</f>
        <v>#REF!</v>
      </c>
      <c r="J97" s="12">
        <f>'Operating Budget'!F100</f>
        <v>0</v>
      </c>
      <c r="K97" s="12">
        <f>'Operating Budget'!J100</f>
        <v>0</v>
      </c>
      <c r="L97" s="12">
        <f>'Operating Budget'!K100</f>
        <v>0</v>
      </c>
      <c r="M97" s="12">
        <f>'Operating Budget'!L100</f>
        <v>0</v>
      </c>
      <c r="N97" s="12">
        <f>'Operating Budget'!M100</f>
        <v>0</v>
      </c>
      <c r="O97" s="12">
        <f>'Operating Budget'!N100</f>
        <v>0</v>
      </c>
      <c r="P97" s="12">
        <f>'Operating Budget'!O100</f>
        <v>0</v>
      </c>
      <c r="Q97" s="12">
        <f>'Operating Budget'!P100</f>
        <v>0</v>
      </c>
      <c r="R97" s="12">
        <f>'Operating Budget'!Q100</f>
        <v>0</v>
      </c>
      <c r="S97" s="12" t="e">
        <f t="shared" si="13"/>
        <v>#REF!</v>
      </c>
    </row>
    <row r="98" spans="1:19">
      <c r="A98" s="11">
        <f>'Operating Budget'!A101</f>
        <v>7260</v>
      </c>
      <c r="B98" s="10" t="str">
        <f>'Operating Budget'!B101</f>
        <v>Credit Card/ACH Fees</v>
      </c>
      <c r="C98" s="48" t="e">
        <f>#REF!</f>
        <v>#REF!</v>
      </c>
      <c r="D98" s="49" t="e">
        <f>#REF!</f>
        <v>#REF!</v>
      </c>
      <c r="E98" s="49" t="e">
        <f>#REF!</f>
        <v>#REF!</v>
      </c>
      <c r="F98" s="50" t="e">
        <f>#REF!</f>
        <v>#REF!</v>
      </c>
      <c r="G98" s="12" t="e">
        <f>'Operating Budget'!#REF!</f>
        <v>#REF!</v>
      </c>
      <c r="H98" s="12" t="e">
        <f>'Operating Budget'!#REF!</f>
        <v>#REF!</v>
      </c>
      <c r="I98" s="12" t="e">
        <f>'Operating Budget'!#REF!</f>
        <v>#REF!</v>
      </c>
      <c r="J98" s="12">
        <f>'Operating Budget'!F101</f>
        <v>0</v>
      </c>
      <c r="K98" s="12">
        <f>'Operating Budget'!J101</f>
        <v>0</v>
      </c>
      <c r="L98" s="12">
        <f>'Operating Budget'!K101</f>
        <v>0</v>
      </c>
      <c r="M98" s="12">
        <f>'Operating Budget'!L101</f>
        <v>0</v>
      </c>
      <c r="N98" s="12">
        <f>'Operating Budget'!M101</f>
        <v>0</v>
      </c>
      <c r="O98" s="12">
        <f>'Operating Budget'!N101</f>
        <v>0</v>
      </c>
      <c r="P98" s="12">
        <f>'Operating Budget'!O101</f>
        <v>0</v>
      </c>
      <c r="Q98" s="12">
        <f>'Operating Budget'!P101</f>
        <v>0</v>
      </c>
      <c r="R98" s="12">
        <f>'Operating Budget'!Q101</f>
        <v>0</v>
      </c>
      <c r="S98" s="12" t="e">
        <f t="shared" si="13"/>
        <v>#REF!</v>
      </c>
    </row>
    <row r="99" spans="1:19">
      <c r="A99" s="11">
        <f>'Operating Budget'!A102</f>
        <v>7270</v>
      </c>
      <c r="B99" s="10" t="str">
        <f>'Operating Budget'!B102</f>
        <v>Dues and Subscriptions</v>
      </c>
      <c r="C99" s="48" t="e">
        <f>#REF!</f>
        <v>#REF!</v>
      </c>
      <c r="D99" s="49" t="e">
        <f>#REF!</f>
        <v>#REF!</v>
      </c>
      <c r="E99" s="49" t="e">
        <f>#REF!</f>
        <v>#REF!</v>
      </c>
      <c r="F99" s="50" t="e">
        <f>#REF!</f>
        <v>#REF!</v>
      </c>
      <c r="G99" s="12" t="e">
        <f>'Operating Budget'!#REF!</f>
        <v>#REF!</v>
      </c>
      <c r="H99" s="12" t="e">
        <f>'Operating Budget'!#REF!</f>
        <v>#REF!</v>
      </c>
      <c r="I99" s="12" t="e">
        <f>'Operating Budget'!#REF!</f>
        <v>#REF!</v>
      </c>
      <c r="J99" s="12">
        <f>'Operating Budget'!F102</f>
        <v>435</v>
      </c>
      <c r="K99" s="12">
        <f>'Operating Budget'!J102</f>
        <v>0</v>
      </c>
      <c r="L99" s="12">
        <f>'Operating Budget'!K102</f>
        <v>0</v>
      </c>
      <c r="M99" s="12">
        <f>'Operating Budget'!L102</f>
        <v>0</v>
      </c>
      <c r="N99" s="12">
        <f>'Operating Budget'!M102</f>
        <v>0</v>
      </c>
      <c r="O99" s="12">
        <f>'Operating Budget'!N102</f>
        <v>0</v>
      </c>
      <c r="P99" s="12">
        <f>'Operating Budget'!O102</f>
        <v>0</v>
      </c>
      <c r="Q99" s="12">
        <f>'Operating Budget'!P102</f>
        <v>0</v>
      </c>
      <c r="R99" s="12">
        <f>'Operating Budget'!Q102</f>
        <v>0</v>
      </c>
      <c r="S99" s="12" t="e">
        <f t="shared" si="13"/>
        <v>#REF!</v>
      </c>
    </row>
    <row r="100" spans="1:19">
      <c r="A100" s="11">
        <f>'Operating Budget'!A103</f>
        <v>7280</v>
      </c>
      <c r="B100" s="10" t="str">
        <f>'Operating Budget'!B103</f>
        <v>Employee Meetings</v>
      </c>
      <c r="C100" s="48" t="e">
        <f>#REF!</f>
        <v>#REF!</v>
      </c>
      <c r="D100" s="49" t="e">
        <f>#REF!</f>
        <v>#REF!</v>
      </c>
      <c r="E100" s="49" t="e">
        <f>#REF!</f>
        <v>#REF!</v>
      </c>
      <c r="F100" s="50" t="e">
        <f>#REF!</f>
        <v>#REF!</v>
      </c>
      <c r="G100" s="12" t="e">
        <f>'Operating Budget'!#REF!</f>
        <v>#REF!</v>
      </c>
      <c r="H100" s="12" t="e">
        <f>'Operating Budget'!#REF!</f>
        <v>#REF!</v>
      </c>
      <c r="I100" s="12" t="e">
        <f>'Operating Budget'!#REF!</f>
        <v>#REF!</v>
      </c>
      <c r="J100" s="12">
        <f>'Operating Budget'!F103</f>
        <v>50</v>
      </c>
      <c r="K100" s="12">
        <f>'Operating Budget'!J103</f>
        <v>50</v>
      </c>
      <c r="L100" s="12">
        <f>'Operating Budget'!K103</f>
        <v>0</v>
      </c>
      <c r="M100" s="12">
        <f>'Operating Budget'!L103</f>
        <v>50</v>
      </c>
      <c r="N100" s="12">
        <f>'Operating Budget'!M103</f>
        <v>0</v>
      </c>
      <c r="O100" s="12">
        <f>'Operating Budget'!N103</f>
        <v>50</v>
      </c>
      <c r="P100" s="12">
        <f>'Operating Budget'!O103</f>
        <v>0</v>
      </c>
      <c r="Q100" s="12">
        <f>'Operating Budget'!P103</f>
        <v>50</v>
      </c>
      <c r="R100" s="12">
        <f>'Operating Budget'!Q103</f>
        <v>0</v>
      </c>
      <c r="S100" s="12" t="e">
        <f t="shared" si="13"/>
        <v>#REF!</v>
      </c>
    </row>
    <row r="101" spans="1:19">
      <c r="A101" s="11">
        <f>'Operating Budget'!A104</f>
        <v>7290</v>
      </c>
      <c r="B101" s="10" t="str">
        <f>'Operating Budget'!B104</f>
        <v>Employee Recognition</v>
      </c>
      <c r="C101" s="48" t="e">
        <f>#REF!</f>
        <v>#REF!</v>
      </c>
      <c r="D101" s="49" t="e">
        <f>#REF!</f>
        <v>#REF!</v>
      </c>
      <c r="E101" s="49" t="e">
        <f>#REF!</f>
        <v>#REF!</v>
      </c>
      <c r="F101" s="50" t="e">
        <f>#REF!</f>
        <v>#REF!</v>
      </c>
      <c r="G101" s="12" t="e">
        <f>'Operating Budget'!#REF!</f>
        <v>#REF!</v>
      </c>
      <c r="H101" s="12" t="e">
        <f>'Operating Budget'!#REF!</f>
        <v>#REF!</v>
      </c>
      <c r="I101" s="12" t="e">
        <f>'Operating Budget'!#REF!</f>
        <v>#REF!</v>
      </c>
      <c r="J101" s="12">
        <f>'Operating Budget'!F104</f>
        <v>100</v>
      </c>
      <c r="K101" s="12">
        <f>'Operating Budget'!J104</f>
        <v>0</v>
      </c>
      <c r="L101" s="12">
        <f>'Operating Budget'!K104</f>
        <v>0</v>
      </c>
      <c r="M101" s="12">
        <f>'Operating Budget'!L104</f>
        <v>100</v>
      </c>
      <c r="N101" s="12">
        <f>'Operating Budget'!M104</f>
        <v>0</v>
      </c>
      <c r="O101" s="12">
        <f>'Operating Budget'!N104</f>
        <v>0</v>
      </c>
      <c r="P101" s="12">
        <f>'Operating Budget'!O104</f>
        <v>100</v>
      </c>
      <c r="Q101" s="12">
        <f>'Operating Budget'!P104</f>
        <v>0</v>
      </c>
      <c r="R101" s="12">
        <f>'Operating Budget'!Q104</f>
        <v>0</v>
      </c>
      <c r="S101" s="12" t="e">
        <f t="shared" si="13"/>
        <v>#REF!</v>
      </c>
    </row>
    <row r="102" spans="1:19">
      <c r="A102" s="11">
        <f>'Operating Budget'!A105</f>
        <v>7300</v>
      </c>
      <c r="B102" s="10" t="str">
        <f>'Operating Budget'!B105</f>
        <v>Employee Recruitment</v>
      </c>
      <c r="C102" s="48" t="e">
        <f>#REF!</f>
        <v>#REF!</v>
      </c>
      <c r="D102" s="49" t="e">
        <f>#REF!</f>
        <v>#REF!</v>
      </c>
      <c r="E102" s="49" t="e">
        <f>#REF!</f>
        <v>#REF!</v>
      </c>
      <c r="F102" s="50" t="e">
        <f>#REF!</f>
        <v>#REF!</v>
      </c>
      <c r="G102" s="12" t="e">
        <f>'Operating Budget'!#REF!</f>
        <v>#REF!</v>
      </c>
      <c r="H102" s="12" t="e">
        <f>'Operating Budget'!#REF!</f>
        <v>#REF!</v>
      </c>
      <c r="I102" s="12" t="e">
        <f>'Operating Budget'!#REF!</f>
        <v>#REF!</v>
      </c>
      <c r="J102" s="12">
        <f>'Operating Budget'!F105</f>
        <v>0</v>
      </c>
      <c r="K102" s="12">
        <f>'Operating Budget'!J105</f>
        <v>0</v>
      </c>
      <c r="L102" s="12">
        <f>'Operating Budget'!K105</f>
        <v>0</v>
      </c>
      <c r="M102" s="12">
        <f>'Operating Budget'!L105</f>
        <v>0</v>
      </c>
      <c r="N102" s="12">
        <f>'Operating Budget'!M105</f>
        <v>0</v>
      </c>
      <c r="O102" s="12">
        <f>'Operating Budget'!N105</f>
        <v>0</v>
      </c>
      <c r="P102" s="12">
        <f>'Operating Budget'!O105</f>
        <v>0</v>
      </c>
      <c r="Q102" s="12">
        <f>'Operating Budget'!P105</f>
        <v>0</v>
      </c>
      <c r="R102" s="12">
        <f>'Operating Budget'!Q105</f>
        <v>0</v>
      </c>
      <c r="S102" s="12" t="e">
        <f t="shared" si="13"/>
        <v>#REF!</v>
      </c>
    </row>
    <row r="103" spans="1:19">
      <c r="A103" s="11" t="e">
        <f>'Operating Budget'!#REF!</f>
        <v>#REF!</v>
      </c>
      <c r="B103" s="10" t="e">
        <f>'Operating Budget'!#REF!</f>
        <v>#REF!</v>
      </c>
      <c r="C103" s="48" t="e">
        <f>#REF!</f>
        <v>#REF!</v>
      </c>
      <c r="D103" s="49" t="e">
        <f>#REF!</f>
        <v>#REF!</v>
      </c>
      <c r="E103" s="49" t="e">
        <f>#REF!</f>
        <v>#REF!</v>
      </c>
      <c r="F103" s="50" t="e">
        <f>#REF!</f>
        <v>#REF!</v>
      </c>
      <c r="G103" s="12" t="e">
        <f>'Operating Budget'!#REF!</f>
        <v>#REF!</v>
      </c>
      <c r="H103" s="12" t="e">
        <f>'Operating Budget'!#REF!</f>
        <v>#REF!</v>
      </c>
      <c r="I103" s="12" t="e">
        <f>'Operating Budget'!#REF!</f>
        <v>#REF!</v>
      </c>
      <c r="J103" s="12" t="e">
        <f>'Operating Budget'!#REF!</f>
        <v>#REF!</v>
      </c>
      <c r="K103" s="12" t="e">
        <f>'Operating Budget'!#REF!</f>
        <v>#REF!</v>
      </c>
      <c r="L103" s="12" t="e">
        <f>'Operating Budget'!#REF!</f>
        <v>#REF!</v>
      </c>
      <c r="M103" s="12" t="e">
        <f>'Operating Budget'!#REF!</f>
        <v>#REF!</v>
      </c>
      <c r="N103" s="12" t="e">
        <f>'Operating Budget'!#REF!</f>
        <v>#REF!</v>
      </c>
      <c r="O103" s="12" t="e">
        <f>'Operating Budget'!#REF!</f>
        <v>#REF!</v>
      </c>
      <c r="P103" s="12" t="e">
        <f>'Operating Budget'!#REF!</f>
        <v>#REF!</v>
      </c>
      <c r="Q103" s="12" t="e">
        <f>'Operating Budget'!#REF!</f>
        <v>#REF!</v>
      </c>
      <c r="R103" s="12" t="e">
        <f>'Operating Budget'!#REF!</f>
        <v>#REF!</v>
      </c>
      <c r="S103" s="12" t="e">
        <f t="shared" si="13"/>
        <v>#REF!</v>
      </c>
    </row>
    <row r="104" spans="1:19">
      <c r="A104" s="11">
        <f>'Operating Budget'!A106</f>
        <v>7320</v>
      </c>
      <c r="B104" s="10" t="str">
        <f>'Operating Budget'!B106</f>
        <v>Forms</v>
      </c>
      <c r="C104" s="48" t="e">
        <f>#REF!</f>
        <v>#REF!</v>
      </c>
      <c r="D104" s="49" t="e">
        <f>#REF!</f>
        <v>#REF!</v>
      </c>
      <c r="E104" s="49" t="e">
        <f>#REF!</f>
        <v>#REF!</v>
      </c>
      <c r="F104" s="50" t="e">
        <f>#REF!</f>
        <v>#REF!</v>
      </c>
      <c r="G104" s="12" t="e">
        <f>'Operating Budget'!#REF!</f>
        <v>#REF!</v>
      </c>
      <c r="H104" s="12" t="e">
        <f>'Operating Budget'!#REF!</f>
        <v>#REF!</v>
      </c>
      <c r="I104" s="12" t="e">
        <f>'Operating Budget'!#REF!</f>
        <v>#REF!</v>
      </c>
      <c r="J104" s="12">
        <f>'Operating Budget'!F106</f>
        <v>0</v>
      </c>
      <c r="K104" s="12">
        <f>'Operating Budget'!J106</f>
        <v>0</v>
      </c>
      <c r="L104" s="12">
        <f>'Operating Budget'!K106</f>
        <v>0</v>
      </c>
      <c r="M104" s="12">
        <f>'Operating Budget'!L106</f>
        <v>0</v>
      </c>
      <c r="N104" s="12">
        <f>'Operating Budget'!M106</f>
        <v>0</v>
      </c>
      <c r="O104" s="12">
        <f>'Operating Budget'!N106</f>
        <v>0</v>
      </c>
      <c r="P104" s="12">
        <f>'Operating Budget'!O106</f>
        <v>0</v>
      </c>
      <c r="Q104" s="12">
        <f>'Operating Budget'!P106</f>
        <v>0</v>
      </c>
      <c r="R104" s="12">
        <f>'Operating Budget'!Q106</f>
        <v>0</v>
      </c>
      <c r="S104" s="12" t="e">
        <f t="shared" si="13"/>
        <v>#REF!</v>
      </c>
    </row>
    <row r="105" spans="1:19">
      <c r="A105" s="11">
        <f>'Operating Budget'!A107</f>
        <v>7330</v>
      </c>
      <c r="B105" s="10" t="str">
        <f>'Operating Budget'!B107</f>
        <v>Furniture Rental - Units</v>
      </c>
      <c r="C105" s="48" t="e">
        <f>#REF!</f>
        <v>#REF!</v>
      </c>
      <c r="D105" s="49" t="e">
        <f>#REF!</f>
        <v>#REF!</v>
      </c>
      <c r="E105" s="49" t="e">
        <f>#REF!</f>
        <v>#REF!</v>
      </c>
      <c r="F105" s="50" t="e">
        <f>#REF!</f>
        <v>#REF!</v>
      </c>
      <c r="G105" s="12" t="e">
        <f>'Operating Budget'!#REF!</f>
        <v>#REF!</v>
      </c>
      <c r="H105" s="12" t="e">
        <f>'Operating Budget'!#REF!</f>
        <v>#REF!</v>
      </c>
      <c r="I105" s="12" t="e">
        <f>'Operating Budget'!#REF!</f>
        <v>#REF!</v>
      </c>
      <c r="J105" s="12">
        <f>'Operating Budget'!F107</f>
        <v>0</v>
      </c>
      <c r="K105" s="12">
        <f>'Operating Budget'!J107</f>
        <v>0</v>
      </c>
      <c r="L105" s="12">
        <f>'Operating Budget'!K107</f>
        <v>0</v>
      </c>
      <c r="M105" s="12">
        <f>'Operating Budget'!L107</f>
        <v>0</v>
      </c>
      <c r="N105" s="12">
        <f>'Operating Budget'!M107</f>
        <v>0</v>
      </c>
      <c r="O105" s="12">
        <f>'Operating Budget'!N107</f>
        <v>0</v>
      </c>
      <c r="P105" s="12">
        <f>'Operating Budget'!O107</f>
        <v>0</v>
      </c>
      <c r="Q105" s="12">
        <f>'Operating Budget'!P107</f>
        <v>0</v>
      </c>
      <c r="R105" s="12">
        <f>'Operating Budget'!Q107</f>
        <v>0</v>
      </c>
      <c r="S105" s="12" t="e">
        <f t="shared" si="13"/>
        <v>#REF!</v>
      </c>
    </row>
    <row r="106" spans="1:19">
      <c r="A106" s="11">
        <f>'Operating Budget'!A108</f>
        <v>7340</v>
      </c>
      <c r="B106" s="10" t="str">
        <f>'Operating Budget'!B108</f>
        <v>Legal Services</v>
      </c>
      <c r="C106" s="48" t="e">
        <f>#REF!</f>
        <v>#REF!</v>
      </c>
      <c r="D106" s="49" t="e">
        <f>#REF!</f>
        <v>#REF!</v>
      </c>
      <c r="E106" s="49" t="e">
        <f>#REF!</f>
        <v>#REF!</v>
      </c>
      <c r="F106" s="50" t="e">
        <f>#REF!</f>
        <v>#REF!</v>
      </c>
      <c r="G106" s="12" t="e">
        <f>'Operating Budget'!#REF!</f>
        <v>#REF!</v>
      </c>
      <c r="H106" s="12" t="e">
        <f>'Operating Budget'!#REF!</f>
        <v>#REF!</v>
      </c>
      <c r="I106" s="12" t="e">
        <f>'Operating Budget'!#REF!</f>
        <v>#REF!</v>
      </c>
      <c r="J106" s="12">
        <f>'Operating Budget'!F108</f>
        <v>0</v>
      </c>
      <c r="K106" s="12">
        <f>'Operating Budget'!J108</f>
        <v>0</v>
      </c>
      <c r="L106" s="12">
        <f>'Operating Budget'!K108</f>
        <v>0</v>
      </c>
      <c r="M106" s="12">
        <f>'Operating Budget'!L108</f>
        <v>0</v>
      </c>
      <c r="N106" s="12">
        <f>'Operating Budget'!M108</f>
        <v>0</v>
      </c>
      <c r="O106" s="12">
        <f>'Operating Budget'!N108</f>
        <v>0</v>
      </c>
      <c r="P106" s="12">
        <f>'Operating Budget'!O108</f>
        <v>0</v>
      </c>
      <c r="Q106" s="12">
        <f>'Operating Budget'!P108</f>
        <v>0</v>
      </c>
      <c r="R106" s="12">
        <f>'Operating Budget'!Q108</f>
        <v>0</v>
      </c>
      <c r="S106" s="12" t="e">
        <f t="shared" si="13"/>
        <v>#REF!</v>
      </c>
    </row>
    <row r="107" spans="1:19">
      <c r="A107" s="11">
        <f>'Operating Budget'!A110</f>
        <v>7350</v>
      </c>
      <c r="B107" s="10" t="str">
        <f>'Operating Budget'!B110</f>
        <v>Licenses/Permits/Fees</v>
      </c>
      <c r="C107" s="48" t="e">
        <f>#REF!</f>
        <v>#REF!</v>
      </c>
      <c r="D107" s="49" t="e">
        <f>#REF!</f>
        <v>#REF!</v>
      </c>
      <c r="E107" s="49" t="e">
        <f>#REF!</f>
        <v>#REF!</v>
      </c>
      <c r="F107" s="50" t="e">
        <f>#REF!</f>
        <v>#REF!</v>
      </c>
      <c r="G107" s="12" t="e">
        <f>'Operating Budget'!#REF!</f>
        <v>#REF!</v>
      </c>
      <c r="H107" s="12" t="e">
        <f>'Operating Budget'!#REF!</f>
        <v>#REF!</v>
      </c>
      <c r="I107" s="12" t="e">
        <f>'Operating Budget'!#REF!</f>
        <v>#REF!</v>
      </c>
      <c r="J107" s="12">
        <f>'Operating Budget'!F110</f>
        <v>0</v>
      </c>
      <c r="K107" s="12">
        <f>'Operating Budget'!J110</f>
        <v>0</v>
      </c>
      <c r="L107" s="12">
        <f>'Operating Budget'!K110</f>
        <v>0</v>
      </c>
      <c r="M107" s="12">
        <f>'Operating Budget'!L110</f>
        <v>0</v>
      </c>
      <c r="N107" s="12">
        <f>'Operating Budget'!M110</f>
        <v>0</v>
      </c>
      <c r="O107" s="12">
        <f>'Operating Budget'!N110</f>
        <v>0</v>
      </c>
      <c r="P107" s="12">
        <f>'Operating Budget'!O110</f>
        <v>0</v>
      </c>
      <c r="Q107" s="12">
        <f>'Operating Budget'!P110</f>
        <v>0</v>
      </c>
      <c r="R107" s="12">
        <f>'Operating Budget'!Q110</f>
        <v>0</v>
      </c>
      <c r="S107" s="12" t="e">
        <f t="shared" si="13"/>
        <v>#REF!</v>
      </c>
    </row>
    <row r="108" spans="1:19">
      <c r="A108" s="11">
        <f>'Operating Budget'!A111</f>
        <v>7355</v>
      </c>
      <c r="B108" s="10" t="str">
        <f>'Operating Budget'!B111</f>
        <v>Violations</v>
      </c>
      <c r="C108" s="48" t="e">
        <f>#REF!</f>
        <v>#REF!</v>
      </c>
      <c r="D108" s="49" t="e">
        <f>#REF!</f>
        <v>#REF!</v>
      </c>
      <c r="E108" s="49" t="e">
        <f>#REF!</f>
        <v>#REF!</v>
      </c>
      <c r="F108" s="50" t="e">
        <f>#REF!</f>
        <v>#REF!</v>
      </c>
      <c r="G108" s="12" t="e">
        <f>'Operating Budget'!#REF!</f>
        <v>#REF!</v>
      </c>
      <c r="H108" s="12" t="e">
        <f>'Operating Budget'!#REF!</f>
        <v>#REF!</v>
      </c>
      <c r="I108" s="12" t="e">
        <f>'Operating Budget'!#REF!</f>
        <v>#REF!</v>
      </c>
      <c r="J108" s="12">
        <f>'Operating Budget'!F111</f>
        <v>0</v>
      </c>
      <c r="K108" s="12">
        <f>'Operating Budget'!J111</f>
        <v>0</v>
      </c>
      <c r="L108" s="12">
        <f>'Operating Budget'!K111</f>
        <v>0</v>
      </c>
      <c r="M108" s="12">
        <f>'Operating Budget'!L111</f>
        <v>0</v>
      </c>
      <c r="N108" s="12">
        <f>'Operating Budget'!M111</f>
        <v>0</v>
      </c>
      <c r="O108" s="12">
        <f>'Operating Budget'!N111</f>
        <v>0</v>
      </c>
      <c r="P108" s="12">
        <f>'Operating Budget'!O111</f>
        <v>0</v>
      </c>
      <c r="Q108" s="12">
        <f>'Operating Budget'!P111</f>
        <v>0</v>
      </c>
      <c r="R108" s="12">
        <f>'Operating Budget'!Q111</f>
        <v>0</v>
      </c>
      <c r="S108" s="12" t="e">
        <f t="shared" si="13"/>
        <v>#REF!</v>
      </c>
    </row>
    <row r="109" spans="1:19">
      <c r="A109" s="11">
        <f>'Operating Budget'!A112</f>
        <v>7360</v>
      </c>
      <c r="B109" s="10" t="str">
        <f>'Operating Budget'!B112</f>
        <v>Meetings and Training Classes</v>
      </c>
      <c r="C109" s="48" t="e">
        <f>#REF!</f>
        <v>#REF!</v>
      </c>
      <c r="D109" s="49" t="e">
        <f>#REF!</f>
        <v>#REF!</v>
      </c>
      <c r="E109" s="49" t="e">
        <f>#REF!</f>
        <v>#REF!</v>
      </c>
      <c r="F109" s="50" t="e">
        <f>#REF!</f>
        <v>#REF!</v>
      </c>
      <c r="G109" s="12" t="e">
        <f>'Operating Budget'!#REF!</f>
        <v>#REF!</v>
      </c>
      <c r="H109" s="12" t="e">
        <f>'Operating Budget'!#REF!</f>
        <v>#REF!</v>
      </c>
      <c r="I109" s="12" t="e">
        <f>'Operating Budget'!#REF!</f>
        <v>#REF!</v>
      </c>
      <c r="J109" s="12">
        <f>'Operating Budget'!F112</f>
        <v>0</v>
      </c>
      <c r="K109" s="12">
        <f>'Operating Budget'!J112</f>
        <v>0</v>
      </c>
      <c r="L109" s="12">
        <f>'Operating Budget'!K112</f>
        <v>0</v>
      </c>
      <c r="M109" s="12">
        <f>'Operating Budget'!L112</f>
        <v>0</v>
      </c>
      <c r="N109" s="12">
        <f>'Operating Budget'!M112</f>
        <v>0</v>
      </c>
      <c r="O109" s="12">
        <f>'Operating Budget'!N112</f>
        <v>0</v>
      </c>
      <c r="P109" s="12">
        <f>'Operating Budget'!O112</f>
        <v>0</v>
      </c>
      <c r="Q109" s="12">
        <f>'Operating Budget'!P112</f>
        <v>0</v>
      </c>
      <c r="R109" s="12">
        <f>'Operating Budget'!Q112</f>
        <v>0</v>
      </c>
      <c r="S109" s="12" t="e">
        <f t="shared" si="13"/>
        <v>#REF!</v>
      </c>
    </row>
    <row r="110" spans="1:19">
      <c r="A110" s="11">
        <f>'Operating Budget'!A113</f>
        <v>7370</v>
      </c>
      <c r="B110" s="10" t="str">
        <f>'Operating Budget'!B113</f>
        <v>Mileage</v>
      </c>
      <c r="C110" s="48" t="e">
        <f>#REF!</f>
        <v>#REF!</v>
      </c>
      <c r="D110" s="49" t="e">
        <f>#REF!</f>
        <v>#REF!</v>
      </c>
      <c r="E110" s="49" t="e">
        <f>#REF!</f>
        <v>#REF!</v>
      </c>
      <c r="F110" s="50" t="e">
        <f>#REF!</f>
        <v>#REF!</v>
      </c>
      <c r="G110" s="12" t="e">
        <f>'Operating Budget'!#REF!</f>
        <v>#REF!</v>
      </c>
      <c r="H110" s="12" t="e">
        <f>'Operating Budget'!#REF!</f>
        <v>#REF!</v>
      </c>
      <c r="I110" s="12" t="e">
        <f>'Operating Budget'!#REF!</f>
        <v>#REF!</v>
      </c>
      <c r="J110" s="12">
        <f>'Operating Budget'!F113</f>
        <v>0</v>
      </c>
      <c r="K110" s="12">
        <f>'Operating Budget'!J113</f>
        <v>0</v>
      </c>
      <c r="L110" s="12">
        <f>'Operating Budget'!K113</f>
        <v>0</v>
      </c>
      <c r="M110" s="12">
        <f>'Operating Budget'!L113</f>
        <v>0</v>
      </c>
      <c r="N110" s="12">
        <f>'Operating Budget'!M113</f>
        <v>0</v>
      </c>
      <c r="O110" s="12">
        <f>'Operating Budget'!N113</f>
        <v>0</v>
      </c>
      <c r="P110" s="12">
        <f>'Operating Budget'!O113</f>
        <v>0</v>
      </c>
      <c r="Q110" s="12">
        <f>'Operating Budget'!P113</f>
        <v>0</v>
      </c>
      <c r="R110" s="12">
        <f>'Operating Budget'!Q113</f>
        <v>0</v>
      </c>
      <c r="S110" s="12" t="e">
        <f t="shared" si="13"/>
        <v>#REF!</v>
      </c>
    </row>
    <row r="111" spans="1:19">
      <c r="A111" s="11">
        <f>'Operating Budget'!A114</f>
        <v>7380</v>
      </c>
      <c r="B111" s="10" t="str">
        <f>'Operating Budget'!B114</f>
        <v>Misc. Administrative Expenses</v>
      </c>
      <c r="C111" s="48" t="e">
        <f>#REF!</f>
        <v>#REF!</v>
      </c>
      <c r="D111" s="49" t="e">
        <f>#REF!</f>
        <v>#REF!</v>
      </c>
      <c r="E111" s="49" t="e">
        <f>#REF!</f>
        <v>#REF!</v>
      </c>
      <c r="F111" s="50" t="e">
        <f>#REF!</f>
        <v>#REF!</v>
      </c>
      <c r="G111" s="12" t="e">
        <f>'Operating Budget'!#REF!</f>
        <v>#REF!</v>
      </c>
      <c r="H111" s="12" t="e">
        <f>'Operating Budget'!#REF!</f>
        <v>#REF!</v>
      </c>
      <c r="I111" s="12" t="e">
        <f>'Operating Budget'!#REF!</f>
        <v>#REF!</v>
      </c>
      <c r="J111" s="12">
        <f>'Operating Budget'!F114</f>
        <v>0</v>
      </c>
      <c r="K111" s="12">
        <f>'Operating Budget'!J114</f>
        <v>0</v>
      </c>
      <c r="L111" s="12">
        <f>'Operating Budget'!K114</f>
        <v>0</v>
      </c>
      <c r="M111" s="12">
        <f>'Operating Budget'!L114</f>
        <v>0</v>
      </c>
      <c r="N111" s="12">
        <f>'Operating Budget'!M114</f>
        <v>0</v>
      </c>
      <c r="O111" s="12">
        <f>'Operating Budget'!N114</f>
        <v>0</v>
      </c>
      <c r="P111" s="12">
        <f>'Operating Budget'!O114</f>
        <v>0</v>
      </c>
      <c r="Q111" s="12">
        <f>'Operating Budget'!P114</f>
        <v>0</v>
      </c>
      <c r="R111" s="12">
        <f>'Operating Budget'!Q114</f>
        <v>0</v>
      </c>
      <c r="S111" s="12" t="e">
        <f t="shared" si="13"/>
        <v>#REF!</v>
      </c>
    </row>
    <row r="112" spans="1:19">
      <c r="A112" s="11">
        <f>'Operating Budget'!A115</f>
        <v>7390</v>
      </c>
      <c r="B112" s="10" t="str">
        <f>'Operating Budget'!B115</f>
        <v>Office Equipment Rental</v>
      </c>
      <c r="C112" s="48" t="e">
        <f>#REF!</f>
        <v>#REF!</v>
      </c>
      <c r="D112" s="49" t="e">
        <f>#REF!</f>
        <v>#REF!</v>
      </c>
      <c r="E112" s="49" t="e">
        <f>#REF!</f>
        <v>#REF!</v>
      </c>
      <c r="F112" s="50" t="e">
        <f>#REF!</f>
        <v>#REF!</v>
      </c>
      <c r="G112" s="12" t="e">
        <f>'Operating Budget'!#REF!</f>
        <v>#REF!</v>
      </c>
      <c r="H112" s="12" t="e">
        <f>'Operating Budget'!#REF!</f>
        <v>#REF!</v>
      </c>
      <c r="I112" s="12" t="e">
        <f>'Operating Budget'!#REF!</f>
        <v>#REF!</v>
      </c>
      <c r="J112" s="12">
        <f>'Operating Budget'!F115</f>
        <v>0</v>
      </c>
      <c r="K112" s="12">
        <f>'Operating Budget'!J115</f>
        <v>0</v>
      </c>
      <c r="L112" s="12">
        <f>'Operating Budget'!K115</f>
        <v>0</v>
      </c>
      <c r="M112" s="12">
        <f>'Operating Budget'!L115</f>
        <v>0</v>
      </c>
      <c r="N112" s="12">
        <f>'Operating Budget'!M115</f>
        <v>0</v>
      </c>
      <c r="O112" s="12">
        <f>'Operating Budget'!N115</f>
        <v>0</v>
      </c>
      <c r="P112" s="12">
        <f>'Operating Budget'!O115</f>
        <v>0</v>
      </c>
      <c r="Q112" s="12">
        <f>'Operating Budget'!P115</f>
        <v>0</v>
      </c>
      <c r="R112" s="12">
        <f>'Operating Budget'!Q115</f>
        <v>0</v>
      </c>
      <c r="S112" s="12" t="e">
        <f t="shared" si="13"/>
        <v>#REF!</v>
      </c>
    </row>
    <row r="113" spans="1:19">
      <c r="A113" s="11">
        <f>'Operating Budget'!A116</f>
        <v>7400</v>
      </c>
      <c r="B113" s="10" t="str">
        <f>'Operating Budget'!B116</f>
        <v>Office Supplies and Equipment</v>
      </c>
      <c r="C113" s="48" t="e">
        <f>#REF!</f>
        <v>#REF!</v>
      </c>
      <c r="D113" s="49" t="e">
        <f>#REF!</f>
        <v>#REF!</v>
      </c>
      <c r="E113" s="49" t="e">
        <f>#REF!</f>
        <v>#REF!</v>
      </c>
      <c r="F113" s="50" t="e">
        <f>#REF!</f>
        <v>#REF!</v>
      </c>
      <c r="G113" s="12" t="e">
        <f>'Operating Budget'!#REF!</f>
        <v>#REF!</v>
      </c>
      <c r="H113" s="12" t="e">
        <f>'Operating Budget'!#REF!</f>
        <v>#REF!</v>
      </c>
      <c r="I113" s="12" t="e">
        <f>'Operating Budget'!#REF!</f>
        <v>#REF!</v>
      </c>
      <c r="J113" s="12">
        <f>'Operating Budget'!F116</f>
        <v>200</v>
      </c>
      <c r="K113" s="12">
        <f>'Operating Budget'!J116</f>
        <v>200</v>
      </c>
      <c r="L113" s="12">
        <f>'Operating Budget'!K116</f>
        <v>200</v>
      </c>
      <c r="M113" s="12">
        <f>'Operating Budget'!L116</f>
        <v>200</v>
      </c>
      <c r="N113" s="12">
        <f>'Operating Budget'!M116</f>
        <v>200</v>
      </c>
      <c r="O113" s="12">
        <f>'Operating Budget'!N116</f>
        <v>200</v>
      </c>
      <c r="P113" s="12">
        <f>'Operating Budget'!O116</f>
        <v>200</v>
      </c>
      <c r="Q113" s="12">
        <f>'Operating Budget'!P116</f>
        <v>200</v>
      </c>
      <c r="R113" s="12">
        <f>'Operating Budget'!Q116</f>
        <v>200</v>
      </c>
      <c r="S113" s="12" t="e">
        <f t="shared" si="13"/>
        <v>#REF!</v>
      </c>
    </row>
    <row r="114" spans="1:19">
      <c r="A114" s="11">
        <f>'Operating Budget'!A117</f>
        <v>7410</v>
      </c>
      <c r="B114" s="10" t="str">
        <f>'Operating Budget'!B117</f>
        <v>Ops Technology Fee</v>
      </c>
      <c r="C114" s="48" t="e">
        <f>#REF!</f>
        <v>#REF!</v>
      </c>
      <c r="D114" s="49" t="e">
        <f>#REF!</f>
        <v>#REF!</v>
      </c>
      <c r="E114" s="49" t="e">
        <f>#REF!</f>
        <v>#REF!</v>
      </c>
      <c r="F114" s="50" t="e">
        <f>#REF!</f>
        <v>#REF!</v>
      </c>
      <c r="G114" s="12" t="e">
        <f>'Operating Budget'!#REF!</f>
        <v>#REF!</v>
      </c>
      <c r="H114" s="12" t="e">
        <f>'Operating Budget'!#REF!</f>
        <v>#REF!</v>
      </c>
      <c r="I114" s="12" t="e">
        <f>'Operating Budget'!#REF!</f>
        <v>#REF!</v>
      </c>
      <c r="J114" s="12">
        <f>'Operating Budget'!F117</f>
        <v>0</v>
      </c>
      <c r="K114" s="12">
        <f>'Operating Budget'!J117</f>
        <v>0</v>
      </c>
      <c r="L114" s="12">
        <f>'Operating Budget'!K117</f>
        <v>0</v>
      </c>
      <c r="M114" s="12">
        <f>'Operating Budget'!L117</f>
        <v>0</v>
      </c>
      <c r="N114" s="12">
        <f>'Operating Budget'!M117</f>
        <v>0</v>
      </c>
      <c r="O114" s="12">
        <f>'Operating Budget'!N117</f>
        <v>0</v>
      </c>
      <c r="P114" s="12">
        <f>'Operating Budget'!O117</f>
        <v>0</v>
      </c>
      <c r="Q114" s="12">
        <f>'Operating Budget'!P117</f>
        <v>0</v>
      </c>
      <c r="R114" s="12">
        <f>'Operating Budget'!Q117</f>
        <v>0</v>
      </c>
      <c r="S114" s="12" t="e">
        <f t="shared" si="13"/>
        <v>#REF!</v>
      </c>
    </row>
    <row r="115" spans="1:19">
      <c r="A115" s="11">
        <f>'Operating Budget'!A118</f>
        <v>7420</v>
      </c>
      <c r="B115" s="10" t="str">
        <f>'Operating Budget'!B118</f>
        <v>Other Professional Services</v>
      </c>
      <c r="C115" s="48" t="e">
        <f>#REF!</f>
        <v>#REF!</v>
      </c>
      <c r="D115" s="49" t="e">
        <f>#REF!</f>
        <v>#REF!</v>
      </c>
      <c r="E115" s="49" t="e">
        <f>#REF!</f>
        <v>#REF!</v>
      </c>
      <c r="F115" s="50" t="e">
        <f>#REF!</f>
        <v>#REF!</v>
      </c>
      <c r="G115" s="12" t="e">
        <f>'Operating Budget'!#REF!</f>
        <v>#REF!</v>
      </c>
      <c r="H115" s="12" t="e">
        <f>'Operating Budget'!#REF!</f>
        <v>#REF!</v>
      </c>
      <c r="I115" s="12" t="e">
        <f>'Operating Budget'!#REF!</f>
        <v>#REF!</v>
      </c>
      <c r="J115" s="12">
        <f>'Operating Budget'!F118</f>
        <v>0</v>
      </c>
      <c r="K115" s="12">
        <f>'Operating Budget'!J118</f>
        <v>0</v>
      </c>
      <c r="L115" s="12">
        <f>'Operating Budget'!K118</f>
        <v>0</v>
      </c>
      <c r="M115" s="12">
        <f>'Operating Budget'!L118</f>
        <v>0</v>
      </c>
      <c r="N115" s="12">
        <f>'Operating Budget'!M118</f>
        <v>0</v>
      </c>
      <c r="O115" s="12">
        <f>'Operating Budget'!N118</f>
        <v>0</v>
      </c>
      <c r="P115" s="12">
        <f>'Operating Budget'!O118</f>
        <v>0</v>
      </c>
      <c r="Q115" s="12">
        <f>'Operating Budget'!P118</f>
        <v>0</v>
      </c>
      <c r="R115" s="12">
        <f>'Operating Budget'!Q118</f>
        <v>0</v>
      </c>
      <c r="S115" s="12" t="e">
        <f t="shared" si="13"/>
        <v>#REF!</v>
      </c>
    </row>
    <row r="116" spans="1:19">
      <c r="A116" s="11">
        <f>'Operating Budget'!A119</f>
        <v>7430</v>
      </c>
      <c r="B116" s="10" t="str">
        <f>'Operating Budget'!B119</f>
        <v>Parking Tolls and Fees</v>
      </c>
      <c r="C116" s="48" t="e">
        <f>#REF!</f>
        <v>#REF!</v>
      </c>
      <c r="D116" s="49" t="e">
        <f>#REF!</f>
        <v>#REF!</v>
      </c>
      <c r="E116" s="49" t="e">
        <f>#REF!</f>
        <v>#REF!</v>
      </c>
      <c r="F116" s="50" t="e">
        <f>#REF!</f>
        <v>#REF!</v>
      </c>
      <c r="G116" s="12" t="e">
        <f>'Operating Budget'!#REF!</f>
        <v>#REF!</v>
      </c>
      <c r="H116" s="12" t="e">
        <f>'Operating Budget'!#REF!</f>
        <v>#REF!</v>
      </c>
      <c r="I116" s="12" t="e">
        <f>'Operating Budget'!#REF!</f>
        <v>#REF!</v>
      </c>
      <c r="J116" s="12">
        <f>'Operating Budget'!F119</f>
        <v>0</v>
      </c>
      <c r="K116" s="12">
        <f>'Operating Budget'!J119</f>
        <v>0</v>
      </c>
      <c r="L116" s="12">
        <f>'Operating Budget'!K119</f>
        <v>0</v>
      </c>
      <c r="M116" s="12">
        <f>'Operating Budget'!L119</f>
        <v>0</v>
      </c>
      <c r="N116" s="12">
        <f>'Operating Budget'!M119</f>
        <v>0</v>
      </c>
      <c r="O116" s="12">
        <f>'Operating Budget'!N119</f>
        <v>0</v>
      </c>
      <c r="P116" s="12">
        <f>'Operating Budget'!O119</f>
        <v>0</v>
      </c>
      <c r="Q116" s="12">
        <f>'Operating Budget'!P119</f>
        <v>0</v>
      </c>
      <c r="R116" s="12">
        <f>'Operating Budget'!Q119</f>
        <v>0</v>
      </c>
      <c r="S116" s="12" t="e">
        <f t="shared" si="13"/>
        <v>#REF!</v>
      </c>
    </row>
    <row r="117" spans="1:19">
      <c r="A117" s="11">
        <f>'Operating Budget'!A120</f>
        <v>7440</v>
      </c>
      <c r="B117" s="10" t="str">
        <f>'Operating Budget'!B120</f>
        <v>Postage, Courier, and Freight</v>
      </c>
      <c r="C117" s="48" t="e">
        <f>#REF!</f>
        <v>#REF!</v>
      </c>
      <c r="D117" s="49" t="e">
        <f>#REF!</f>
        <v>#REF!</v>
      </c>
      <c r="E117" s="49" t="e">
        <f>#REF!</f>
        <v>#REF!</v>
      </c>
      <c r="F117" s="50" t="e">
        <f>#REF!</f>
        <v>#REF!</v>
      </c>
      <c r="G117" s="12" t="e">
        <f>'Operating Budget'!#REF!</f>
        <v>#REF!</v>
      </c>
      <c r="H117" s="12" t="e">
        <f>'Operating Budget'!#REF!</f>
        <v>#REF!</v>
      </c>
      <c r="I117" s="12" t="e">
        <f>'Operating Budget'!#REF!</f>
        <v>#REF!</v>
      </c>
      <c r="J117" s="12">
        <f>'Operating Budget'!F120</f>
        <v>79.05</v>
      </c>
      <c r="K117" s="12">
        <f>'Operating Budget'!J120</f>
        <v>79.05</v>
      </c>
      <c r="L117" s="12">
        <f>'Operating Budget'!K120</f>
        <v>29.049999999999997</v>
      </c>
      <c r="M117" s="12">
        <f>'Operating Budget'!L120</f>
        <v>79.05</v>
      </c>
      <c r="N117" s="12">
        <f>'Operating Budget'!M120</f>
        <v>29.049999999999997</v>
      </c>
      <c r="O117" s="12">
        <f>'Operating Budget'!N120</f>
        <v>79.05</v>
      </c>
      <c r="P117" s="12">
        <f>'Operating Budget'!O120</f>
        <v>29.049999999999997</v>
      </c>
      <c r="Q117" s="12">
        <f>'Operating Budget'!P120</f>
        <v>79.05</v>
      </c>
      <c r="R117" s="12">
        <f>'Operating Budget'!Q120</f>
        <v>29.049999999999997</v>
      </c>
      <c r="S117" s="12" t="e">
        <f t="shared" si="13"/>
        <v>#REF!</v>
      </c>
    </row>
    <row r="118" spans="1:19">
      <c r="A118" s="11">
        <f>'Operating Budget'!A121</f>
        <v>7450</v>
      </c>
      <c r="B118" s="10" t="str">
        <f>'Operating Budget'!B121</f>
        <v>Printing</v>
      </c>
      <c r="C118" s="48" t="e">
        <f>#REF!</f>
        <v>#REF!</v>
      </c>
      <c r="D118" s="49" t="e">
        <f>#REF!</f>
        <v>#REF!</v>
      </c>
      <c r="E118" s="49" t="e">
        <f>#REF!</f>
        <v>#REF!</v>
      </c>
      <c r="F118" s="50" t="e">
        <f>#REF!</f>
        <v>#REF!</v>
      </c>
      <c r="G118" s="12" t="e">
        <f>'Operating Budget'!#REF!</f>
        <v>#REF!</v>
      </c>
      <c r="H118" s="12" t="e">
        <f>'Operating Budget'!#REF!</f>
        <v>#REF!</v>
      </c>
      <c r="I118" s="12" t="e">
        <f>'Operating Budget'!#REF!</f>
        <v>#REF!</v>
      </c>
      <c r="J118" s="12">
        <f>'Operating Budget'!F121</f>
        <v>0</v>
      </c>
      <c r="K118" s="12">
        <f>'Operating Budget'!J121</f>
        <v>0</v>
      </c>
      <c r="L118" s="12">
        <f>'Operating Budget'!K121</f>
        <v>0</v>
      </c>
      <c r="M118" s="12">
        <f>'Operating Budget'!L121</f>
        <v>0</v>
      </c>
      <c r="N118" s="12">
        <f>'Operating Budget'!M121</f>
        <v>0</v>
      </c>
      <c r="O118" s="12">
        <f>'Operating Budget'!N121</f>
        <v>0</v>
      </c>
      <c r="P118" s="12">
        <f>'Operating Budget'!O121</f>
        <v>0</v>
      </c>
      <c r="Q118" s="12">
        <f>'Operating Budget'!P121</f>
        <v>0</v>
      </c>
      <c r="R118" s="12">
        <f>'Operating Budget'!Q121</f>
        <v>0</v>
      </c>
      <c r="S118" s="12" t="e">
        <f t="shared" si="13"/>
        <v>#REF!</v>
      </c>
    </row>
    <row r="119" spans="1:19">
      <c r="A119" s="11">
        <f>'Operating Budget'!A122</f>
        <v>7460</v>
      </c>
      <c r="B119" s="10" t="str">
        <f>'Operating Budget'!B122</f>
        <v>Resident Screening</v>
      </c>
      <c r="C119" s="48" t="e">
        <f>#REF!</f>
        <v>#REF!</v>
      </c>
      <c r="D119" s="49" t="e">
        <f>#REF!</f>
        <v>#REF!</v>
      </c>
      <c r="E119" s="49" t="e">
        <f>#REF!</f>
        <v>#REF!</v>
      </c>
      <c r="F119" s="50" t="e">
        <f>#REF!</f>
        <v>#REF!</v>
      </c>
      <c r="G119" s="12" t="e">
        <f>'Operating Budget'!#REF!</f>
        <v>#REF!</v>
      </c>
      <c r="H119" s="12" t="e">
        <f>'Operating Budget'!#REF!</f>
        <v>#REF!</v>
      </c>
      <c r="I119" s="12" t="e">
        <f>'Operating Budget'!#REF!</f>
        <v>#REF!</v>
      </c>
      <c r="J119" s="12">
        <f>'Operating Budget'!F122</f>
        <v>0</v>
      </c>
      <c r="K119" s="12">
        <f>'Operating Budget'!J122</f>
        <v>0</v>
      </c>
      <c r="L119" s="12">
        <f>'Operating Budget'!K122</f>
        <v>0</v>
      </c>
      <c r="M119" s="12">
        <f>'Operating Budget'!L122</f>
        <v>0</v>
      </c>
      <c r="N119" s="12">
        <f>'Operating Budget'!M122</f>
        <v>0</v>
      </c>
      <c r="O119" s="12">
        <f>'Operating Budget'!N122</f>
        <v>0</v>
      </c>
      <c r="P119" s="12">
        <f>'Operating Budget'!O122</f>
        <v>0</v>
      </c>
      <c r="Q119" s="12">
        <f>'Operating Budget'!P122</f>
        <v>0</v>
      </c>
      <c r="R119" s="12">
        <f>'Operating Budget'!Q122</f>
        <v>0</v>
      </c>
      <c r="S119" s="12" t="e">
        <f t="shared" si="13"/>
        <v>#REF!</v>
      </c>
    </row>
    <row r="120" spans="1:19">
      <c r="A120" s="11">
        <f>'Operating Budget'!A123</f>
        <v>0</v>
      </c>
      <c r="B120" s="10" t="str">
        <f>'Operating Budget'!B123</f>
        <v>Technology/Software Expenses</v>
      </c>
      <c r="C120" s="48" t="e">
        <f>#REF!</f>
        <v>#REF!</v>
      </c>
      <c r="D120" s="49" t="e">
        <f>#REF!</f>
        <v>#REF!</v>
      </c>
      <c r="E120" s="49" t="e">
        <f>#REF!</f>
        <v>#REF!</v>
      </c>
      <c r="F120" s="50" t="e">
        <f>#REF!</f>
        <v>#REF!</v>
      </c>
      <c r="G120" s="12" t="e">
        <f>'Operating Budget'!#REF!</f>
        <v>#REF!</v>
      </c>
      <c r="H120" s="12" t="e">
        <f>'Operating Budget'!#REF!</f>
        <v>#REF!</v>
      </c>
      <c r="I120" s="12" t="e">
        <f>'Operating Budget'!#REF!</f>
        <v>#REF!</v>
      </c>
      <c r="J120" s="12">
        <f>'Operating Budget'!F123</f>
        <v>1078.17</v>
      </c>
      <c r="K120" s="12">
        <f>'Operating Budget'!J123</f>
        <v>1078.17</v>
      </c>
      <c r="L120" s="12">
        <f>'Operating Budget'!K123</f>
        <v>1078.17</v>
      </c>
      <c r="M120" s="12">
        <f>'Operating Budget'!L123</f>
        <v>1078.17</v>
      </c>
      <c r="N120" s="12">
        <f>'Operating Budget'!M123</f>
        <v>1078.17</v>
      </c>
      <c r="O120" s="12">
        <f>'Operating Budget'!N123</f>
        <v>1078.17</v>
      </c>
      <c r="P120" s="12">
        <f>'Operating Budget'!O123</f>
        <v>1078.17</v>
      </c>
      <c r="Q120" s="12">
        <f>'Operating Budget'!P123</f>
        <v>1078.17</v>
      </c>
      <c r="R120" s="12">
        <f>'Operating Budget'!Q123</f>
        <v>1078.17</v>
      </c>
      <c r="S120" s="12" t="e">
        <f t="shared" si="13"/>
        <v>#REF!</v>
      </c>
    </row>
    <row r="121" spans="1:19">
      <c r="A121" s="11">
        <f>'Operating Budget'!A128</f>
        <v>4910</v>
      </c>
      <c r="B121" s="10" t="str">
        <f>'Operating Budget'!B128</f>
        <v>Storage Space Rental</v>
      </c>
      <c r="C121" s="48" t="e">
        <f>#REF!</f>
        <v>#REF!</v>
      </c>
      <c r="D121" s="49" t="e">
        <f>#REF!</f>
        <v>#REF!</v>
      </c>
      <c r="E121" s="49" t="e">
        <f>#REF!</f>
        <v>#REF!</v>
      </c>
      <c r="F121" s="50" t="e">
        <f>#REF!</f>
        <v>#REF!</v>
      </c>
      <c r="G121" s="12" t="e">
        <f>'Operating Budget'!#REF!</f>
        <v>#REF!</v>
      </c>
      <c r="H121" s="12" t="e">
        <f>'Operating Budget'!#REF!</f>
        <v>#REF!</v>
      </c>
      <c r="I121" s="12" t="e">
        <f>'Operating Budget'!#REF!</f>
        <v>#REF!</v>
      </c>
      <c r="J121" s="12">
        <f>'Operating Budget'!F128</f>
        <v>0</v>
      </c>
      <c r="K121" s="12">
        <f>'Operating Budget'!J128</f>
        <v>0</v>
      </c>
      <c r="L121" s="12">
        <f>'Operating Budget'!K128</f>
        <v>0</v>
      </c>
      <c r="M121" s="12">
        <f>'Operating Budget'!L128</f>
        <v>0</v>
      </c>
      <c r="N121" s="12">
        <f>'Operating Budget'!M128</f>
        <v>0</v>
      </c>
      <c r="O121" s="12">
        <f>'Operating Budget'!N128</f>
        <v>0</v>
      </c>
      <c r="P121" s="12">
        <f>'Operating Budget'!O128</f>
        <v>0</v>
      </c>
      <c r="Q121" s="12">
        <f>'Operating Budget'!P128</f>
        <v>0</v>
      </c>
      <c r="R121" s="12">
        <f>'Operating Budget'!Q128</f>
        <v>0</v>
      </c>
      <c r="S121" s="12" t="e">
        <f t="shared" si="13"/>
        <v>#REF!</v>
      </c>
    </row>
    <row r="122" spans="1:19">
      <c r="A122" s="11">
        <f>'Operating Budget'!A129</f>
        <v>7480</v>
      </c>
      <c r="B122" s="10" t="str">
        <f>'Operating Budget'!B129</f>
        <v>Telephone and Internet Services</v>
      </c>
      <c r="C122" s="48" t="e">
        <f>#REF!</f>
        <v>#REF!</v>
      </c>
      <c r="D122" s="49" t="e">
        <f>#REF!</f>
        <v>#REF!</v>
      </c>
      <c r="E122" s="49" t="e">
        <f>#REF!</f>
        <v>#REF!</v>
      </c>
      <c r="F122" s="50" t="e">
        <f>#REF!</f>
        <v>#REF!</v>
      </c>
      <c r="G122" s="12" t="e">
        <f>'Operating Budget'!#REF!</f>
        <v>#REF!</v>
      </c>
      <c r="H122" s="12" t="e">
        <f>'Operating Budget'!#REF!</f>
        <v>#REF!</v>
      </c>
      <c r="I122" s="12" t="e">
        <f>'Operating Budget'!#REF!</f>
        <v>#REF!</v>
      </c>
      <c r="J122" s="12">
        <f>'Operating Budget'!F129</f>
        <v>400</v>
      </c>
      <c r="K122" s="12">
        <f>'Operating Budget'!J129</f>
        <v>400</v>
      </c>
      <c r="L122" s="12">
        <f>'Operating Budget'!K129</f>
        <v>400</v>
      </c>
      <c r="M122" s="12">
        <f>'Operating Budget'!L129</f>
        <v>400</v>
      </c>
      <c r="N122" s="12">
        <f>'Operating Budget'!M129</f>
        <v>400</v>
      </c>
      <c r="O122" s="12">
        <f>'Operating Budget'!N129</f>
        <v>400</v>
      </c>
      <c r="P122" s="12">
        <f>'Operating Budget'!O129</f>
        <v>400</v>
      </c>
      <c r="Q122" s="12">
        <f>'Operating Budget'!P129</f>
        <v>400</v>
      </c>
      <c r="R122" s="12">
        <f>'Operating Budget'!Q129</f>
        <v>400</v>
      </c>
      <c r="S122" s="12" t="e">
        <f t="shared" si="13"/>
        <v>#REF!</v>
      </c>
    </row>
    <row r="123" spans="1:19">
      <c r="A123" s="11">
        <f>'Operating Budget'!A130</f>
        <v>7485</v>
      </c>
      <c r="B123" s="10" t="str">
        <f>'Operating Budget'!B130</f>
        <v>Cable/Internet - Corporate Units</v>
      </c>
      <c r="C123" s="48" t="e">
        <f>#REF!</f>
        <v>#REF!</v>
      </c>
      <c r="D123" s="49" t="e">
        <f>#REF!</f>
        <v>#REF!</v>
      </c>
      <c r="E123" s="49" t="e">
        <f>#REF!</f>
        <v>#REF!</v>
      </c>
      <c r="F123" s="50" t="e">
        <f>#REF!</f>
        <v>#REF!</v>
      </c>
      <c r="G123" s="12" t="e">
        <f>'Operating Budget'!#REF!</f>
        <v>#REF!</v>
      </c>
      <c r="H123" s="12" t="e">
        <f>'Operating Budget'!#REF!</f>
        <v>#REF!</v>
      </c>
      <c r="I123" s="12" t="e">
        <f>'Operating Budget'!#REF!</f>
        <v>#REF!</v>
      </c>
      <c r="J123" s="12">
        <f>'Operating Budget'!F130</f>
        <v>0</v>
      </c>
      <c r="K123" s="12">
        <f>'Operating Budget'!J130</f>
        <v>0</v>
      </c>
      <c r="L123" s="12">
        <f>'Operating Budget'!K130</f>
        <v>0</v>
      </c>
      <c r="M123" s="12">
        <f>'Operating Budget'!L130</f>
        <v>0</v>
      </c>
      <c r="N123" s="12">
        <f>'Operating Budget'!M130</f>
        <v>0</v>
      </c>
      <c r="O123" s="12">
        <f>'Operating Budget'!N130</f>
        <v>0</v>
      </c>
      <c r="P123" s="12">
        <f>'Operating Budget'!O130</f>
        <v>0</v>
      </c>
      <c r="Q123" s="12">
        <f>'Operating Budget'!P130</f>
        <v>0</v>
      </c>
      <c r="R123" s="12">
        <f>'Operating Budget'!Q130</f>
        <v>0</v>
      </c>
      <c r="S123" s="12" t="e">
        <f t="shared" si="13"/>
        <v>#REF!</v>
      </c>
    </row>
    <row r="124" spans="1:19">
      <c r="A124" s="11">
        <f>'Operating Budget'!A131</f>
        <v>7490</v>
      </c>
      <c r="B124" s="10" t="str">
        <f>'Operating Budget'!B131</f>
        <v>Training/Seminars</v>
      </c>
      <c r="C124" s="48" t="e">
        <f>#REF!</f>
        <v>#REF!</v>
      </c>
      <c r="D124" s="49" t="e">
        <f>#REF!</f>
        <v>#REF!</v>
      </c>
      <c r="E124" s="49" t="e">
        <f>#REF!</f>
        <v>#REF!</v>
      </c>
      <c r="F124" s="50" t="e">
        <f>#REF!</f>
        <v>#REF!</v>
      </c>
      <c r="G124" s="12" t="e">
        <f>'Operating Budget'!#REF!</f>
        <v>#REF!</v>
      </c>
      <c r="H124" s="12" t="e">
        <f>'Operating Budget'!#REF!</f>
        <v>#REF!</v>
      </c>
      <c r="I124" s="12" t="e">
        <f>'Operating Budget'!#REF!</f>
        <v>#REF!</v>
      </c>
      <c r="J124" s="12">
        <f>'Operating Budget'!F131</f>
        <v>375</v>
      </c>
      <c r="K124" s="12">
        <f>'Operating Budget'!J131</f>
        <v>375</v>
      </c>
      <c r="L124" s="12">
        <f>'Operating Budget'!K131</f>
        <v>375</v>
      </c>
      <c r="M124" s="12">
        <f>'Operating Budget'!L131</f>
        <v>625</v>
      </c>
      <c r="N124" s="12">
        <f>'Operating Budget'!M131</f>
        <v>375</v>
      </c>
      <c r="O124" s="12">
        <f>'Operating Budget'!N131</f>
        <v>375</v>
      </c>
      <c r="P124" s="12">
        <f>'Operating Budget'!O131</f>
        <v>375</v>
      </c>
      <c r="Q124" s="12">
        <f>'Operating Budget'!P131</f>
        <v>375</v>
      </c>
      <c r="R124" s="12">
        <f>'Operating Budget'!Q131</f>
        <v>375</v>
      </c>
      <c r="S124" s="12" t="e">
        <f t="shared" si="13"/>
        <v>#REF!</v>
      </c>
    </row>
    <row r="125" spans="1:19">
      <c r="A125" s="11">
        <f>'Operating Budget'!A132</f>
        <v>7500</v>
      </c>
      <c r="B125" s="10" t="str">
        <f>'Operating Budget'!B132</f>
        <v>Travel Expense</v>
      </c>
      <c r="C125" s="48" t="e">
        <f>#REF!</f>
        <v>#REF!</v>
      </c>
      <c r="D125" s="49" t="e">
        <f>#REF!</f>
        <v>#REF!</v>
      </c>
      <c r="E125" s="49" t="e">
        <f>#REF!</f>
        <v>#REF!</v>
      </c>
      <c r="F125" s="50" t="e">
        <f>#REF!</f>
        <v>#REF!</v>
      </c>
      <c r="G125" s="12" t="e">
        <f>'Operating Budget'!#REF!</f>
        <v>#REF!</v>
      </c>
      <c r="H125" s="12" t="e">
        <f>'Operating Budget'!#REF!</f>
        <v>#REF!</v>
      </c>
      <c r="I125" s="12" t="e">
        <f>'Operating Budget'!#REF!</f>
        <v>#REF!</v>
      </c>
      <c r="J125" s="12">
        <f>'Operating Budget'!F132</f>
        <v>0</v>
      </c>
      <c r="K125" s="12">
        <f>'Operating Budget'!J132</f>
        <v>0</v>
      </c>
      <c r="L125" s="12">
        <f>'Operating Budget'!K132</f>
        <v>0</v>
      </c>
      <c r="M125" s="12">
        <f>'Operating Budget'!L132</f>
        <v>0</v>
      </c>
      <c r="N125" s="12">
        <f>'Operating Budget'!M132</f>
        <v>0</v>
      </c>
      <c r="O125" s="12">
        <f>'Operating Budget'!N132</f>
        <v>0</v>
      </c>
      <c r="P125" s="12">
        <f>'Operating Budget'!O132</f>
        <v>0</v>
      </c>
      <c r="Q125" s="12">
        <f>'Operating Budget'!P132</f>
        <v>0</v>
      </c>
      <c r="R125" s="12">
        <f>'Operating Budget'!Q132</f>
        <v>0</v>
      </c>
      <c r="S125" s="12" t="e">
        <f t="shared" si="13"/>
        <v>#REF!</v>
      </c>
    </row>
    <row r="126" spans="1:19">
      <c r="A126" s="11">
        <f>'Operating Budget'!A133</f>
        <v>7510</v>
      </c>
      <c r="B126" s="10" t="str">
        <f>'Operating Budget'!B133</f>
        <v>Uniform Rental/Purchase</v>
      </c>
      <c r="C126" s="48" t="e">
        <f>#REF!</f>
        <v>#REF!</v>
      </c>
      <c r="D126" s="49" t="e">
        <f>#REF!</f>
        <v>#REF!</v>
      </c>
      <c r="E126" s="49" t="e">
        <f>#REF!</f>
        <v>#REF!</v>
      </c>
      <c r="F126" s="50" t="e">
        <f>#REF!</f>
        <v>#REF!</v>
      </c>
      <c r="G126" s="12" t="e">
        <f>'Operating Budget'!#REF!</f>
        <v>#REF!</v>
      </c>
      <c r="H126" s="12" t="e">
        <f>'Operating Budget'!#REF!</f>
        <v>#REF!</v>
      </c>
      <c r="I126" s="12" t="e">
        <f>'Operating Budget'!#REF!</f>
        <v>#REF!</v>
      </c>
      <c r="J126" s="12">
        <f>'Operating Budget'!F133</f>
        <v>0</v>
      </c>
      <c r="K126" s="12">
        <f>'Operating Budget'!J133</f>
        <v>0</v>
      </c>
      <c r="L126" s="12">
        <f>'Operating Budget'!K133</f>
        <v>0</v>
      </c>
      <c r="M126" s="12">
        <f>'Operating Budget'!L133</f>
        <v>0</v>
      </c>
      <c r="N126" s="12">
        <f>'Operating Budget'!M133</f>
        <v>0</v>
      </c>
      <c r="O126" s="12">
        <f>'Operating Budget'!N133</f>
        <v>0</v>
      </c>
      <c r="P126" s="12">
        <f>'Operating Budget'!O133</f>
        <v>0</v>
      </c>
      <c r="Q126" s="12">
        <f>'Operating Budget'!P133</f>
        <v>0</v>
      </c>
      <c r="R126" s="12">
        <f>'Operating Budget'!Q133</f>
        <v>0</v>
      </c>
      <c r="S126" s="12" t="e">
        <f t="shared" si="13"/>
        <v>#REF!</v>
      </c>
    </row>
    <row r="127" spans="1:19">
      <c r="A127" s="11">
        <f>'Operating Budget'!A135</f>
        <v>7720</v>
      </c>
      <c r="B127" s="10" t="str">
        <f>'Operating Budget'!B135</f>
        <v>Call Center Service</v>
      </c>
      <c r="C127" s="48" t="e">
        <f>#REF!</f>
        <v>#REF!</v>
      </c>
      <c r="D127" s="49" t="e">
        <f>#REF!</f>
        <v>#REF!</v>
      </c>
      <c r="E127" s="49" t="e">
        <f>#REF!</f>
        <v>#REF!</v>
      </c>
      <c r="F127" s="50" t="e">
        <f>#REF!</f>
        <v>#REF!</v>
      </c>
      <c r="G127" s="12" t="e">
        <f>'Operating Budget'!#REF!</f>
        <v>#REF!</v>
      </c>
      <c r="H127" s="12" t="e">
        <f>'Operating Budget'!#REF!</f>
        <v>#REF!</v>
      </c>
      <c r="I127" s="12" t="e">
        <f>'Operating Budget'!#REF!</f>
        <v>#REF!</v>
      </c>
      <c r="J127" s="12">
        <f>'Operating Budget'!F135</f>
        <v>224.10000000000002</v>
      </c>
      <c r="K127" s="12">
        <f>'Operating Budget'!J135</f>
        <v>224.10000000000002</v>
      </c>
      <c r="L127" s="12">
        <f>'Operating Budget'!K135</f>
        <v>224.10000000000002</v>
      </c>
      <c r="M127" s="12">
        <f>'Operating Budget'!L135</f>
        <v>224.10000000000002</v>
      </c>
      <c r="N127" s="12">
        <f>'Operating Budget'!M135</f>
        <v>224.10000000000002</v>
      </c>
      <c r="O127" s="12">
        <f>'Operating Budget'!N135</f>
        <v>224.10000000000002</v>
      </c>
      <c r="P127" s="12">
        <f>'Operating Budget'!O135</f>
        <v>224.10000000000002</v>
      </c>
      <c r="Q127" s="12">
        <f>'Operating Budget'!P135</f>
        <v>224.10000000000002</v>
      </c>
      <c r="R127" s="12">
        <f>'Operating Budget'!Q135</f>
        <v>224.10000000000002</v>
      </c>
      <c r="S127" s="12" t="e">
        <f t="shared" si="13"/>
        <v>#REF!</v>
      </c>
    </row>
    <row r="128" spans="1:19">
      <c r="C128" s="23"/>
      <c r="D128" s="17"/>
      <c r="E128" s="17"/>
      <c r="F128" s="24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</row>
    <row r="129" spans="1:19">
      <c r="B129" s="13" t="s">
        <v>13</v>
      </c>
      <c r="C129" s="30" t="e">
        <f t="shared" ref="C129:F129" si="14">SUM(C90:C127)</f>
        <v>#REF!</v>
      </c>
      <c r="D129" s="31" t="e">
        <f t="shared" si="14"/>
        <v>#REF!</v>
      </c>
      <c r="E129" s="31" t="e">
        <f t="shared" si="14"/>
        <v>#REF!</v>
      </c>
      <c r="F129" s="32" t="e">
        <f t="shared" si="14"/>
        <v>#REF!</v>
      </c>
      <c r="G129" s="39" t="e">
        <f>SUM(G90:G127)</f>
        <v>#REF!</v>
      </c>
      <c r="H129" s="39" t="e">
        <f t="shared" ref="H129:M129" si="15">SUM(H90:H127)</f>
        <v>#REF!</v>
      </c>
      <c r="I129" s="39" t="e">
        <f t="shared" si="15"/>
        <v>#REF!</v>
      </c>
      <c r="J129" s="39" t="e">
        <f t="shared" si="15"/>
        <v>#REF!</v>
      </c>
      <c r="K129" s="39" t="e">
        <f t="shared" si="15"/>
        <v>#REF!</v>
      </c>
      <c r="L129" s="39" t="e">
        <f t="shared" si="15"/>
        <v>#REF!</v>
      </c>
      <c r="M129" s="39" t="e">
        <f t="shared" si="15"/>
        <v>#REF!</v>
      </c>
      <c r="N129" s="39" t="e">
        <f t="shared" ref="N129:S129" si="16">SUM(N90:N127)</f>
        <v>#REF!</v>
      </c>
      <c r="O129" s="39" t="e">
        <f t="shared" si="16"/>
        <v>#REF!</v>
      </c>
      <c r="P129" s="39" t="e">
        <f t="shared" si="16"/>
        <v>#REF!</v>
      </c>
      <c r="Q129" s="39" t="e">
        <f t="shared" si="16"/>
        <v>#REF!</v>
      </c>
      <c r="R129" s="39" t="e">
        <f t="shared" si="16"/>
        <v>#REF!</v>
      </c>
      <c r="S129" s="39" t="e">
        <f t="shared" si="16"/>
        <v>#REF!</v>
      </c>
    </row>
    <row r="130" spans="1:19">
      <c r="B130" s="10" t="s">
        <v>2</v>
      </c>
      <c r="C130" s="21"/>
      <c r="F130" s="2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</row>
    <row r="131" spans="1:19">
      <c r="B131" s="13" t="s">
        <v>34</v>
      </c>
      <c r="C131" s="25"/>
      <c r="D131" s="13"/>
      <c r="E131" s="13"/>
      <c r="F131" s="26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</row>
    <row r="132" spans="1:19">
      <c r="C132" s="21"/>
      <c r="F132" s="2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</row>
    <row r="133" spans="1:19">
      <c r="A133" s="11">
        <f>'Operating Budget'!A143</f>
        <v>5041</v>
      </c>
      <c r="B133" s="10" t="str">
        <f>'Operating Budget'!B143</f>
        <v>Payroll - Maintenance Overtime</v>
      </c>
      <c r="C133" s="48" t="e">
        <f>#REF!</f>
        <v>#REF!</v>
      </c>
      <c r="D133" s="49" t="e">
        <f>#REF!</f>
        <v>#REF!</v>
      </c>
      <c r="E133" s="49" t="e">
        <f>#REF!</f>
        <v>#REF!</v>
      </c>
      <c r="F133" s="50" t="e">
        <f>#REF!</f>
        <v>#REF!</v>
      </c>
      <c r="G133" s="12" t="e">
        <f>'Operating Budget'!#REF!</f>
        <v>#REF!</v>
      </c>
      <c r="H133" s="12" t="e">
        <f>'Operating Budget'!#REF!</f>
        <v>#REF!</v>
      </c>
      <c r="I133" s="12" t="e">
        <f>'Operating Budget'!#REF!</f>
        <v>#REF!</v>
      </c>
      <c r="J133" s="12">
        <f>'Operating Budget'!F143</f>
        <v>0</v>
      </c>
      <c r="K133" s="12">
        <f>'Operating Budget'!J143</f>
        <v>0</v>
      </c>
      <c r="L133" s="12">
        <f>'Operating Budget'!K143</f>
        <v>0</v>
      </c>
      <c r="M133" s="12">
        <f>'Operating Budget'!L143</f>
        <v>0</v>
      </c>
      <c r="N133" s="12">
        <f>'Operating Budget'!M143</f>
        <v>0</v>
      </c>
      <c r="O133" s="12">
        <f>'Operating Budget'!N143</f>
        <v>0</v>
      </c>
      <c r="P133" s="12">
        <f>'Operating Budget'!O143</f>
        <v>0</v>
      </c>
      <c r="Q133" s="12">
        <f>'Operating Budget'!P143</f>
        <v>0</v>
      </c>
      <c r="R133" s="12">
        <f>'Operating Budget'!Q143</f>
        <v>0</v>
      </c>
      <c r="S133" s="12" t="e">
        <f>SUM(G133:R133)</f>
        <v>#REF!</v>
      </c>
    </row>
    <row r="134" spans="1:19">
      <c r="A134" s="11">
        <f>'Operating Budget'!A144</f>
        <v>5045</v>
      </c>
      <c r="B134" s="10" t="str">
        <f>'Operating Budget'!B144</f>
        <v>Temporary Office Help</v>
      </c>
      <c r="C134" s="48" t="e">
        <f>#REF!</f>
        <v>#REF!</v>
      </c>
      <c r="D134" s="49" t="e">
        <f>#REF!</f>
        <v>#REF!</v>
      </c>
      <c r="E134" s="49" t="e">
        <f>#REF!</f>
        <v>#REF!</v>
      </c>
      <c r="F134" s="50" t="e">
        <f>#REF!</f>
        <v>#REF!</v>
      </c>
      <c r="G134" s="12" t="e">
        <f>'Operating Budget'!#REF!</f>
        <v>#REF!</v>
      </c>
      <c r="H134" s="12" t="e">
        <f>'Operating Budget'!#REF!</f>
        <v>#REF!</v>
      </c>
      <c r="I134" s="12" t="e">
        <f>'Operating Budget'!#REF!</f>
        <v>#REF!</v>
      </c>
      <c r="J134" s="12">
        <f>'Operating Budget'!F144</f>
        <v>0</v>
      </c>
      <c r="K134" s="12">
        <f>'Operating Budget'!J144</f>
        <v>0</v>
      </c>
      <c r="L134" s="12">
        <f>'Operating Budget'!K144</f>
        <v>0</v>
      </c>
      <c r="M134" s="12">
        <f>'Operating Budget'!L144</f>
        <v>0</v>
      </c>
      <c r="N134" s="12">
        <f>'Operating Budget'!M144</f>
        <v>0</v>
      </c>
      <c r="O134" s="12">
        <f>'Operating Budget'!N144</f>
        <v>0</v>
      </c>
      <c r="P134" s="12">
        <f>'Operating Budget'!O144</f>
        <v>0</v>
      </c>
      <c r="Q134" s="12">
        <f>'Operating Budget'!P144</f>
        <v>0</v>
      </c>
      <c r="R134" s="12">
        <f>'Operating Budget'!Q144</f>
        <v>0</v>
      </c>
      <c r="S134" s="12" t="e">
        <f t="shared" ref="S134:S143" si="17">SUM(G134:R134)</f>
        <v>#REF!</v>
      </c>
    </row>
    <row r="135" spans="1:19">
      <c r="A135" s="11">
        <f>'Operating Budget'!A145</f>
        <v>5050</v>
      </c>
      <c r="B135" s="10" t="str">
        <f>'Operating Budget'!B145</f>
        <v>Temporary Maintenance Help</v>
      </c>
      <c r="C135" s="48" t="e">
        <f>#REF!</f>
        <v>#REF!</v>
      </c>
      <c r="D135" s="49" t="e">
        <f>#REF!</f>
        <v>#REF!</v>
      </c>
      <c r="E135" s="49" t="e">
        <f>#REF!</f>
        <v>#REF!</v>
      </c>
      <c r="F135" s="50" t="e">
        <f>#REF!</f>
        <v>#REF!</v>
      </c>
      <c r="G135" s="12" t="e">
        <f>'Operating Budget'!#REF!</f>
        <v>#REF!</v>
      </c>
      <c r="H135" s="12" t="e">
        <f>'Operating Budget'!#REF!</f>
        <v>#REF!</v>
      </c>
      <c r="I135" s="12" t="e">
        <f>'Operating Budget'!#REF!</f>
        <v>#REF!</v>
      </c>
      <c r="J135" s="12">
        <f>'Operating Budget'!F145</f>
        <v>0</v>
      </c>
      <c r="K135" s="12">
        <f>'Operating Budget'!J145</f>
        <v>0</v>
      </c>
      <c r="L135" s="12">
        <f>'Operating Budget'!K145</f>
        <v>0</v>
      </c>
      <c r="M135" s="12">
        <f>'Operating Budget'!L145</f>
        <v>0</v>
      </c>
      <c r="N135" s="12">
        <f>'Operating Budget'!M145</f>
        <v>0</v>
      </c>
      <c r="O135" s="12">
        <f>'Operating Budget'!N145</f>
        <v>0</v>
      </c>
      <c r="P135" s="12">
        <f>'Operating Budget'!O145</f>
        <v>0</v>
      </c>
      <c r="Q135" s="12">
        <f>'Operating Budget'!P145</f>
        <v>0</v>
      </c>
      <c r="R135" s="12">
        <f>'Operating Budget'!Q145</f>
        <v>0</v>
      </c>
      <c r="S135" s="12" t="e">
        <f t="shared" si="17"/>
        <v>#REF!</v>
      </c>
    </row>
    <row r="136" spans="1:19">
      <c r="A136" s="11">
        <f>'Operating Budget'!A146</f>
        <v>5110</v>
      </c>
      <c r="B136" s="10" t="str">
        <f>'Operating Budget'!B146</f>
        <v>Bonuses</v>
      </c>
      <c r="C136" s="48" t="e">
        <f>#REF!</f>
        <v>#REF!</v>
      </c>
      <c r="D136" s="49" t="e">
        <f>#REF!</f>
        <v>#REF!</v>
      </c>
      <c r="E136" s="49" t="e">
        <f>#REF!</f>
        <v>#REF!</v>
      </c>
      <c r="F136" s="50" t="e">
        <f>#REF!</f>
        <v>#REF!</v>
      </c>
      <c r="G136" s="12" t="e">
        <f>'Operating Budget'!#REF!</f>
        <v>#REF!</v>
      </c>
      <c r="H136" s="12" t="e">
        <f>'Operating Budget'!#REF!</f>
        <v>#REF!</v>
      </c>
      <c r="I136" s="12" t="e">
        <f>'Operating Budget'!#REF!</f>
        <v>#REF!</v>
      </c>
      <c r="J136" s="12">
        <f>'Operating Budget'!F146</f>
        <v>0</v>
      </c>
      <c r="K136" s="12">
        <f>'Operating Budget'!J146</f>
        <v>0</v>
      </c>
      <c r="L136" s="12">
        <f>'Operating Budget'!K146</f>
        <v>0</v>
      </c>
      <c r="M136" s="12">
        <f>'Operating Budget'!L146</f>
        <v>0</v>
      </c>
      <c r="N136" s="12">
        <f>'Operating Budget'!M146</f>
        <v>0</v>
      </c>
      <c r="O136" s="12">
        <f>'Operating Budget'!N146</f>
        <v>0</v>
      </c>
      <c r="P136" s="12">
        <f>'Operating Budget'!O146</f>
        <v>0</v>
      </c>
      <c r="Q136" s="12">
        <f>'Operating Budget'!P146</f>
        <v>0</v>
      </c>
      <c r="R136" s="12">
        <f>'Operating Budget'!Q146</f>
        <v>0</v>
      </c>
      <c r="S136" s="12" t="e">
        <f t="shared" si="17"/>
        <v>#REF!</v>
      </c>
    </row>
    <row r="137" spans="1:19">
      <c r="A137" s="11">
        <f>'Operating Budget'!A147</f>
        <v>5120</v>
      </c>
      <c r="B137" s="10" t="str">
        <f>'Operating Budget'!B147</f>
        <v>Employeee Burden</v>
      </c>
      <c r="C137" s="48" t="e">
        <f>#REF!</f>
        <v>#REF!</v>
      </c>
      <c r="D137" s="49" t="e">
        <f>#REF!</f>
        <v>#REF!</v>
      </c>
      <c r="E137" s="49" t="e">
        <f>#REF!</f>
        <v>#REF!</v>
      </c>
      <c r="F137" s="50" t="e">
        <f>#REF!</f>
        <v>#REF!</v>
      </c>
      <c r="G137" s="12" t="e">
        <f>'Operating Budget'!#REF!</f>
        <v>#REF!</v>
      </c>
      <c r="H137" s="12" t="e">
        <f>'Operating Budget'!#REF!</f>
        <v>#REF!</v>
      </c>
      <c r="I137" s="12" t="e">
        <f>'Operating Budget'!#REF!</f>
        <v>#REF!</v>
      </c>
      <c r="J137" s="12">
        <f>'Operating Budget'!F147</f>
        <v>580</v>
      </c>
      <c r="K137" s="12">
        <f>'Operating Budget'!J147</f>
        <v>580</v>
      </c>
      <c r="L137" s="12">
        <f>'Operating Budget'!K147</f>
        <v>725</v>
      </c>
      <c r="M137" s="12">
        <f>'Operating Budget'!L147</f>
        <v>406</v>
      </c>
      <c r="N137" s="12">
        <f>'Operating Budget'!M147</f>
        <v>0</v>
      </c>
      <c r="O137" s="12">
        <f>'Operating Budget'!N147</f>
        <v>0</v>
      </c>
      <c r="P137" s="12">
        <f>'Operating Budget'!O147</f>
        <v>0</v>
      </c>
      <c r="Q137" s="12">
        <f>'Operating Budget'!P147</f>
        <v>0</v>
      </c>
      <c r="R137" s="12">
        <f>'Operating Budget'!Q147</f>
        <v>0</v>
      </c>
      <c r="S137" s="12" t="e">
        <f t="shared" si="17"/>
        <v>#REF!</v>
      </c>
    </row>
    <row r="138" spans="1:19">
      <c r="A138" s="11">
        <f>'Operating Budget'!A149</f>
        <v>5230</v>
      </c>
      <c r="B138" s="10" t="str">
        <f>'Operating Budget'!B149</f>
        <v>Group Health Insurance</v>
      </c>
      <c r="C138" s="48" t="e">
        <f>#REF!</f>
        <v>#REF!</v>
      </c>
      <c r="D138" s="49" t="e">
        <f>#REF!</f>
        <v>#REF!</v>
      </c>
      <c r="E138" s="49" t="e">
        <f>#REF!</f>
        <v>#REF!</v>
      </c>
      <c r="F138" s="50" t="e">
        <f>#REF!</f>
        <v>#REF!</v>
      </c>
      <c r="G138" s="12" t="e">
        <f>'Operating Budget'!#REF!</f>
        <v>#REF!</v>
      </c>
      <c r="H138" s="12" t="e">
        <f>'Operating Budget'!#REF!</f>
        <v>#REF!</v>
      </c>
      <c r="I138" s="12" t="e">
        <f>'Operating Budget'!#REF!</f>
        <v>#REF!</v>
      </c>
      <c r="J138" s="12">
        <f>'Operating Budget'!F149</f>
        <v>0</v>
      </c>
      <c r="K138" s="12">
        <f>'Operating Budget'!J149</f>
        <v>0</v>
      </c>
      <c r="L138" s="12">
        <f>'Operating Budget'!K149</f>
        <v>0</v>
      </c>
      <c r="M138" s="12">
        <f>'Operating Budget'!L149</f>
        <v>0</v>
      </c>
      <c r="N138" s="12">
        <f>'Operating Budget'!M149</f>
        <v>0</v>
      </c>
      <c r="O138" s="12">
        <f>'Operating Budget'!N149</f>
        <v>0</v>
      </c>
      <c r="P138" s="12">
        <f>'Operating Budget'!O149</f>
        <v>0</v>
      </c>
      <c r="Q138" s="12">
        <f>'Operating Budget'!P149</f>
        <v>0</v>
      </c>
      <c r="R138" s="12">
        <f>'Operating Budget'!Q149</f>
        <v>0</v>
      </c>
      <c r="S138" s="12" t="e">
        <f t="shared" si="17"/>
        <v>#REF!</v>
      </c>
    </row>
    <row r="139" spans="1:19">
      <c r="A139" s="11" t="e">
        <f>'Operating Budget'!#REF!</f>
        <v>#REF!</v>
      </c>
      <c r="B139" s="10" t="e">
        <f>'Operating Budget'!#REF!</f>
        <v>#REF!</v>
      </c>
      <c r="C139" s="48" t="e">
        <f>#REF!</f>
        <v>#REF!</v>
      </c>
      <c r="D139" s="49" t="e">
        <f>#REF!</f>
        <v>#REF!</v>
      </c>
      <c r="E139" s="49" t="e">
        <f>#REF!</f>
        <v>#REF!</v>
      </c>
      <c r="F139" s="50" t="e">
        <f>#REF!</f>
        <v>#REF!</v>
      </c>
      <c r="G139" s="12" t="e">
        <f>'Operating Budget'!#REF!</f>
        <v>#REF!</v>
      </c>
      <c r="H139" s="12" t="e">
        <f>'Operating Budget'!#REF!</f>
        <v>#REF!</v>
      </c>
      <c r="I139" s="12" t="e">
        <f>'Operating Budget'!#REF!</f>
        <v>#REF!</v>
      </c>
      <c r="J139" s="12" t="e">
        <f>'Operating Budget'!#REF!</f>
        <v>#REF!</v>
      </c>
      <c r="K139" s="12" t="e">
        <f>'Operating Budget'!#REF!</f>
        <v>#REF!</v>
      </c>
      <c r="L139" s="12" t="e">
        <f>'Operating Budget'!#REF!</f>
        <v>#REF!</v>
      </c>
      <c r="M139" s="12" t="e">
        <f>'Operating Budget'!#REF!</f>
        <v>#REF!</v>
      </c>
      <c r="N139" s="12" t="e">
        <f>'Operating Budget'!#REF!</f>
        <v>#REF!</v>
      </c>
      <c r="O139" s="12" t="e">
        <f>'Operating Budget'!#REF!</f>
        <v>#REF!</v>
      </c>
      <c r="P139" s="12" t="e">
        <f>'Operating Budget'!#REF!</f>
        <v>#REF!</v>
      </c>
      <c r="Q139" s="12" t="e">
        <f>'Operating Budget'!#REF!</f>
        <v>#REF!</v>
      </c>
      <c r="R139" s="12" t="e">
        <f>'Operating Budget'!#REF!</f>
        <v>#REF!</v>
      </c>
      <c r="S139" s="12" t="e">
        <f t="shared" si="17"/>
        <v>#REF!</v>
      </c>
    </row>
    <row r="140" spans="1:19">
      <c r="A140" s="11" t="e">
        <f>'Operating Budget'!#REF!</f>
        <v>#REF!</v>
      </c>
      <c r="B140" s="10" t="e">
        <f>'Operating Budget'!#REF!</f>
        <v>#REF!</v>
      </c>
      <c r="C140" s="48" t="e">
        <f>#REF!</f>
        <v>#REF!</v>
      </c>
      <c r="D140" s="49" t="e">
        <f>#REF!</f>
        <v>#REF!</v>
      </c>
      <c r="E140" s="49" t="e">
        <f>#REF!</f>
        <v>#REF!</v>
      </c>
      <c r="F140" s="50" t="e">
        <f>#REF!</f>
        <v>#REF!</v>
      </c>
      <c r="G140" s="12" t="e">
        <f>'Operating Budget'!#REF!</f>
        <v>#REF!</v>
      </c>
      <c r="H140" s="12" t="e">
        <f>'Operating Budget'!#REF!</f>
        <v>#REF!</v>
      </c>
      <c r="I140" s="12" t="e">
        <f>'Operating Budget'!#REF!</f>
        <v>#REF!</v>
      </c>
      <c r="J140" s="12" t="e">
        <f>'Operating Budget'!#REF!</f>
        <v>#REF!</v>
      </c>
      <c r="K140" s="12" t="e">
        <f>'Operating Budget'!#REF!</f>
        <v>#REF!</v>
      </c>
      <c r="L140" s="12" t="e">
        <f>'Operating Budget'!#REF!</f>
        <v>#REF!</v>
      </c>
      <c r="M140" s="12" t="e">
        <f>'Operating Budget'!#REF!</f>
        <v>#REF!</v>
      </c>
      <c r="N140" s="12" t="e">
        <f>'Operating Budget'!#REF!</f>
        <v>#REF!</v>
      </c>
      <c r="O140" s="12" t="e">
        <f>'Operating Budget'!#REF!</f>
        <v>#REF!</v>
      </c>
      <c r="P140" s="12" t="e">
        <f>'Operating Budget'!#REF!</f>
        <v>#REF!</v>
      </c>
      <c r="Q140" s="12" t="e">
        <f>'Operating Budget'!#REF!</f>
        <v>#REF!</v>
      </c>
      <c r="R140" s="12" t="e">
        <f>'Operating Budget'!#REF!</f>
        <v>#REF!</v>
      </c>
      <c r="S140" s="12" t="e">
        <f t="shared" si="17"/>
        <v>#REF!</v>
      </c>
    </row>
    <row r="141" spans="1:19">
      <c r="A141" s="11" t="e">
        <f>'Operating Budget'!#REF!</f>
        <v>#REF!</v>
      </c>
      <c r="B141" s="10" t="e">
        <f>'Operating Budget'!#REF!</f>
        <v>#REF!</v>
      </c>
      <c r="C141" s="48" t="e">
        <f>#REF!</f>
        <v>#REF!</v>
      </c>
      <c r="D141" s="49" t="e">
        <f>#REF!</f>
        <v>#REF!</v>
      </c>
      <c r="E141" s="49" t="e">
        <f>#REF!</f>
        <v>#REF!</v>
      </c>
      <c r="F141" s="50" t="e">
        <f>#REF!</f>
        <v>#REF!</v>
      </c>
      <c r="G141" s="12" t="e">
        <f>'Operating Budget'!#REF!</f>
        <v>#REF!</v>
      </c>
      <c r="H141" s="12" t="e">
        <f>'Operating Budget'!#REF!</f>
        <v>#REF!</v>
      </c>
      <c r="I141" s="12" t="e">
        <f>'Operating Budget'!#REF!</f>
        <v>#REF!</v>
      </c>
      <c r="J141" s="12" t="e">
        <f>'Operating Budget'!#REF!</f>
        <v>#REF!</v>
      </c>
      <c r="K141" s="12" t="e">
        <f>'Operating Budget'!#REF!</f>
        <v>#REF!</v>
      </c>
      <c r="L141" s="12" t="e">
        <f>'Operating Budget'!#REF!</f>
        <v>#REF!</v>
      </c>
      <c r="M141" s="12" t="e">
        <f>'Operating Budget'!#REF!</f>
        <v>#REF!</v>
      </c>
      <c r="N141" s="12" t="e">
        <f>'Operating Budget'!#REF!</f>
        <v>#REF!</v>
      </c>
      <c r="O141" s="12" t="e">
        <f>'Operating Budget'!#REF!</f>
        <v>#REF!</v>
      </c>
      <c r="P141" s="12" t="e">
        <f>'Operating Budget'!#REF!</f>
        <v>#REF!</v>
      </c>
      <c r="Q141" s="12" t="e">
        <f>'Operating Budget'!#REF!</f>
        <v>#REF!</v>
      </c>
      <c r="R141" s="12" t="e">
        <f>'Operating Budget'!#REF!</f>
        <v>#REF!</v>
      </c>
      <c r="S141" s="12" t="e">
        <f t="shared" si="17"/>
        <v>#REF!</v>
      </c>
    </row>
    <row r="142" spans="1:19">
      <c r="A142" s="11">
        <f>'Operating Budget'!A150</f>
        <v>5265</v>
      </c>
      <c r="B142" s="10" t="str">
        <f>'Operating Budget'!B150</f>
        <v>Related Payroll Costs</v>
      </c>
      <c r="C142" s="48" t="e">
        <f>#REF!</f>
        <v>#REF!</v>
      </c>
      <c r="D142" s="49" t="e">
        <f>#REF!</f>
        <v>#REF!</v>
      </c>
      <c r="E142" s="49" t="e">
        <f>#REF!</f>
        <v>#REF!</v>
      </c>
      <c r="F142" s="50" t="e">
        <f>#REF!</f>
        <v>#REF!</v>
      </c>
      <c r="G142" s="12" t="e">
        <f>'Operating Budget'!#REF!</f>
        <v>#REF!</v>
      </c>
      <c r="H142" s="12" t="e">
        <f>'Operating Budget'!#REF!</f>
        <v>#REF!</v>
      </c>
      <c r="I142" s="12" t="e">
        <f>'Operating Budget'!#REF!</f>
        <v>#REF!</v>
      </c>
      <c r="J142" s="12">
        <f>'Operating Budget'!F150</f>
        <v>64</v>
      </c>
      <c r="K142" s="12">
        <f>'Operating Budget'!J150</f>
        <v>64</v>
      </c>
      <c r="L142" s="12">
        <f>'Operating Budget'!K150</f>
        <v>64</v>
      </c>
      <c r="M142" s="12">
        <f>'Operating Budget'!L150</f>
        <v>64</v>
      </c>
      <c r="N142" s="12">
        <f>'Operating Budget'!M150</f>
        <v>64</v>
      </c>
      <c r="O142" s="12">
        <f>'Operating Budget'!N150</f>
        <v>64</v>
      </c>
      <c r="P142" s="12">
        <f>'Operating Budget'!O150</f>
        <v>64</v>
      </c>
      <c r="Q142" s="12">
        <f>'Operating Budget'!P150</f>
        <v>64</v>
      </c>
      <c r="R142" s="12">
        <f>'Operating Budget'!Q150</f>
        <v>64</v>
      </c>
      <c r="S142" s="12" t="e">
        <f t="shared" si="17"/>
        <v>#REF!</v>
      </c>
    </row>
    <row r="143" spans="1:19">
      <c r="A143" s="11">
        <f>'Operating Budget'!A151</f>
        <v>0</v>
      </c>
      <c r="B143" s="10">
        <f>'Operating Budget'!B151</f>
        <v>0</v>
      </c>
      <c r="C143" s="48" t="e">
        <f>#REF!</f>
        <v>#REF!</v>
      </c>
      <c r="D143" s="49" t="e">
        <f>#REF!</f>
        <v>#REF!</v>
      </c>
      <c r="E143" s="49" t="e">
        <f>#REF!</f>
        <v>#REF!</v>
      </c>
      <c r="F143" s="50" t="e">
        <f>#REF!</f>
        <v>#REF!</v>
      </c>
      <c r="G143" s="12" t="e">
        <f>'Operating Budget'!#REF!</f>
        <v>#REF!</v>
      </c>
      <c r="H143" s="12" t="e">
        <f>'Operating Budget'!#REF!</f>
        <v>#REF!</v>
      </c>
      <c r="I143" s="12" t="e">
        <f>'Operating Budget'!#REF!</f>
        <v>#REF!</v>
      </c>
      <c r="J143" s="12">
        <f>'Operating Budget'!F151</f>
        <v>0</v>
      </c>
      <c r="K143" s="12">
        <f>'Operating Budget'!J151</f>
        <v>0</v>
      </c>
      <c r="L143" s="12">
        <f>'Operating Budget'!K151</f>
        <v>0</v>
      </c>
      <c r="M143" s="12">
        <f>'Operating Budget'!L151</f>
        <v>0</v>
      </c>
      <c r="N143" s="12">
        <f>'Operating Budget'!M151</f>
        <v>0</v>
      </c>
      <c r="O143" s="12">
        <f>'Operating Budget'!N151</f>
        <v>0</v>
      </c>
      <c r="P143" s="12">
        <f>'Operating Budget'!O151</f>
        <v>0</v>
      </c>
      <c r="Q143" s="12">
        <f>'Operating Budget'!P151</f>
        <v>0</v>
      </c>
      <c r="R143" s="12">
        <f>'Operating Budget'!Q151</f>
        <v>0</v>
      </c>
      <c r="S143" s="12" t="e">
        <f t="shared" si="17"/>
        <v>#REF!</v>
      </c>
    </row>
    <row r="144" spans="1:19">
      <c r="C144" s="23"/>
      <c r="D144" s="17"/>
      <c r="E144" s="17"/>
      <c r="F144" s="24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</row>
    <row r="145" spans="1:19">
      <c r="B145" s="13" t="s">
        <v>191</v>
      </c>
      <c r="C145" s="30" t="e">
        <f t="shared" ref="C145:F145" si="18">SUM(C133:C143)</f>
        <v>#REF!</v>
      </c>
      <c r="D145" s="31" t="e">
        <f t="shared" si="18"/>
        <v>#REF!</v>
      </c>
      <c r="E145" s="31" t="e">
        <f t="shared" si="18"/>
        <v>#REF!</v>
      </c>
      <c r="F145" s="32" t="e">
        <f t="shared" si="18"/>
        <v>#REF!</v>
      </c>
      <c r="G145" s="40" t="e">
        <f>SUM(G133:G143)</f>
        <v>#REF!</v>
      </c>
      <c r="H145" s="40" t="e">
        <f t="shared" ref="H145:S145" si="19">SUM(H133:H143)</f>
        <v>#REF!</v>
      </c>
      <c r="I145" s="40" t="e">
        <f t="shared" si="19"/>
        <v>#REF!</v>
      </c>
      <c r="J145" s="40" t="e">
        <f t="shared" si="19"/>
        <v>#REF!</v>
      </c>
      <c r="K145" s="40" t="e">
        <f t="shared" si="19"/>
        <v>#REF!</v>
      </c>
      <c r="L145" s="40" t="e">
        <f t="shared" si="19"/>
        <v>#REF!</v>
      </c>
      <c r="M145" s="40" t="e">
        <f t="shared" si="19"/>
        <v>#REF!</v>
      </c>
      <c r="N145" s="40" t="e">
        <f t="shared" si="19"/>
        <v>#REF!</v>
      </c>
      <c r="O145" s="40" t="e">
        <f t="shared" si="19"/>
        <v>#REF!</v>
      </c>
      <c r="P145" s="40" t="e">
        <f t="shared" si="19"/>
        <v>#REF!</v>
      </c>
      <c r="Q145" s="40" t="e">
        <f t="shared" si="19"/>
        <v>#REF!</v>
      </c>
      <c r="R145" s="40" t="e">
        <f t="shared" si="19"/>
        <v>#REF!</v>
      </c>
      <c r="S145" s="40" t="e">
        <f t="shared" si="19"/>
        <v>#REF!</v>
      </c>
    </row>
    <row r="146" spans="1:19">
      <c r="C146" s="21"/>
      <c r="F146" s="2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</row>
    <row r="147" spans="1:19">
      <c r="B147" s="13" t="s">
        <v>14</v>
      </c>
      <c r="C147" s="25"/>
      <c r="D147" s="13"/>
      <c r="E147" s="13"/>
      <c r="F147" s="26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</row>
    <row r="148" spans="1:19">
      <c r="C148" s="21"/>
      <c r="F148" s="2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</row>
    <row r="149" spans="1:19">
      <c r="A149" s="11">
        <f>'Operating Budget'!A157</f>
        <v>7700</v>
      </c>
      <c r="B149" s="10" t="str">
        <f>'Operating Budget'!B157</f>
        <v>Advertising - Internet</v>
      </c>
      <c r="C149" s="48" t="e">
        <f>#REF!</f>
        <v>#REF!</v>
      </c>
      <c r="D149" s="49" t="e">
        <f>#REF!</f>
        <v>#REF!</v>
      </c>
      <c r="E149" s="49" t="e">
        <f>#REF!</f>
        <v>#REF!</v>
      </c>
      <c r="F149" s="50" t="e">
        <f>#REF!</f>
        <v>#REF!</v>
      </c>
      <c r="G149" s="12" t="e">
        <f>'Operating Budget'!#REF!</f>
        <v>#REF!</v>
      </c>
      <c r="H149" s="12" t="e">
        <f>'Operating Budget'!#REF!</f>
        <v>#REF!</v>
      </c>
      <c r="I149" s="12" t="e">
        <f>'Operating Budget'!#REF!</f>
        <v>#REF!</v>
      </c>
      <c r="J149" s="12">
        <f>'Operating Budget'!F157</f>
        <v>5012</v>
      </c>
      <c r="K149" s="12">
        <f>'Operating Budget'!J157</f>
        <v>3537</v>
      </c>
      <c r="L149" s="12">
        <f>'Operating Budget'!K157</f>
        <v>3537</v>
      </c>
      <c r="M149" s="12">
        <f>'Operating Budget'!L157</f>
        <v>3537</v>
      </c>
      <c r="N149" s="12">
        <f>'Operating Budget'!M157</f>
        <v>3037</v>
      </c>
      <c r="O149" s="12">
        <f>'Operating Budget'!N157</f>
        <v>1500</v>
      </c>
      <c r="P149" s="12">
        <f>'Operating Budget'!O157</f>
        <v>1500</v>
      </c>
      <c r="Q149" s="12">
        <f>'Operating Budget'!P157</f>
        <v>1500</v>
      </c>
      <c r="R149" s="12">
        <f>'Operating Budget'!Q157</f>
        <v>1500</v>
      </c>
      <c r="S149" s="12" t="e">
        <f>SUM(G149:R149)</f>
        <v>#REF!</v>
      </c>
    </row>
    <row r="150" spans="1:19">
      <c r="A150" s="11">
        <f>'Operating Budget'!A159</f>
        <v>7715</v>
      </c>
      <c r="B150" s="10" t="str">
        <f>'Operating Budget'!B159</f>
        <v>Advertising-Programs/Software</v>
      </c>
      <c r="C150" s="48" t="e">
        <f>#REF!</f>
        <v>#REF!</v>
      </c>
      <c r="D150" s="49" t="e">
        <f>#REF!</f>
        <v>#REF!</v>
      </c>
      <c r="E150" s="49" t="e">
        <f>#REF!</f>
        <v>#REF!</v>
      </c>
      <c r="F150" s="50" t="e">
        <f>#REF!</f>
        <v>#REF!</v>
      </c>
      <c r="G150" s="12" t="e">
        <f>'Operating Budget'!#REF!</f>
        <v>#REF!</v>
      </c>
      <c r="H150" s="12" t="e">
        <f>'Operating Budget'!#REF!</f>
        <v>#REF!</v>
      </c>
      <c r="I150" s="12" t="e">
        <f>'Operating Budget'!#REF!</f>
        <v>#REF!</v>
      </c>
      <c r="J150" s="12">
        <f>'Operating Budget'!F159</f>
        <v>685.25</v>
      </c>
      <c r="K150" s="12">
        <f>'Operating Budget'!J159</f>
        <v>685.25</v>
      </c>
      <c r="L150" s="12">
        <f>'Operating Budget'!K159</f>
        <v>685.25</v>
      </c>
      <c r="M150" s="12">
        <f>'Operating Budget'!L159</f>
        <v>685.25</v>
      </c>
      <c r="N150" s="12">
        <f>'Operating Budget'!M159</f>
        <v>685.25</v>
      </c>
      <c r="O150" s="12">
        <f>'Operating Budget'!N159</f>
        <v>685.25</v>
      </c>
      <c r="P150" s="12">
        <f>'Operating Budget'!O159</f>
        <v>685.25</v>
      </c>
      <c r="Q150" s="12">
        <f>'Operating Budget'!P159</f>
        <v>685.25</v>
      </c>
      <c r="R150" s="12">
        <f>'Operating Budget'!Q159</f>
        <v>685.25</v>
      </c>
      <c r="S150" s="12" t="e">
        <f t="shared" ref="S150:S157" si="20">SUM(G150:R150)</f>
        <v>#REF!</v>
      </c>
    </row>
    <row r="151" spans="1:19">
      <c r="A151" s="11">
        <f>'Operating Budget'!A160</f>
        <v>7730</v>
      </c>
      <c r="B151" s="10" t="str">
        <f>'Operating Budget'!B160</f>
        <v>Realtor/Locator Fees</v>
      </c>
      <c r="C151" s="48" t="e">
        <f>#REF!</f>
        <v>#REF!</v>
      </c>
      <c r="D151" s="49" t="e">
        <f>#REF!</f>
        <v>#REF!</v>
      </c>
      <c r="E151" s="49" t="e">
        <f>#REF!</f>
        <v>#REF!</v>
      </c>
      <c r="F151" s="50" t="e">
        <f>#REF!</f>
        <v>#REF!</v>
      </c>
      <c r="G151" s="12" t="e">
        <f>'Operating Budget'!#REF!</f>
        <v>#REF!</v>
      </c>
      <c r="H151" s="12" t="e">
        <f>'Operating Budget'!#REF!</f>
        <v>#REF!</v>
      </c>
      <c r="I151" s="12" t="e">
        <f>'Operating Budget'!#REF!</f>
        <v>#REF!</v>
      </c>
      <c r="J151" s="12">
        <f>'Operating Budget'!F160</f>
        <v>0</v>
      </c>
      <c r="K151" s="12">
        <f>'Operating Budget'!J160</f>
        <v>0</v>
      </c>
      <c r="L151" s="12">
        <f>'Operating Budget'!K160</f>
        <v>0</v>
      </c>
      <c r="M151" s="12">
        <f>'Operating Budget'!L160</f>
        <v>0</v>
      </c>
      <c r="N151" s="12">
        <f>'Operating Budget'!M160</f>
        <v>0</v>
      </c>
      <c r="O151" s="12">
        <f>'Operating Budget'!N160</f>
        <v>0</v>
      </c>
      <c r="P151" s="12">
        <f>'Operating Budget'!O160</f>
        <v>0</v>
      </c>
      <c r="Q151" s="12">
        <f>'Operating Budget'!P160</f>
        <v>0</v>
      </c>
      <c r="R151" s="12">
        <f>'Operating Budget'!Q160</f>
        <v>0</v>
      </c>
      <c r="S151" s="12" t="e">
        <f t="shared" si="20"/>
        <v>#REF!</v>
      </c>
    </row>
    <row r="152" spans="1:19">
      <c r="A152" s="11">
        <f>'Operating Budget'!A162</f>
        <v>7750</v>
      </c>
      <c r="B152" s="10" t="str">
        <f>'Operating Budget'!B162</f>
        <v>Marketing Printing</v>
      </c>
      <c r="C152" s="48" t="e">
        <f>#REF!</f>
        <v>#REF!</v>
      </c>
      <c r="D152" s="49" t="e">
        <f>#REF!</f>
        <v>#REF!</v>
      </c>
      <c r="E152" s="49" t="e">
        <f>#REF!</f>
        <v>#REF!</v>
      </c>
      <c r="F152" s="50" t="e">
        <f>#REF!</f>
        <v>#REF!</v>
      </c>
      <c r="G152" s="12" t="e">
        <f>'Operating Budget'!#REF!</f>
        <v>#REF!</v>
      </c>
      <c r="H152" s="12" t="e">
        <f>'Operating Budget'!#REF!</f>
        <v>#REF!</v>
      </c>
      <c r="I152" s="12" t="e">
        <f>'Operating Budget'!#REF!</f>
        <v>#REF!</v>
      </c>
      <c r="J152" s="12">
        <f>'Operating Budget'!F162</f>
        <v>79</v>
      </c>
      <c r="K152" s="12">
        <f>'Operating Budget'!J162</f>
        <v>379</v>
      </c>
      <c r="L152" s="12">
        <f>'Operating Budget'!K162</f>
        <v>79</v>
      </c>
      <c r="M152" s="12">
        <f>'Operating Budget'!L162</f>
        <v>79</v>
      </c>
      <c r="N152" s="12">
        <f>'Operating Budget'!M162</f>
        <v>79</v>
      </c>
      <c r="O152" s="12">
        <f>'Operating Budget'!N162</f>
        <v>79</v>
      </c>
      <c r="P152" s="12">
        <f>'Operating Budget'!O162</f>
        <v>79</v>
      </c>
      <c r="Q152" s="12">
        <f>'Operating Budget'!P162</f>
        <v>79</v>
      </c>
      <c r="R152" s="12">
        <f>'Operating Budget'!Q162</f>
        <v>79</v>
      </c>
      <c r="S152" s="12" t="e">
        <f t="shared" si="20"/>
        <v>#REF!</v>
      </c>
    </row>
    <row r="153" spans="1:19">
      <c r="A153" s="11">
        <f>'Operating Budget'!A164</f>
        <v>7760</v>
      </c>
      <c r="B153" s="10" t="str">
        <f>'Operating Budget'!B164</f>
        <v xml:space="preserve">Model </v>
      </c>
      <c r="C153" s="48" t="e">
        <f>#REF!</f>
        <v>#REF!</v>
      </c>
      <c r="D153" s="49" t="e">
        <f>#REF!</f>
        <v>#REF!</v>
      </c>
      <c r="E153" s="49" t="e">
        <f>#REF!</f>
        <v>#REF!</v>
      </c>
      <c r="F153" s="50" t="e">
        <f>#REF!</f>
        <v>#REF!</v>
      </c>
      <c r="G153" s="12" t="e">
        <f>'Operating Budget'!#REF!</f>
        <v>#REF!</v>
      </c>
      <c r="H153" s="12" t="e">
        <f>'Operating Budget'!#REF!</f>
        <v>#REF!</v>
      </c>
      <c r="I153" s="12" t="e">
        <f>'Operating Budget'!#REF!</f>
        <v>#REF!</v>
      </c>
      <c r="J153" s="12">
        <f>'Operating Budget'!F164</f>
        <v>0</v>
      </c>
      <c r="K153" s="12">
        <f>'Operating Budget'!J164</f>
        <v>0</v>
      </c>
      <c r="L153" s="12">
        <f>'Operating Budget'!K164</f>
        <v>0</v>
      </c>
      <c r="M153" s="12">
        <f>'Operating Budget'!L164</f>
        <v>0</v>
      </c>
      <c r="N153" s="12">
        <f>'Operating Budget'!M164</f>
        <v>0</v>
      </c>
      <c r="O153" s="12">
        <f>'Operating Budget'!N164</f>
        <v>0</v>
      </c>
      <c r="P153" s="12">
        <f>'Operating Budget'!O164</f>
        <v>0</v>
      </c>
      <c r="Q153" s="12">
        <f>'Operating Budget'!P164</f>
        <v>0</v>
      </c>
      <c r="R153" s="12">
        <f>'Operating Budget'!Q164</f>
        <v>0</v>
      </c>
      <c r="S153" s="12" t="e">
        <f t="shared" si="20"/>
        <v>#REF!</v>
      </c>
    </row>
    <row r="154" spans="1:19">
      <c r="A154" s="11">
        <f>'Operating Budget'!A163</f>
        <v>7820</v>
      </c>
      <c r="B154" s="10" t="str">
        <f>'Operating Budget'!B163</f>
        <v xml:space="preserve">Signage </v>
      </c>
      <c r="C154" s="48" t="e">
        <f>#REF!</f>
        <v>#REF!</v>
      </c>
      <c r="D154" s="49" t="e">
        <f>#REF!</f>
        <v>#REF!</v>
      </c>
      <c r="E154" s="49" t="e">
        <f>#REF!</f>
        <v>#REF!</v>
      </c>
      <c r="F154" s="50" t="e">
        <f>#REF!</f>
        <v>#REF!</v>
      </c>
      <c r="G154" s="12" t="e">
        <f>'Operating Budget'!#REF!</f>
        <v>#REF!</v>
      </c>
      <c r="H154" s="12" t="e">
        <f>'Operating Budget'!#REF!</f>
        <v>#REF!</v>
      </c>
      <c r="I154" s="12" t="e">
        <f>'Operating Budget'!#REF!</f>
        <v>#REF!</v>
      </c>
      <c r="J154" s="12">
        <f>'Operating Budget'!F163</f>
        <v>50</v>
      </c>
      <c r="K154" s="12">
        <f>'Operating Budget'!J163</f>
        <v>450</v>
      </c>
      <c r="L154" s="12">
        <f>'Operating Budget'!K163</f>
        <v>50</v>
      </c>
      <c r="M154" s="12">
        <f>'Operating Budget'!L163</f>
        <v>50</v>
      </c>
      <c r="N154" s="12">
        <f>'Operating Budget'!M163</f>
        <v>50</v>
      </c>
      <c r="O154" s="12">
        <f>'Operating Budget'!N163</f>
        <v>650</v>
      </c>
      <c r="P154" s="12">
        <f>'Operating Budget'!O163</f>
        <v>50</v>
      </c>
      <c r="Q154" s="12">
        <f>'Operating Budget'!P163</f>
        <v>50</v>
      </c>
      <c r="R154" s="12">
        <f>'Operating Budget'!Q163</f>
        <v>50</v>
      </c>
      <c r="S154" s="12" t="e">
        <f t="shared" si="20"/>
        <v>#REF!</v>
      </c>
    </row>
    <row r="155" spans="1:19">
      <c r="A155" s="11">
        <f>'Operating Budget'!A165</f>
        <v>7800</v>
      </c>
      <c r="B155" s="10" t="str">
        <f>'Operating Budget'!B165</f>
        <v>Resident Retention</v>
      </c>
      <c r="C155" s="48" t="e">
        <f>#REF!</f>
        <v>#REF!</v>
      </c>
      <c r="D155" s="49" t="e">
        <f>#REF!</f>
        <v>#REF!</v>
      </c>
      <c r="E155" s="49" t="e">
        <f>#REF!</f>
        <v>#REF!</v>
      </c>
      <c r="F155" s="50" t="e">
        <f>#REF!</f>
        <v>#REF!</v>
      </c>
      <c r="G155" s="12" t="e">
        <f>'Operating Budget'!#REF!</f>
        <v>#REF!</v>
      </c>
      <c r="H155" s="12" t="e">
        <f>'Operating Budget'!#REF!</f>
        <v>#REF!</v>
      </c>
      <c r="I155" s="12" t="e">
        <f>'Operating Budget'!#REF!</f>
        <v>#REF!</v>
      </c>
      <c r="J155" s="12">
        <f>'Operating Budget'!F165</f>
        <v>250</v>
      </c>
      <c r="K155" s="12">
        <f>'Operating Budget'!J165</f>
        <v>250</v>
      </c>
      <c r="L155" s="12">
        <f>'Operating Budget'!K165</f>
        <v>250</v>
      </c>
      <c r="M155" s="12">
        <f>'Operating Budget'!L165</f>
        <v>490</v>
      </c>
      <c r="N155" s="12">
        <f>'Operating Budget'!M165</f>
        <v>490</v>
      </c>
      <c r="O155" s="12">
        <f>'Operating Budget'!N165</f>
        <v>490</v>
      </c>
      <c r="P155" s="12">
        <f>'Operating Budget'!O165</f>
        <v>490</v>
      </c>
      <c r="Q155" s="12">
        <f>'Operating Budget'!P165</f>
        <v>490</v>
      </c>
      <c r="R155" s="12">
        <f>'Operating Budget'!Q165</f>
        <v>490</v>
      </c>
      <c r="S155" s="12" t="e">
        <f t="shared" si="20"/>
        <v>#REF!</v>
      </c>
    </row>
    <row r="156" spans="1:19">
      <c r="A156" s="11">
        <f>'Operating Budget'!A161</f>
        <v>7740</v>
      </c>
      <c r="B156" s="10" t="str">
        <f>'Operating Budget'!B161</f>
        <v>Marketing/Promotions</v>
      </c>
      <c r="C156" s="48" t="e">
        <f>#REF!</f>
        <v>#REF!</v>
      </c>
      <c r="D156" s="49" t="e">
        <f>#REF!</f>
        <v>#REF!</v>
      </c>
      <c r="E156" s="49" t="e">
        <f>#REF!</f>
        <v>#REF!</v>
      </c>
      <c r="F156" s="50" t="e">
        <f>#REF!</f>
        <v>#REF!</v>
      </c>
      <c r="G156" s="12" t="e">
        <f>'Operating Budget'!#REF!</f>
        <v>#REF!</v>
      </c>
      <c r="H156" s="12" t="e">
        <f>'Operating Budget'!#REF!</f>
        <v>#REF!</v>
      </c>
      <c r="I156" s="12" t="e">
        <f>'Operating Budget'!#REF!</f>
        <v>#REF!</v>
      </c>
      <c r="J156" s="12">
        <f>'Operating Budget'!F161</f>
        <v>0</v>
      </c>
      <c r="K156" s="12">
        <f>'Operating Budget'!J161</f>
        <v>0</v>
      </c>
      <c r="L156" s="12">
        <f>'Operating Budget'!K161</f>
        <v>0</v>
      </c>
      <c r="M156" s="12">
        <f>'Operating Budget'!L161</f>
        <v>0</v>
      </c>
      <c r="N156" s="12">
        <f>'Operating Budget'!M161</f>
        <v>0</v>
      </c>
      <c r="O156" s="12">
        <f>'Operating Budget'!N161</f>
        <v>0</v>
      </c>
      <c r="P156" s="12">
        <f>'Operating Budget'!O161</f>
        <v>0</v>
      </c>
      <c r="Q156" s="12">
        <f>'Operating Budget'!P161</f>
        <v>0</v>
      </c>
      <c r="R156" s="12">
        <f>'Operating Budget'!Q161</f>
        <v>0</v>
      </c>
      <c r="S156" s="12" t="e">
        <f t="shared" si="20"/>
        <v>#REF!</v>
      </c>
    </row>
    <row r="157" spans="1:19">
      <c r="A157" s="11" t="e">
        <f>'Operating Budget'!#REF!</f>
        <v>#REF!</v>
      </c>
      <c r="B157" s="10" t="e">
        <f>'Operating Budget'!#REF!</f>
        <v>#REF!</v>
      </c>
      <c r="C157" s="48" t="e">
        <f>#REF!</f>
        <v>#REF!</v>
      </c>
      <c r="D157" s="49" t="e">
        <f>#REF!</f>
        <v>#REF!</v>
      </c>
      <c r="E157" s="49" t="e">
        <f>#REF!</f>
        <v>#REF!</v>
      </c>
      <c r="F157" s="50" t="e">
        <f>#REF!</f>
        <v>#REF!</v>
      </c>
      <c r="G157" s="12" t="e">
        <f>'Operating Budget'!#REF!</f>
        <v>#REF!</v>
      </c>
      <c r="H157" s="12" t="e">
        <f>'Operating Budget'!#REF!</f>
        <v>#REF!</v>
      </c>
      <c r="I157" s="12" t="e">
        <f>'Operating Budget'!#REF!</f>
        <v>#REF!</v>
      </c>
      <c r="J157" s="12" t="e">
        <f>'Operating Budget'!#REF!</f>
        <v>#REF!</v>
      </c>
      <c r="K157" s="12" t="e">
        <f>'Operating Budget'!#REF!</f>
        <v>#REF!</v>
      </c>
      <c r="L157" s="12" t="e">
        <f>'Operating Budget'!#REF!</f>
        <v>#REF!</v>
      </c>
      <c r="M157" s="12" t="e">
        <f>'Operating Budget'!#REF!</f>
        <v>#REF!</v>
      </c>
      <c r="N157" s="12" t="e">
        <f>'Operating Budget'!#REF!</f>
        <v>#REF!</v>
      </c>
      <c r="O157" s="12" t="e">
        <f>'Operating Budget'!#REF!</f>
        <v>#REF!</v>
      </c>
      <c r="P157" s="12" t="e">
        <f>'Operating Budget'!#REF!</f>
        <v>#REF!</v>
      </c>
      <c r="Q157" s="12" t="e">
        <f>'Operating Budget'!#REF!</f>
        <v>#REF!</v>
      </c>
      <c r="R157" s="12" t="e">
        <f>'Operating Budget'!#REF!</f>
        <v>#REF!</v>
      </c>
      <c r="S157" s="12" t="e">
        <f t="shared" si="20"/>
        <v>#REF!</v>
      </c>
    </row>
    <row r="158" spans="1:19">
      <c r="C158" s="23"/>
      <c r="D158" s="17"/>
      <c r="E158" s="17"/>
      <c r="F158" s="24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</row>
    <row r="159" spans="1:19">
      <c r="B159" s="13" t="s">
        <v>38</v>
      </c>
      <c r="C159" s="30" t="e">
        <f t="shared" ref="C159:F159" si="21">SUM(C149:C157)</f>
        <v>#REF!</v>
      </c>
      <c r="D159" s="31" t="e">
        <f t="shared" si="21"/>
        <v>#REF!</v>
      </c>
      <c r="E159" s="31" t="e">
        <f t="shared" si="21"/>
        <v>#REF!</v>
      </c>
      <c r="F159" s="32" t="e">
        <f t="shared" si="21"/>
        <v>#REF!</v>
      </c>
      <c r="G159" s="39" t="e">
        <f>SUM(G149:G157)</f>
        <v>#REF!</v>
      </c>
      <c r="H159" s="39" t="e">
        <f t="shared" ref="H159:S159" si="22">SUM(H149:H157)</f>
        <v>#REF!</v>
      </c>
      <c r="I159" s="39" t="e">
        <f t="shared" si="22"/>
        <v>#REF!</v>
      </c>
      <c r="J159" s="39" t="e">
        <f t="shared" si="22"/>
        <v>#REF!</v>
      </c>
      <c r="K159" s="39" t="e">
        <f t="shared" si="22"/>
        <v>#REF!</v>
      </c>
      <c r="L159" s="39" t="e">
        <f t="shared" si="22"/>
        <v>#REF!</v>
      </c>
      <c r="M159" s="39" t="e">
        <f t="shared" si="22"/>
        <v>#REF!</v>
      </c>
      <c r="N159" s="39" t="e">
        <f t="shared" si="22"/>
        <v>#REF!</v>
      </c>
      <c r="O159" s="39" t="e">
        <f t="shared" si="22"/>
        <v>#REF!</v>
      </c>
      <c r="P159" s="39" t="e">
        <f t="shared" si="22"/>
        <v>#REF!</v>
      </c>
      <c r="Q159" s="39" t="e">
        <f t="shared" si="22"/>
        <v>#REF!</v>
      </c>
      <c r="R159" s="39" t="e">
        <f t="shared" si="22"/>
        <v>#REF!</v>
      </c>
      <c r="S159" s="39" t="e">
        <f t="shared" si="22"/>
        <v>#REF!</v>
      </c>
    </row>
    <row r="160" spans="1:19">
      <c r="C160" s="21"/>
      <c r="F160" s="2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</row>
    <row r="161" spans="1:19">
      <c r="B161" s="13" t="s">
        <v>25</v>
      </c>
      <c r="C161" s="25"/>
      <c r="D161" s="13"/>
      <c r="E161" s="13"/>
      <c r="F161" s="26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</row>
    <row r="162" spans="1:19">
      <c r="C162" s="21"/>
      <c r="F162" s="2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</row>
    <row r="163" spans="1:19">
      <c r="A163" s="11">
        <f>'Operating Budget'!A172</f>
        <v>5270</v>
      </c>
      <c r="B163" s="10" t="str">
        <f>'Operating Budget'!B172</f>
        <v>Access Gate Expense</v>
      </c>
      <c r="C163" s="48" t="e">
        <f>#REF!</f>
        <v>#REF!</v>
      </c>
      <c r="D163" s="49" t="e">
        <f>#REF!</f>
        <v>#REF!</v>
      </c>
      <c r="E163" s="49" t="e">
        <f>#REF!</f>
        <v>#REF!</v>
      </c>
      <c r="F163" s="50" t="e">
        <f>#REF!</f>
        <v>#REF!</v>
      </c>
      <c r="G163" s="12" t="e">
        <f>'Operating Budget'!#REF!</f>
        <v>#REF!</v>
      </c>
      <c r="H163" s="12" t="e">
        <f>'Operating Budget'!#REF!</f>
        <v>#REF!</v>
      </c>
      <c r="I163" s="12" t="e">
        <f>'Operating Budget'!#REF!</f>
        <v>#REF!</v>
      </c>
      <c r="J163" s="12">
        <f>'Operating Budget'!F172</f>
        <v>0</v>
      </c>
      <c r="K163" s="12">
        <f>'Operating Budget'!J172</f>
        <v>0</v>
      </c>
      <c r="L163" s="12">
        <f>'Operating Budget'!K172</f>
        <v>0</v>
      </c>
      <c r="M163" s="12">
        <f>'Operating Budget'!L172</f>
        <v>0</v>
      </c>
      <c r="N163" s="12">
        <f>'Operating Budget'!M172</f>
        <v>0</v>
      </c>
      <c r="O163" s="12">
        <f>'Operating Budget'!N172</f>
        <v>0</v>
      </c>
      <c r="P163" s="12">
        <f>'Operating Budget'!O172</f>
        <v>0</v>
      </c>
      <c r="Q163" s="12">
        <f>'Operating Budget'!P172</f>
        <v>0</v>
      </c>
      <c r="R163" s="12">
        <f>'Operating Budget'!Q172</f>
        <v>0</v>
      </c>
      <c r="S163" s="12" t="e">
        <f>SUM(G163:R163)</f>
        <v>#REF!</v>
      </c>
    </row>
    <row r="164" spans="1:19">
      <c r="A164" s="11">
        <f>'Operating Budget'!A173</f>
        <v>5280</v>
      </c>
      <c r="B164" s="10" t="str">
        <f>'Operating Budget'!B173</f>
        <v>Animal/Pest Control Supplies</v>
      </c>
      <c r="C164" s="48" t="e">
        <f>#REF!</f>
        <v>#REF!</v>
      </c>
      <c r="D164" s="49" t="e">
        <f>#REF!</f>
        <v>#REF!</v>
      </c>
      <c r="E164" s="49" t="e">
        <f>#REF!</f>
        <v>#REF!</v>
      </c>
      <c r="F164" s="50" t="e">
        <f>#REF!</f>
        <v>#REF!</v>
      </c>
      <c r="G164" s="12" t="e">
        <f>'Operating Budget'!#REF!</f>
        <v>#REF!</v>
      </c>
      <c r="H164" s="12" t="e">
        <f>'Operating Budget'!#REF!</f>
        <v>#REF!</v>
      </c>
      <c r="I164" s="12" t="e">
        <f>'Operating Budget'!#REF!</f>
        <v>#REF!</v>
      </c>
      <c r="J164" s="12">
        <f>'Operating Budget'!F173</f>
        <v>0</v>
      </c>
      <c r="K164" s="12">
        <f>'Operating Budget'!J173</f>
        <v>0</v>
      </c>
      <c r="L164" s="12">
        <f>'Operating Budget'!K173</f>
        <v>0</v>
      </c>
      <c r="M164" s="12">
        <f>'Operating Budget'!L173</f>
        <v>0</v>
      </c>
      <c r="N164" s="12">
        <f>'Operating Budget'!M173</f>
        <v>0</v>
      </c>
      <c r="O164" s="12">
        <f>'Operating Budget'!N173</f>
        <v>0</v>
      </c>
      <c r="P164" s="12">
        <f>'Operating Budget'!O173</f>
        <v>0</v>
      </c>
      <c r="Q164" s="12">
        <f>'Operating Budget'!P173</f>
        <v>0</v>
      </c>
      <c r="R164" s="12">
        <f>'Operating Budget'!Q173</f>
        <v>0</v>
      </c>
      <c r="S164" s="12" t="e">
        <f t="shared" ref="S164:S204" si="23">SUM(G164:R164)</f>
        <v>#REF!</v>
      </c>
    </row>
    <row r="165" spans="1:19">
      <c r="A165" s="11">
        <f>'Operating Budget'!A174</f>
        <v>5290</v>
      </c>
      <c r="B165" s="10" t="str">
        <f>'Operating Budget'!B174</f>
        <v>Appliance Repairs</v>
      </c>
      <c r="C165" s="48" t="e">
        <f>#REF!</f>
        <v>#REF!</v>
      </c>
      <c r="D165" s="49" t="e">
        <f>#REF!</f>
        <v>#REF!</v>
      </c>
      <c r="E165" s="49" t="e">
        <f>#REF!</f>
        <v>#REF!</v>
      </c>
      <c r="F165" s="50" t="e">
        <f>#REF!</f>
        <v>#REF!</v>
      </c>
      <c r="G165" s="12" t="e">
        <f>'Operating Budget'!#REF!</f>
        <v>#REF!</v>
      </c>
      <c r="H165" s="12" t="e">
        <f>'Operating Budget'!#REF!</f>
        <v>#REF!</v>
      </c>
      <c r="I165" s="12" t="e">
        <f>'Operating Budget'!#REF!</f>
        <v>#REF!</v>
      </c>
      <c r="J165" s="12">
        <f>'Operating Budget'!F174</f>
        <v>0</v>
      </c>
      <c r="K165" s="12">
        <f>'Operating Budget'!J174</f>
        <v>0</v>
      </c>
      <c r="L165" s="12">
        <f>'Operating Budget'!K174</f>
        <v>0</v>
      </c>
      <c r="M165" s="12">
        <f>'Operating Budget'!L174</f>
        <v>0</v>
      </c>
      <c r="N165" s="12">
        <f>'Operating Budget'!M174</f>
        <v>50</v>
      </c>
      <c r="O165" s="12">
        <f>'Operating Budget'!N174</f>
        <v>50</v>
      </c>
      <c r="P165" s="12">
        <f>'Operating Budget'!O174</f>
        <v>75</v>
      </c>
      <c r="Q165" s="12">
        <f>'Operating Budget'!P174</f>
        <v>75</v>
      </c>
      <c r="R165" s="12">
        <f>'Operating Budget'!Q174</f>
        <v>75</v>
      </c>
      <c r="S165" s="12" t="e">
        <f t="shared" si="23"/>
        <v>#REF!</v>
      </c>
    </row>
    <row r="166" spans="1:19">
      <c r="A166" s="11">
        <f>'Operating Budget'!A175</f>
        <v>5300</v>
      </c>
      <c r="B166" s="10" t="str">
        <f>'Operating Budget'!B175</f>
        <v>Backflow Inspection</v>
      </c>
      <c r="C166" s="48" t="e">
        <f>#REF!</f>
        <v>#REF!</v>
      </c>
      <c r="D166" s="49" t="e">
        <f>#REF!</f>
        <v>#REF!</v>
      </c>
      <c r="E166" s="49" t="e">
        <f>#REF!</f>
        <v>#REF!</v>
      </c>
      <c r="F166" s="50" t="e">
        <f>#REF!</f>
        <v>#REF!</v>
      </c>
      <c r="G166" s="12" t="e">
        <f>'Operating Budget'!#REF!</f>
        <v>#REF!</v>
      </c>
      <c r="H166" s="12" t="e">
        <f>'Operating Budget'!#REF!</f>
        <v>#REF!</v>
      </c>
      <c r="I166" s="12" t="e">
        <f>'Operating Budget'!#REF!</f>
        <v>#REF!</v>
      </c>
      <c r="J166" s="12">
        <f>'Operating Budget'!F175</f>
        <v>0</v>
      </c>
      <c r="K166" s="12">
        <f>'Operating Budget'!J175</f>
        <v>0</v>
      </c>
      <c r="L166" s="12">
        <f>'Operating Budget'!K175</f>
        <v>0</v>
      </c>
      <c r="M166" s="12">
        <f>'Operating Budget'!L175</f>
        <v>0</v>
      </c>
      <c r="N166" s="12">
        <f>'Operating Budget'!M175</f>
        <v>0</v>
      </c>
      <c r="O166" s="12">
        <f>'Operating Budget'!N175</f>
        <v>0</v>
      </c>
      <c r="P166" s="12">
        <f>'Operating Budget'!O175</f>
        <v>0</v>
      </c>
      <c r="Q166" s="12">
        <f>'Operating Budget'!P175</f>
        <v>0</v>
      </c>
      <c r="R166" s="12">
        <f>'Operating Budget'!Q175</f>
        <v>0</v>
      </c>
      <c r="S166" s="12" t="e">
        <f t="shared" si="23"/>
        <v>#REF!</v>
      </c>
    </row>
    <row r="167" spans="1:19">
      <c r="A167" s="11">
        <f>'Operating Budget'!A176</f>
        <v>6009.1</v>
      </c>
      <c r="B167" s="10" t="str">
        <f>'Operating Budget'!B176</f>
        <v>Boiler Repairs</v>
      </c>
      <c r="C167" s="48" t="e">
        <f>#REF!</f>
        <v>#REF!</v>
      </c>
      <c r="D167" s="49" t="e">
        <f>#REF!</f>
        <v>#REF!</v>
      </c>
      <c r="E167" s="49" t="e">
        <f>#REF!</f>
        <v>#REF!</v>
      </c>
      <c r="F167" s="50" t="e">
        <f>#REF!</f>
        <v>#REF!</v>
      </c>
      <c r="G167" s="12" t="e">
        <f>'Operating Budget'!#REF!</f>
        <v>#REF!</v>
      </c>
      <c r="H167" s="12" t="e">
        <f>'Operating Budget'!#REF!</f>
        <v>#REF!</v>
      </c>
      <c r="I167" s="12" t="e">
        <f>'Operating Budget'!#REF!</f>
        <v>#REF!</v>
      </c>
      <c r="J167" s="12">
        <f>'Operating Budget'!F176</f>
        <v>0</v>
      </c>
      <c r="K167" s="12">
        <f>'Operating Budget'!J176</f>
        <v>0</v>
      </c>
      <c r="L167" s="12">
        <f>'Operating Budget'!K176</f>
        <v>0</v>
      </c>
      <c r="M167" s="12">
        <f>'Operating Budget'!L176</f>
        <v>0</v>
      </c>
      <c r="N167" s="12">
        <f>'Operating Budget'!M176</f>
        <v>0</v>
      </c>
      <c r="O167" s="12">
        <f>'Operating Budget'!N176</f>
        <v>0</v>
      </c>
      <c r="P167" s="12">
        <f>'Operating Budget'!O176</f>
        <v>0</v>
      </c>
      <c r="Q167" s="12">
        <f>'Operating Budget'!P176</f>
        <v>0</v>
      </c>
      <c r="R167" s="12">
        <f>'Operating Budget'!Q176</f>
        <v>0</v>
      </c>
      <c r="S167" s="12" t="e">
        <f t="shared" si="23"/>
        <v>#REF!</v>
      </c>
    </row>
    <row r="168" spans="1:19">
      <c r="A168" s="11">
        <f>'Operating Budget'!A177</f>
        <v>6010</v>
      </c>
      <c r="B168" s="10" t="str">
        <f>'Operating Budget'!B177</f>
        <v>Building Exterior Repairs</v>
      </c>
      <c r="C168" s="48" t="e">
        <f>#REF!</f>
        <v>#REF!</v>
      </c>
      <c r="D168" s="49" t="e">
        <f>#REF!</f>
        <v>#REF!</v>
      </c>
      <c r="E168" s="49" t="e">
        <f>#REF!</f>
        <v>#REF!</v>
      </c>
      <c r="F168" s="50" t="e">
        <f>#REF!</f>
        <v>#REF!</v>
      </c>
      <c r="G168" s="12" t="e">
        <f>'Operating Budget'!#REF!</f>
        <v>#REF!</v>
      </c>
      <c r="H168" s="12" t="e">
        <f>'Operating Budget'!#REF!</f>
        <v>#REF!</v>
      </c>
      <c r="I168" s="12" t="e">
        <f>'Operating Budget'!#REF!</f>
        <v>#REF!</v>
      </c>
      <c r="J168" s="12">
        <f>'Operating Budget'!F177</f>
        <v>0</v>
      </c>
      <c r="K168" s="12">
        <f>'Operating Budget'!J177</f>
        <v>0</v>
      </c>
      <c r="L168" s="12">
        <f>'Operating Budget'!K177</f>
        <v>0</v>
      </c>
      <c r="M168" s="12">
        <f>'Operating Budget'!L177</f>
        <v>50</v>
      </c>
      <c r="N168" s="12">
        <f>'Operating Budget'!M177</f>
        <v>50</v>
      </c>
      <c r="O168" s="12">
        <f>'Operating Budget'!N177</f>
        <v>50</v>
      </c>
      <c r="P168" s="12">
        <f>'Operating Budget'!O177</f>
        <v>75</v>
      </c>
      <c r="Q168" s="12">
        <f>'Operating Budget'!P177</f>
        <v>75</v>
      </c>
      <c r="R168" s="12">
        <f>'Operating Budget'!Q177</f>
        <v>100</v>
      </c>
      <c r="S168" s="12" t="e">
        <f t="shared" si="23"/>
        <v>#REF!</v>
      </c>
    </row>
    <row r="169" spans="1:19">
      <c r="A169" s="11">
        <f>'Operating Budget'!A178</f>
        <v>6020</v>
      </c>
      <c r="B169" s="10" t="str">
        <f>'Operating Budget'!B178</f>
        <v>Building Interior Repairs</v>
      </c>
      <c r="C169" s="48" t="e">
        <f>#REF!</f>
        <v>#REF!</v>
      </c>
      <c r="D169" s="49" t="e">
        <f>#REF!</f>
        <v>#REF!</v>
      </c>
      <c r="E169" s="49" t="e">
        <f>#REF!</f>
        <v>#REF!</v>
      </c>
      <c r="F169" s="50" t="e">
        <f>#REF!</f>
        <v>#REF!</v>
      </c>
      <c r="G169" s="12" t="e">
        <f>'Operating Budget'!#REF!</f>
        <v>#REF!</v>
      </c>
      <c r="H169" s="12" t="e">
        <f>'Operating Budget'!#REF!</f>
        <v>#REF!</v>
      </c>
      <c r="I169" s="12" t="e">
        <f>'Operating Budget'!#REF!</f>
        <v>#REF!</v>
      </c>
      <c r="J169" s="12">
        <f>'Operating Budget'!F178</f>
        <v>0</v>
      </c>
      <c r="K169" s="12">
        <f>'Operating Budget'!J178</f>
        <v>0</v>
      </c>
      <c r="L169" s="12">
        <f>'Operating Budget'!K178</f>
        <v>0</v>
      </c>
      <c r="M169" s="12">
        <f>'Operating Budget'!L178</f>
        <v>50</v>
      </c>
      <c r="N169" s="12">
        <f>'Operating Budget'!M178</f>
        <v>50</v>
      </c>
      <c r="O169" s="12">
        <f>'Operating Budget'!N178</f>
        <v>50</v>
      </c>
      <c r="P169" s="12">
        <f>'Operating Budget'!O178</f>
        <v>75</v>
      </c>
      <c r="Q169" s="12">
        <f>'Operating Budget'!P178</f>
        <v>75</v>
      </c>
      <c r="R169" s="12">
        <f>'Operating Budget'!Q178</f>
        <v>100</v>
      </c>
      <c r="S169" s="12" t="e">
        <f t="shared" si="23"/>
        <v>#REF!</v>
      </c>
    </row>
    <row r="170" spans="1:19">
      <c r="A170" s="11">
        <f>'Operating Budget'!A179</f>
        <v>6100</v>
      </c>
      <c r="B170" s="10" t="str">
        <f>'Operating Budget'!B179</f>
        <v>Business Center</v>
      </c>
      <c r="C170" s="48" t="e">
        <f>#REF!</f>
        <v>#REF!</v>
      </c>
      <c r="D170" s="49" t="e">
        <f>#REF!</f>
        <v>#REF!</v>
      </c>
      <c r="E170" s="49" t="e">
        <f>#REF!</f>
        <v>#REF!</v>
      </c>
      <c r="F170" s="50" t="e">
        <f>#REF!</f>
        <v>#REF!</v>
      </c>
      <c r="G170" s="12" t="e">
        <f>'Operating Budget'!#REF!</f>
        <v>#REF!</v>
      </c>
      <c r="H170" s="12" t="e">
        <f>'Operating Budget'!#REF!</f>
        <v>#REF!</v>
      </c>
      <c r="I170" s="12" t="e">
        <f>'Operating Budget'!#REF!</f>
        <v>#REF!</v>
      </c>
      <c r="J170" s="12">
        <f>'Operating Budget'!F179</f>
        <v>0</v>
      </c>
      <c r="K170" s="12">
        <f>'Operating Budget'!J179</f>
        <v>0</v>
      </c>
      <c r="L170" s="12">
        <f>'Operating Budget'!K179</f>
        <v>0</v>
      </c>
      <c r="M170" s="12">
        <f>'Operating Budget'!L179</f>
        <v>0</v>
      </c>
      <c r="N170" s="12">
        <f>'Operating Budget'!M179</f>
        <v>0</v>
      </c>
      <c r="O170" s="12">
        <f>'Operating Budget'!N179</f>
        <v>0</v>
      </c>
      <c r="P170" s="12">
        <f>'Operating Budget'!O179</f>
        <v>0</v>
      </c>
      <c r="Q170" s="12">
        <f>'Operating Budget'!P179</f>
        <v>0</v>
      </c>
      <c r="R170" s="12">
        <f>'Operating Budget'!Q179</f>
        <v>0</v>
      </c>
      <c r="S170" s="12" t="e">
        <f t="shared" si="23"/>
        <v>#REF!</v>
      </c>
    </row>
    <row r="171" spans="1:19">
      <c r="A171" s="11">
        <f>'Operating Budget'!A180</f>
        <v>6120</v>
      </c>
      <c r="B171" s="10" t="str">
        <f>'Operating Budget'!B180</f>
        <v>Carpet and Floor Cleaning / Repair</v>
      </c>
      <c r="C171" s="48" t="e">
        <f>#REF!</f>
        <v>#REF!</v>
      </c>
      <c r="D171" s="49" t="e">
        <f>#REF!</f>
        <v>#REF!</v>
      </c>
      <c r="E171" s="49" t="e">
        <f>#REF!</f>
        <v>#REF!</v>
      </c>
      <c r="F171" s="50" t="e">
        <f>#REF!</f>
        <v>#REF!</v>
      </c>
      <c r="G171" s="12" t="e">
        <f>'Operating Budget'!#REF!</f>
        <v>#REF!</v>
      </c>
      <c r="H171" s="12" t="e">
        <f>'Operating Budget'!#REF!</f>
        <v>#REF!</v>
      </c>
      <c r="I171" s="12" t="e">
        <f>'Operating Budget'!#REF!</f>
        <v>#REF!</v>
      </c>
      <c r="J171" s="12">
        <f>'Operating Budget'!F180</f>
        <v>0</v>
      </c>
      <c r="K171" s="12">
        <f>'Operating Budget'!J180</f>
        <v>0</v>
      </c>
      <c r="L171" s="12">
        <f>'Operating Budget'!K180</f>
        <v>0</v>
      </c>
      <c r="M171" s="12">
        <f>'Operating Budget'!L180</f>
        <v>0</v>
      </c>
      <c r="N171" s="12">
        <f>'Operating Budget'!M180</f>
        <v>0</v>
      </c>
      <c r="O171" s="12">
        <f>'Operating Budget'!N180</f>
        <v>0</v>
      </c>
      <c r="P171" s="12">
        <f>'Operating Budget'!O180</f>
        <v>0</v>
      </c>
      <c r="Q171" s="12">
        <f>'Operating Budget'!P180</f>
        <v>0</v>
      </c>
      <c r="R171" s="12">
        <f>'Operating Budget'!Q180</f>
        <v>0</v>
      </c>
      <c r="S171" s="12" t="e">
        <f t="shared" si="23"/>
        <v>#REF!</v>
      </c>
    </row>
    <row r="172" spans="1:19">
      <c r="A172" s="11">
        <f>'Operating Budget'!A181</f>
        <v>6121</v>
      </c>
      <c r="B172" s="10" t="str">
        <f>'Operating Budget'!B181</f>
        <v>Cleaning R&amp;M</v>
      </c>
      <c r="C172" s="48" t="e">
        <f>#REF!</f>
        <v>#REF!</v>
      </c>
      <c r="D172" s="49" t="e">
        <f>#REF!</f>
        <v>#REF!</v>
      </c>
      <c r="E172" s="49" t="e">
        <f>#REF!</f>
        <v>#REF!</v>
      </c>
      <c r="F172" s="50" t="e">
        <f>#REF!</f>
        <v>#REF!</v>
      </c>
      <c r="G172" s="12" t="e">
        <f>'Operating Budget'!#REF!</f>
        <v>#REF!</v>
      </c>
      <c r="H172" s="12" t="e">
        <f>'Operating Budget'!#REF!</f>
        <v>#REF!</v>
      </c>
      <c r="I172" s="12" t="e">
        <f>'Operating Budget'!#REF!</f>
        <v>#REF!</v>
      </c>
      <c r="J172" s="12">
        <f>'Operating Budget'!F181</f>
        <v>0</v>
      </c>
      <c r="K172" s="12">
        <f>'Operating Budget'!J181</f>
        <v>0</v>
      </c>
      <c r="L172" s="12">
        <f>'Operating Budget'!K181</f>
        <v>0</v>
      </c>
      <c r="M172" s="12">
        <f>'Operating Budget'!L181</f>
        <v>0</v>
      </c>
      <c r="N172" s="12">
        <f>'Operating Budget'!M181</f>
        <v>0</v>
      </c>
      <c r="O172" s="12">
        <f>'Operating Budget'!N181</f>
        <v>0</v>
      </c>
      <c r="P172" s="12">
        <f>'Operating Budget'!O181</f>
        <v>0</v>
      </c>
      <c r="Q172" s="12">
        <f>'Operating Budget'!P181</f>
        <v>0</v>
      </c>
      <c r="R172" s="12">
        <f>'Operating Budget'!Q181</f>
        <v>0</v>
      </c>
      <c r="S172" s="12" t="e">
        <f t="shared" si="23"/>
        <v>#REF!</v>
      </c>
    </row>
    <row r="173" spans="1:19">
      <c r="A173" s="11">
        <f>'Operating Budget'!A182</f>
        <v>6130</v>
      </c>
      <c r="B173" s="10" t="str">
        <f>'Operating Budget'!B182</f>
        <v>Club Room</v>
      </c>
      <c r="C173" s="48" t="e">
        <f>#REF!</f>
        <v>#REF!</v>
      </c>
      <c r="D173" s="49" t="e">
        <f>#REF!</f>
        <v>#REF!</v>
      </c>
      <c r="E173" s="49" t="e">
        <f>#REF!</f>
        <v>#REF!</v>
      </c>
      <c r="F173" s="50" t="e">
        <f>#REF!</f>
        <v>#REF!</v>
      </c>
      <c r="G173" s="12" t="e">
        <f>'Operating Budget'!#REF!</f>
        <v>#REF!</v>
      </c>
      <c r="H173" s="12" t="e">
        <f>'Operating Budget'!#REF!</f>
        <v>#REF!</v>
      </c>
      <c r="I173" s="12" t="e">
        <f>'Operating Budget'!#REF!</f>
        <v>#REF!</v>
      </c>
      <c r="J173" s="12">
        <f>'Operating Budget'!F182</f>
        <v>0</v>
      </c>
      <c r="K173" s="12">
        <f>'Operating Budget'!J182</f>
        <v>0</v>
      </c>
      <c r="L173" s="12">
        <f>'Operating Budget'!K182</f>
        <v>0</v>
      </c>
      <c r="M173" s="12">
        <f>'Operating Budget'!L182</f>
        <v>0</v>
      </c>
      <c r="N173" s="12">
        <f>'Operating Budget'!M182</f>
        <v>0</v>
      </c>
      <c r="O173" s="12">
        <f>'Operating Budget'!N182</f>
        <v>0</v>
      </c>
      <c r="P173" s="12">
        <f>'Operating Budget'!O182</f>
        <v>0</v>
      </c>
      <c r="Q173" s="12">
        <f>'Operating Budget'!P182</f>
        <v>0</v>
      </c>
      <c r="R173" s="12">
        <f>'Operating Budget'!Q182</f>
        <v>0</v>
      </c>
      <c r="S173" s="12" t="e">
        <f t="shared" si="23"/>
        <v>#REF!</v>
      </c>
    </row>
    <row r="174" spans="1:19">
      <c r="A174" s="11">
        <f>'Operating Budget'!A183</f>
        <v>6140</v>
      </c>
      <c r="B174" s="10" t="str">
        <f>'Operating Budget'!B183</f>
        <v>Common Area Repairs</v>
      </c>
      <c r="C174" s="48" t="e">
        <f>#REF!</f>
        <v>#REF!</v>
      </c>
      <c r="D174" s="49" t="e">
        <f>#REF!</f>
        <v>#REF!</v>
      </c>
      <c r="E174" s="49" t="e">
        <f>#REF!</f>
        <v>#REF!</v>
      </c>
      <c r="F174" s="50" t="e">
        <f>#REF!</f>
        <v>#REF!</v>
      </c>
      <c r="G174" s="12" t="e">
        <f>'Operating Budget'!#REF!</f>
        <v>#REF!</v>
      </c>
      <c r="H174" s="12" t="e">
        <f>'Operating Budget'!#REF!</f>
        <v>#REF!</v>
      </c>
      <c r="I174" s="12" t="e">
        <f>'Operating Budget'!#REF!</f>
        <v>#REF!</v>
      </c>
      <c r="J174" s="12">
        <f>'Operating Budget'!F183</f>
        <v>0</v>
      </c>
      <c r="K174" s="12">
        <f>'Operating Budget'!J183</f>
        <v>0</v>
      </c>
      <c r="L174" s="12">
        <f>'Operating Budget'!K183</f>
        <v>0</v>
      </c>
      <c r="M174" s="12">
        <f>'Operating Budget'!L183</f>
        <v>0</v>
      </c>
      <c r="N174" s="12">
        <f>'Operating Budget'!M183</f>
        <v>0</v>
      </c>
      <c r="O174" s="12">
        <f>'Operating Budget'!N183</f>
        <v>0</v>
      </c>
      <c r="P174" s="12">
        <f>'Operating Budget'!O183</f>
        <v>0</v>
      </c>
      <c r="Q174" s="12">
        <f>'Operating Budget'!P183</f>
        <v>0</v>
      </c>
      <c r="R174" s="12">
        <f>'Operating Budget'!Q183</f>
        <v>0</v>
      </c>
      <c r="S174" s="12" t="e">
        <f t="shared" si="23"/>
        <v>#REF!</v>
      </c>
    </row>
    <row r="175" spans="1:19">
      <c r="A175" s="11">
        <f>'Operating Budget'!A184</f>
        <v>6145.1</v>
      </c>
      <c r="B175" s="10" t="str">
        <f>'Operating Budget'!B184</f>
        <v>Compactor</v>
      </c>
      <c r="C175" s="48" t="e">
        <f>#REF!</f>
        <v>#REF!</v>
      </c>
      <c r="D175" s="49" t="e">
        <f>#REF!</f>
        <v>#REF!</v>
      </c>
      <c r="E175" s="49" t="e">
        <f>#REF!</f>
        <v>#REF!</v>
      </c>
      <c r="F175" s="50" t="e">
        <f>#REF!</f>
        <v>#REF!</v>
      </c>
      <c r="G175" s="12" t="e">
        <f>'Operating Budget'!#REF!</f>
        <v>#REF!</v>
      </c>
      <c r="H175" s="12" t="e">
        <f>'Operating Budget'!#REF!</f>
        <v>#REF!</v>
      </c>
      <c r="I175" s="12" t="e">
        <f>'Operating Budget'!#REF!</f>
        <v>#REF!</v>
      </c>
      <c r="J175" s="12">
        <f>'Operating Budget'!F184</f>
        <v>0</v>
      </c>
      <c r="K175" s="12">
        <f>'Operating Budget'!J184</f>
        <v>0</v>
      </c>
      <c r="L175" s="12">
        <f>'Operating Budget'!K184</f>
        <v>0</v>
      </c>
      <c r="M175" s="12">
        <f>'Operating Budget'!L184</f>
        <v>0</v>
      </c>
      <c r="N175" s="12">
        <f>'Operating Budget'!M184</f>
        <v>0</v>
      </c>
      <c r="O175" s="12">
        <f>'Operating Budget'!N184</f>
        <v>0</v>
      </c>
      <c r="P175" s="12">
        <f>'Operating Budget'!O184</f>
        <v>0</v>
      </c>
      <c r="Q175" s="12">
        <f>'Operating Budget'!P184</f>
        <v>0</v>
      </c>
      <c r="R175" s="12">
        <f>'Operating Budget'!Q184</f>
        <v>0</v>
      </c>
      <c r="S175" s="12" t="e">
        <f t="shared" si="23"/>
        <v>#REF!</v>
      </c>
    </row>
    <row r="176" spans="1:19">
      <c r="A176" s="11">
        <f>'Operating Budget'!A185</f>
        <v>6146</v>
      </c>
      <c r="B176" s="10" t="str">
        <f>'Operating Budget'!B185</f>
        <v>Generator</v>
      </c>
      <c r="C176" s="48" t="e">
        <f>#REF!</f>
        <v>#REF!</v>
      </c>
      <c r="D176" s="49" t="e">
        <f>#REF!</f>
        <v>#REF!</v>
      </c>
      <c r="E176" s="49" t="e">
        <f>#REF!</f>
        <v>#REF!</v>
      </c>
      <c r="F176" s="50" t="e">
        <f>#REF!</f>
        <v>#REF!</v>
      </c>
      <c r="G176" s="12" t="e">
        <f>'Operating Budget'!#REF!</f>
        <v>#REF!</v>
      </c>
      <c r="H176" s="12" t="e">
        <f>'Operating Budget'!#REF!</f>
        <v>#REF!</v>
      </c>
      <c r="I176" s="12" t="e">
        <f>'Operating Budget'!#REF!</f>
        <v>#REF!</v>
      </c>
      <c r="J176" s="12">
        <f>'Operating Budget'!F185</f>
        <v>0</v>
      </c>
      <c r="K176" s="12">
        <f>'Operating Budget'!J185</f>
        <v>0</v>
      </c>
      <c r="L176" s="12">
        <f>'Operating Budget'!K185</f>
        <v>0</v>
      </c>
      <c r="M176" s="12">
        <f>'Operating Budget'!L185</f>
        <v>0</v>
      </c>
      <c r="N176" s="12">
        <f>'Operating Budget'!M185</f>
        <v>0</v>
      </c>
      <c r="O176" s="12">
        <f>'Operating Budget'!N185</f>
        <v>0</v>
      </c>
      <c r="P176" s="12">
        <f>'Operating Budget'!O185</f>
        <v>0</v>
      </c>
      <c r="Q176" s="12">
        <f>'Operating Budget'!P185</f>
        <v>0</v>
      </c>
      <c r="R176" s="12">
        <f>'Operating Budget'!Q185</f>
        <v>0</v>
      </c>
      <c r="S176" s="12" t="e">
        <f t="shared" si="23"/>
        <v>#REF!</v>
      </c>
    </row>
    <row r="177" spans="1:19">
      <c r="A177" s="11">
        <f>'Operating Budget'!A186</f>
        <v>6160</v>
      </c>
      <c r="B177" s="10" t="str">
        <f>'Operating Budget'!B186</f>
        <v>Electrical Supplies and Services</v>
      </c>
      <c r="C177" s="48" t="e">
        <f>#REF!</f>
        <v>#REF!</v>
      </c>
      <c r="D177" s="49" t="e">
        <f>#REF!</f>
        <v>#REF!</v>
      </c>
      <c r="E177" s="49" t="e">
        <f>#REF!</f>
        <v>#REF!</v>
      </c>
      <c r="F177" s="50" t="e">
        <f>#REF!</f>
        <v>#REF!</v>
      </c>
      <c r="G177" s="12" t="e">
        <f>'Operating Budget'!#REF!</f>
        <v>#REF!</v>
      </c>
      <c r="H177" s="12" t="e">
        <f>'Operating Budget'!#REF!</f>
        <v>#REF!</v>
      </c>
      <c r="I177" s="12" t="e">
        <f>'Operating Budget'!#REF!</f>
        <v>#REF!</v>
      </c>
      <c r="J177" s="12">
        <f>'Operating Budget'!F186</f>
        <v>0</v>
      </c>
      <c r="K177" s="12">
        <f>'Operating Budget'!J186</f>
        <v>0</v>
      </c>
      <c r="L177" s="12">
        <f>'Operating Budget'!K186</f>
        <v>0</v>
      </c>
      <c r="M177" s="12">
        <f>'Operating Budget'!L186</f>
        <v>50</v>
      </c>
      <c r="N177" s="12">
        <f>'Operating Budget'!M186</f>
        <v>50</v>
      </c>
      <c r="O177" s="12">
        <f>'Operating Budget'!N186</f>
        <v>50</v>
      </c>
      <c r="P177" s="12">
        <f>'Operating Budget'!O186</f>
        <v>75</v>
      </c>
      <c r="Q177" s="12">
        <f>'Operating Budget'!P186</f>
        <v>75</v>
      </c>
      <c r="R177" s="12">
        <f>'Operating Budget'!Q186</f>
        <v>100</v>
      </c>
      <c r="S177" s="12" t="e">
        <f t="shared" si="23"/>
        <v>#REF!</v>
      </c>
    </row>
    <row r="178" spans="1:19">
      <c r="A178" s="11">
        <f>'Operating Budget'!A187</f>
        <v>6165</v>
      </c>
      <c r="B178" s="10" t="str">
        <f>'Operating Budget'!B187</f>
        <v>Elevator Repairs</v>
      </c>
      <c r="C178" s="48" t="e">
        <f>#REF!</f>
        <v>#REF!</v>
      </c>
      <c r="D178" s="49" t="e">
        <f>#REF!</f>
        <v>#REF!</v>
      </c>
      <c r="E178" s="49" t="e">
        <f>#REF!</f>
        <v>#REF!</v>
      </c>
      <c r="F178" s="50" t="e">
        <f>#REF!</f>
        <v>#REF!</v>
      </c>
      <c r="G178" s="12" t="e">
        <f>'Operating Budget'!#REF!</f>
        <v>#REF!</v>
      </c>
      <c r="H178" s="12" t="e">
        <f>'Operating Budget'!#REF!</f>
        <v>#REF!</v>
      </c>
      <c r="I178" s="12" t="e">
        <f>'Operating Budget'!#REF!</f>
        <v>#REF!</v>
      </c>
      <c r="J178" s="12">
        <f>'Operating Budget'!F187</f>
        <v>0</v>
      </c>
      <c r="K178" s="12">
        <f>'Operating Budget'!J187</f>
        <v>0</v>
      </c>
      <c r="L178" s="12">
        <f>'Operating Budget'!K187</f>
        <v>0</v>
      </c>
      <c r="M178" s="12">
        <f>'Operating Budget'!L187</f>
        <v>0</v>
      </c>
      <c r="N178" s="12">
        <f>'Operating Budget'!M187</f>
        <v>0</v>
      </c>
      <c r="O178" s="12">
        <f>'Operating Budget'!N187</f>
        <v>0</v>
      </c>
      <c r="P178" s="12">
        <f>'Operating Budget'!O187</f>
        <v>0</v>
      </c>
      <c r="Q178" s="12">
        <f>'Operating Budget'!P187</f>
        <v>0</v>
      </c>
      <c r="R178" s="12">
        <f>'Operating Budget'!Q187</f>
        <v>0</v>
      </c>
      <c r="S178" s="12" t="e">
        <f t="shared" si="23"/>
        <v>#REF!</v>
      </c>
    </row>
    <row r="179" spans="1:19">
      <c r="A179" s="11">
        <f>'Operating Budget'!A188</f>
        <v>6170</v>
      </c>
      <c r="B179" s="10" t="str">
        <f>'Operating Budget'!B188</f>
        <v>Equipment Repairs</v>
      </c>
      <c r="C179" s="48" t="e">
        <f>#REF!</f>
        <v>#REF!</v>
      </c>
      <c r="D179" s="49" t="e">
        <f>#REF!</f>
        <v>#REF!</v>
      </c>
      <c r="E179" s="49" t="e">
        <f>#REF!</f>
        <v>#REF!</v>
      </c>
      <c r="F179" s="50" t="e">
        <f>#REF!</f>
        <v>#REF!</v>
      </c>
      <c r="G179" s="12" t="e">
        <f>'Operating Budget'!#REF!</f>
        <v>#REF!</v>
      </c>
      <c r="H179" s="12" t="e">
        <f>'Operating Budget'!#REF!</f>
        <v>#REF!</v>
      </c>
      <c r="I179" s="12" t="e">
        <f>'Operating Budget'!#REF!</f>
        <v>#REF!</v>
      </c>
      <c r="J179" s="12">
        <f>'Operating Budget'!F188</f>
        <v>0</v>
      </c>
      <c r="K179" s="12">
        <f>'Operating Budget'!J188</f>
        <v>0</v>
      </c>
      <c r="L179" s="12">
        <f>'Operating Budget'!K188</f>
        <v>0</v>
      </c>
      <c r="M179" s="12">
        <f>'Operating Budget'!L188</f>
        <v>0</v>
      </c>
      <c r="N179" s="12">
        <f>'Operating Budget'!M188</f>
        <v>0</v>
      </c>
      <c r="O179" s="12">
        <f>'Operating Budget'!N188</f>
        <v>0</v>
      </c>
      <c r="P179" s="12">
        <f>'Operating Budget'!O188</f>
        <v>0</v>
      </c>
      <c r="Q179" s="12">
        <f>'Operating Budget'!P188</f>
        <v>0</v>
      </c>
      <c r="R179" s="12">
        <f>'Operating Budget'!Q188</f>
        <v>0</v>
      </c>
      <c r="S179" s="12" t="e">
        <f t="shared" si="23"/>
        <v>#REF!</v>
      </c>
    </row>
    <row r="180" spans="1:19">
      <c r="A180" s="11">
        <f>'Operating Budget'!A189</f>
        <v>6180</v>
      </c>
      <c r="B180" s="10" t="str">
        <f>'Operating Budget'!B189</f>
        <v>Fitness Center</v>
      </c>
      <c r="C180" s="48" t="e">
        <f>#REF!</f>
        <v>#REF!</v>
      </c>
      <c r="D180" s="49" t="e">
        <f>#REF!</f>
        <v>#REF!</v>
      </c>
      <c r="E180" s="49" t="e">
        <f>#REF!</f>
        <v>#REF!</v>
      </c>
      <c r="F180" s="50" t="e">
        <f>#REF!</f>
        <v>#REF!</v>
      </c>
      <c r="G180" s="12" t="e">
        <f>'Operating Budget'!#REF!</f>
        <v>#REF!</v>
      </c>
      <c r="H180" s="12" t="e">
        <f>'Operating Budget'!#REF!</f>
        <v>#REF!</v>
      </c>
      <c r="I180" s="12" t="e">
        <f>'Operating Budget'!#REF!</f>
        <v>#REF!</v>
      </c>
      <c r="J180" s="12">
        <f>'Operating Budget'!F189</f>
        <v>0</v>
      </c>
      <c r="K180" s="12">
        <f>'Operating Budget'!J189</f>
        <v>0</v>
      </c>
      <c r="L180" s="12">
        <f>'Operating Budget'!K189</f>
        <v>0</v>
      </c>
      <c r="M180" s="12">
        <f>'Operating Budget'!L189</f>
        <v>0</v>
      </c>
      <c r="N180" s="12">
        <f>'Operating Budget'!M189</f>
        <v>0</v>
      </c>
      <c r="O180" s="12">
        <f>'Operating Budget'!N189</f>
        <v>0</v>
      </c>
      <c r="P180" s="12">
        <f>'Operating Budget'!O189</f>
        <v>0</v>
      </c>
      <c r="Q180" s="12">
        <f>'Operating Budget'!P189</f>
        <v>0</v>
      </c>
      <c r="R180" s="12">
        <f>'Operating Budget'!Q189</f>
        <v>0</v>
      </c>
      <c r="S180" s="12" t="e">
        <f t="shared" si="23"/>
        <v>#REF!</v>
      </c>
    </row>
    <row r="181" spans="1:19">
      <c r="A181" s="11">
        <f>'Operating Budget'!A190</f>
        <v>6190</v>
      </c>
      <c r="B181" s="10" t="str">
        <f>'Operating Budget'!B190</f>
        <v>Garage Repairs and Maintenance</v>
      </c>
      <c r="C181" s="48" t="e">
        <f>#REF!</f>
        <v>#REF!</v>
      </c>
      <c r="D181" s="49" t="e">
        <f>#REF!</f>
        <v>#REF!</v>
      </c>
      <c r="E181" s="49" t="e">
        <f>#REF!</f>
        <v>#REF!</v>
      </c>
      <c r="F181" s="50" t="e">
        <f>#REF!</f>
        <v>#REF!</v>
      </c>
      <c r="G181" s="12" t="e">
        <f>'Operating Budget'!#REF!</f>
        <v>#REF!</v>
      </c>
      <c r="H181" s="12" t="e">
        <f>'Operating Budget'!#REF!</f>
        <v>#REF!</v>
      </c>
      <c r="I181" s="12" t="e">
        <f>'Operating Budget'!#REF!</f>
        <v>#REF!</v>
      </c>
      <c r="J181" s="12">
        <f>'Operating Budget'!F190</f>
        <v>0</v>
      </c>
      <c r="K181" s="12">
        <f>'Operating Budget'!J190</f>
        <v>0</v>
      </c>
      <c r="L181" s="12">
        <f>'Operating Budget'!K190</f>
        <v>0</v>
      </c>
      <c r="M181" s="12">
        <f>'Operating Budget'!L190</f>
        <v>0</v>
      </c>
      <c r="N181" s="12">
        <f>'Operating Budget'!M190</f>
        <v>0</v>
      </c>
      <c r="O181" s="12">
        <f>'Operating Budget'!N190</f>
        <v>0</v>
      </c>
      <c r="P181" s="12">
        <f>'Operating Budget'!O190</f>
        <v>0</v>
      </c>
      <c r="Q181" s="12">
        <f>'Operating Budget'!P190</f>
        <v>0</v>
      </c>
      <c r="R181" s="12">
        <f>'Operating Budget'!Q190</f>
        <v>0</v>
      </c>
      <c r="S181" s="12" t="e">
        <f t="shared" si="23"/>
        <v>#REF!</v>
      </c>
    </row>
    <row r="182" spans="1:19">
      <c r="A182" s="11">
        <f>'Operating Budget'!A191</f>
        <v>6200</v>
      </c>
      <c r="B182" s="10" t="str">
        <f>'Operating Budget'!B191</f>
        <v>Garbage Disposals</v>
      </c>
      <c r="C182" s="48" t="e">
        <f>#REF!</f>
        <v>#REF!</v>
      </c>
      <c r="D182" s="49" t="e">
        <f>#REF!</f>
        <v>#REF!</v>
      </c>
      <c r="E182" s="49" t="e">
        <f>#REF!</f>
        <v>#REF!</v>
      </c>
      <c r="F182" s="50" t="e">
        <f>#REF!</f>
        <v>#REF!</v>
      </c>
      <c r="G182" s="12" t="e">
        <f>'Operating Budget'!#REF!</f>
        <v>#REF!</v>
      </c>
      <c r="H182" s="12" t="e">
        <f>'Operating Budget'!#REF!</f>
        <v>#REF!</v>
      </c>
      <c r="I182" s="12" t="e">
        <f>'Operating Budget'!#REF!</f>
        <v>#REF!</v>
      </c>
      <c r="J182" s="12">
        <f>'Operating Budget'!F191</f>
        <v>0</v>
      </c>
      <c r="K182" s="12">
        <f>'Operating Budget'!J191</f>
        <v>0</v>
      </c>
      <c r="L182" s="12">
        <f>'Operating Budget'!K191</f>
        <v>0</v>
      </c>
      <c r="M182" s="12">
        <f>'Operating Budget'!L191</f>
        <v>0</v>
      </c>
      <c r="N182" s="12">
        <f>'Operating Budget'!M191</f>
        <v>0</v>
      </c>
      <c r="O182" s="12">
        <f>'Operating Budget'!N191</f>
        <v>0</v>
      </c>
      <c r="P182" s="12">
        <f>'Operating Budget'!O191</f>
        <v>0</v>
      </c>
      <c r="Q182" s="12">
        <f>'Operating Budget'!P191</f>
        <v>0</v>
      </c>
      <c r="R182" s="12">
        <f>'Operating Budget'!Q191</f>
        <v>0</v>
      </c>
      <c r="S182" s="12" t="e">
        <f t="shared" si="23"/>
        <v>#REF!</v>
      </c>
    </row>
    <row r="183" spans="1:19">
      <c r="A183" s="11">
        <f>'Operating Budget'!A192</f>
        <v>6210</v>
      </c>
      <c r="B183" s="10" t="str">
        <f>'Operating Budget'!B192</f>
        <v>Garbage Repairs and Maintenance</v>
      </c>
      <c r="C183" s="48" t="e">
        <f>#REF!</f>
        <v>#REF!</v>
      </c>
      <c r="D183" s="49" t="e">
        <f>#REF!</f>
        <v>#REF!</v>
      </c>
      <c r="E183" s="49" t="e">
        <f>#REF!</f>
        <v>#REF!</v>
      </c>
      <c r="F183" s="50" t="e">
        <f>#REF!</f>
        <v>#REF!</v>
      </c>
      <c r="G183" s="12" t="e">
        <f>'Operating Budget'!#REF!</f>
        <v>#REF!</v>
      </c>
      <c r="H183" s="12" t="e">
        <f>'Operating Budget'!#REF!</f>
        <v>#REF!</v>
      </c>
      <c r="I183" s="12" t="e">
        <f>'Operating Budget'!#REF!</f>
        <v>#REF!</v>
      </c>
      <c r="J183" s="12">
        <f>'Operating Budget'!F192</f>
        <v>0</v>
      </c>
      <c r="K183" s="12">
        <f>'Operating Budget'!J192</f>
        <v>0</v>
      </c>
      <c r="L183" s="12">
        <f>'Operating Budget'!K192</f>
        <v>0</v>
      </c>
      <c r="M183" s="12">
        <f>'Operating Budget'!L192</f>
        <v>0</v>
      </c>
      <c r="N183" s="12">
        <f>'Operating Budget'!M192</f>
        <v>0</v>
      </c>
      <c r="O183" s="12">
        <f>'Operating Budget'!N192</f>
        <v>0</v>
      </c>
      <c r="P183" s="12">
        <f>'Operating Budget'!O192</f>
        <v>0</v>
      </c>
      <c r="Q183" s="12">
        <f>'Operating Budget'!P192</f>
        <v>0</v>
      </c>
      <c r="R183" s="12">
        <f>'Operating Budget'!Q192</f>
        <v>0</v>
      </c>
      <c r="S183" s="12" t="e">
        <f t="shared" si="23"/>
        <v>#REF!</v>
      </c>
    </row>
    <row r="184" spans="1:19">
      <c r="A184" s="11">
        <f>'Operating Budget'!A193</f>
        <v>6220</v>
      </c>
      <c r="B184" s="10" t="str">
        <f>'Operating Budget'!B193</f>
        <v>Golf Cart Repairs</v>
      </c>
      <c r="C184" s="48" t="e">
        <f>#REF!</f>
        <v>#REF!</v>
      </c>
      <c r="D184" s="49" t="e">
        <f>#REF!</f>
        <v>#REF!</v>
      </c>
      <c r="E184" s="49" t="e">
        <f>#REF!</f>
        <v>#REF!</v>
      </c>
      <c r="F184" s="50" t="e">
        <f>#REF!</f>
        <v>#REF!</v>
      </c>
      <c r="G184" s="12" t="e">
        <f>'Operating Budget'!#REF!</f>
        <v>#REF!</v>
      </c>
      <c r="H184" s="12" t="e">
        <f>'Operating Budget'!#REF!</f>
        <v>#REF!</v>
      </c>
      <c r="I184" s="12" t="e">
        <f>'Operating Budget'!#REF!</f>
        <v>#REF!</v>
      </c>
      <c r="J184" s="12">
        <f>'Operating Budget'!F193</f>
        <v>0</v>
      </c>
      <c r="K184" s="12">
        <f>'Operating Budget'!J193</f>
        <v>0</v>
      </c>
      <c r="L184" s="12">
        <f>'Operating Budget'!K193</f>
        <v>0</v>
      </c>
      <c r="M184" s="12">
        <f>'Operating Budget'!L193</f>
        <v>0</v>
      </c>
      <c r="N184" s="12">
        <f>'Operating Budget'!M193</f>
        <v>0</v>
      </c>
      <c r="O184" s="12">
        <f>'Operating Budget'!N193</f>
        <v>0</v>
      </c>
      <c r="P184" s="12">
        <f>'Operating Budget'!O193</f>
        <v>0</v>
      </c>
      <c r="Q184" s="12">
        <f>'Operating Budget'!P193</f>
        <v>0</v>
      </c>
      <c r="R184" s="12">
        <f>'Operating Budget'!Q193</f>
        <v>0</v>
      </c>
      <c r="S184" s="12" t="e">
        <f t="shared" si="23"/>
        <v>#REF!</v>
      </c>
    </row>
    <row r="185" spans="1:19">
      <c r="A185" s="11">
        <f>'Operating Budget'!A194</f>
        <v>6225</v>
      </c>
      <c r="B185" s="10" t="str">
        <f>'Operating Budget'!B194</f>
        <v>Grounds Repairs and Maintenance</v>
      </c>
      <c r="C185" s="48" t="e">
        <f>#REF!</f>
        <v>#REF!</v>
      </c>
      <c r="D185" s="49" t="e">
        <f>#REF!</f>
        <v>#REF!</v>
      </c>
      <c r="E185" s="49" t="e">
        <f>#REF!</f>
        <v>#REF!</v>
      </c>
      <c r="F185" s="50" t="e">
        <f>#REF!</f>
        <v>#REF!</v>
      </c>
      <c r="G185" s="12" t="e">
        <f>'Operating Budget'!#REF!</f>
        <v>#REF!</v>
      </c>
      <c r="H185" s="12" t="e">
        <f>'Operating Budget'!#REF!</f>
        <v>#REF!</v>
      </c>
      <c r="I185" s="12" t="e">
        <f>'Operating Budget'!#REF!</f>
        <v>#REF!</v>
      </c>
      <c r="J185" s="12">
        <f>'Operating Budget'!F194</f>
        <v>0</v>
      </c>
      <c r="K185" s="12">
        <f>'Operating Budget'!J194</f>
        <v>0</v>
      </c>
      <c r="L185" s="12">
        <f>'Operating Budget'!K194</f>
        <v>0</v>
      </c>
      <c r="M185" s="12">
        <f>'Operating Budget'!L194</f>
        <v>0</v>
      </c>
      <c r="N185" s="12">
        <f>'Operating Budget'!M194</f>
        <v>0</v>
      </c>
      <c r="O185" s="12">
        <f>'Operating Budget'!N194</f>
        <v>0</v>
      </c>
      <c r="P185" s="12">
        <f>'Operating Budget'!O194</f>
        <v>0</v>
      </c>
      <c r="Q185" s="12">
        <f>'Operating Budget'!P194</f>
        <v>0</v>
      </c>
      <c r="R185" s="12">
        <f>'Operating Budget'!Q194</f>
        <v>0</v>
      </c>
      <c r="S185" s="12" t="e">
        <f t="shared" si="23"/>
        <v>#REF!</v>
      </c>
    </row>
    <row r="186" spans="1:19">
      <c r="A186" s="11">
        <f>'Operating Budget'!A195</f>
        <v>6230</v>
      </c>
      <c r="B186" s="10" t="str">
        <f>'Operating Budget'!B195</f>
        <v>HVAC</v>
      </c>
      <c r="C186" s="48" t="e">
        <f>#REF!</f>
        <v>#REF!</v>
      </c>
      <c r="D186" s="49" t="e">
        <f>#REF!</f>
        <v>#REF!</v>
      </c>
      <c r="E186" s="49" t="e">
        <f>#REF!</f>
        <v>#REF!</v>
      </c>
      <c r="F186" s="50" t="e">
        <f>#REF!</f>
        <v>#REF!</v>
      </c>
      <c r="G186" s="12" t="e">
        <f>'Operating Budget'!#REF!</f>
        <v>#REF!</v>
      </c>
      <c r="H186" s="12" t="e">
        <f>'Operating Budget'!#REF!</f>
        <v>#REF!</v>
      </c>
      <c r="I186" s="12" t="e">
        <f>'Operating Budget'!#REF!</f>
        <v>#REF!</v>
      </c>
      <c r="J186" s="12">
        <f>'Operating Budget'!F195</f>
        <v>0</v>
      </c>
      <c r="K186" s="12">
        <f>'Operating Budget'!J195</f>
        <v>0</v>
      </c>
      <c r="L186" s="12">
        <f>'Operating Budget'!K195</f>
        <v>0</v>
      </c>
      <c r="M186" s="12">
        <f>'Operating Budget'!L195</f>
        <v>500</v>
      </c>
      <c r="N186" s="12">
        <f>'Operating Budget'!M195</f>
        <v>0</v>
      </c>
      <c r="O186" s="12">
        <f>'Operating Budget'!N195</f>
        <v>0</v>
      </c>
      <c r="P186" s="12">
        <f>'Operating Budget'!O195</f>
        <v>0</v>
      </c>
      <c r="Q186" s="12">
        <f>'Operating Budget'!P195</f>
        <v>0</v>
      </c>
      <c r="R186" s="12">
        <f>'Operating Budget'!Q195</f>
        <v>500</v>
      </c>
      <c r="S186" s="12" t="e">
        <f t="shared" si="23"/>
        <v>#REF!</v>
      </c>
    </row>
    <row r="187" spans="1:19">
      <c r="A187" s="11">
        <f>'Operating Budget'!A196</f>
        <v>6230.1</v>
      </c>
      <c r="B187" s="10" t="str">
        <f>'Operating Budget'!B196</f>
        <v>HVAC - Filter Replacement</v>
      </c>
      <c r="C187" s="48" t="e">
        <f>#REF!</f>
        <v>#REF!</v>
      </c>
      <c r="D187" s="49" t="e">
        <f>#REF!</f>
        <v>#REF!</v>
      </c>
      <c r="E187" s="49" t="e">
        <f>#REF!</f>
        <v>#REF!</v>
      </c>
      <c r="F187" s="50" t="e">
        <f>#REF!</f>
        <v>#REF!</v>
      </c>
      <c r="G187" s="12" t="e">
        <f>'Operating Budget'!#REF!</f>
        <v>#REF!</v>
      </c>
      <c r="H187" s="12" t="e">
        <f>'Operating Budget'!#REF!</f>
        <v>#REF!</v>
      </c>
      <c r="I187" s="12" t="e">
        <f>'Operating Budget'!#REF!</f>
        <v>#REF!</v>
      </c>
      <c r="J187" s="12">
        <f>'Operating Budget'!F196</f>
        <v>0</v>
      </c>
      <c r="K187" s="12">
        <f>'Operating Budget'!J196</f>
        <v>0</v>
      </c>
      <c r="L187" s="12">
        <f>'Operating Budget'!K196</f>
        <v>83</v>
      </c>
      <c r="M187" s="12">
        <f>'Operating Budget'!L196</f>
        <v>0</v>
      </c>
      <c r="N187" s="12">
        <f>'Operating Budget'!M196</f>
        <v>0</v>
      </c>
      <c r="O187" s="12">
        <f>'Operating Budget'!N196</f>
        <v>83</v>
      </c>
      <c r="P187" s="12">
        <f>'Operating Budget'!O196</f>
        <v>0</v>
      </c>
      <c r="Q187" s="12">
        <f>'Operating Budget'!P196</f>
        <v>0</v>
      </c>
      <c r="R187" s="12">
        <f>'Operating Budget'!Q196</f>
        <v>83</v>
      </c>
      <c r="S187" s="12" t="e">
        <f t="shared" si="23"/>
        <v>#REF!</v>
      </c>
    </row>
    <row r="188" spans="1:19">
      <c r="A188" s="11">
        <f>'Operating Budget'!A197</f>
        <v>6240</v>
      </c>
      <c r="B188" s="10" t="str">
        <f>'Operating Budget'!B197</f>
        <v>Keys and Locks</v>
      </c>
      <c r="C188" s="48" t="e">
        <f>#REF!</f>
        <v>#REF!</v>
      </c>
      <c r="D188" s="49" t="e">
        <f>#REF!</f>
        <v>#REF!</v>
      </c>
      <c r="E188" s="49" t="e">
        <f>#REF!</f>
        <v>#REF!</v>
      </c>
      <c r="F188" s="50" t="e">
        <f>#REF!</f>
        <v>#REF!</v>
      </c>
      <c r="G188" s="12" t="e">
        <f>'Operating Budget'!#REF!</f>
        <v>#REF!</v>
      </c>
      <c r="H188" s="12" t="e">
        <f>'Operating Budget'!#REF!</f>
        <v>#REF!</v>
      </c>
      <c r="I188" s="12" t="e">
        <f>'Operating Budget'!#REF!</f>
        <v>#REF!</v>
      </c>
      <c r="J188" s="12">
        <f>'Operating Budget'!F197</f>
        <v>0</v>
      </c>
      <c r="K188" s="12">
        <f>'Operating Budget'!J197</f>
        <v>0</v>
      </c>
      <c r="L188" s="12">
        <f>'Operating Budget'!K197</f>
        <v>0</v>
      </c>
      <c r="M188" s="12">
        <f>'Operating Budget'!L197</f>
        <v>0</v>
      </c>
      <c r="N188" s="12">
        <f>'Operating Budget'!M197</f>
        <v>0</v>
      </c>
      <c r="O188" s="12">
        <f>'Operating Budget'!N197</f>
        <v>0</v>
      </c>
      <c r="P188" s="12">
        <f>'Operating Budget'!O197</f>
        <v>0</v>
      </c>
      <c r="Q188" s="12">
        <f>'Operating Budget'!P197</f>
        <v>0</v>
      </c>
      <c r="R188" s="12">
        <f>'Operating Budget'!Q197</f>
        <v>0</v>
      </c>
      <c r="S188" s="12" t="e">
        <f t="shared" si="23"/>
        <v>#REF!</v>
      </c>
    </row>
    <row r="189" spans="1:19">
      <c r="A189" s="11">
        <f>'Operating Budget'!A198</f>
        <v>6250</v>
      </c>
      <c r="B189" s="10" t="str">
        <f>'Operating Budget'!B198</f>
        <v>Lighting Supplies and Repairs</v>
      </c>
      <c r="C189" s="48" t="e">
        <f>#REF!</f>
        <v>#REF!</v>
      </c>
      <c r="D189" s="49" t="e">
        <f>#REF!</f>
        <v>#REF!</v>
      </c>
      <c r="E189" s="49" t="e">
        <f>#REF!</f>
        <v>#REF!</v>
      </c>
      <c r="F189" s="50" t="e">
        <f>#REF!</f>
        <v>#REF!</v>
      </c>
      <c r="G189" s="12" t="e">
        <f>'Operating Budget'!#REF!</f>
        <v>#REF!</v>
      </c>
      <c r="H189" s="12" t="e">
        <f>'Operating Budget'!#REF!</f>
        <v>#REF!</v>
      </c>
      <c r="I189" s="12" t="e">
        <f>'Operating Budget'!#REF!</f>
        <v>#REF!</v>
      </c>
      <c r="J189" s="12">
        <f>'Operating Budget'!F198</f>
        <v>0</v>
      </c>
      <c r="K189" s="12">
        <f>'Operating Budget'!J198</f>
        <v>0</v>
      </c>
      <c r="L189" s="12">
        <f>'Operating Budget'!K198</f>
        <v>0</v>
      </c>
      <c r="M189" s="12">
        <f>'Operating Budget'!L198</f>
        <v>50</v>
      </c>
      <c r="N189" s="12">
        <f>'Operating Budget'!M198</f>
        <v>50</v>
      </c>
      <c r="O189" s="12">
        <f>'Operating Budget'!N198</f>
        <v>75</v>
      </c>
      <c r="P189" s="12">
        <f>'Operating Budget'!O198</f>
        <v>75</v>
      </c>
      <c r="Q189" s="12">
        <f>'Operating Budget'!P198</f>
        <v>100</v>
      </c>
      <c r="R189" s="12">
        <f>'Operating Budget'!Q198</f>
        <v>100</v>
      </c>
      <c r="S189" s="12" t="e">
        <f t="shared" si="23"/>
        <v>#REF!</v>
      </c>
    </row>
    <row r="190" spans="1:19">
      <c r="A190" s="11">
        <f>'Operating Budget'!A199</f>
        <v>6260</v>
      </c>
      <c r="B190" s="10" t="str">
        <f>'Operating Budget'!B199</f>
        <v>Maintenance Supplies</v>
      </c>
      <c r="C190" s="48" t="e">
        <f>#REF!</f>
        <v>#REF!</v>
      </c>
      <c r="D190" s="49" t="e">
        <f>#REF!</f>
        <v>#REF!</v>
      </c>
      <c r="E190" s="49" t="e">
        <f>#REF!</f>
        <v>#REF!</v>
      </c>
      <c r="F190" s="50" t="e">
        <f>#REF!</f>
        <v>#REF!</v>
      </c>
      <c r="G190" s="12" t="e">
        <f>'Operating Budget'!#REF!</f>
        <v>#REF!</v>
      </c>
      <c r="H190" s="12" t="e">
        <f>'Operating Budget'!#REF!</f>
        <v>#REF!</v>
      </c>
      <c r="I190" s="12" t="e">
        <f>'Operating Budget'!#REF!</f>
        <v>#REF!</v>
      </c>
      <c r="J190" s="12">
        <f>'Operating Budget'!F199</f>
        <v>0</v>
      </c>
      <c r="K190" s="12">
        <f>'Operating Budget'!J199</f>
        <v>0</v>
      </c>
      <c r="L190" s="12">
        <f>'Operating Budget'!K199</f>
        <v>0</v>
      </c>
      <c r="M190" s="12">
        <f>'Operating Budget'!L199</f>
        <v>50</v>
      </c>
      <c r="N190" s="12">
        <f>'Operating Budget'!M199</f>
        <v>50</v>
      </c>
      <c r="O190" s="12">
        <f>'Operating Budget'!N199</f>
        <v>50</v>
      </c>
      <c r="P190" s="12">
        <f>'Operating Budget'!O199</f>
        <v>50</v>
      </c>
      <c r="Q190" s="12">
        <f>'Operating Budget'!P199</f>
        <v>50</v>
      </c>
      <c r="R190" s="12">
        <f>'Operating Budget'!Q199</f>
        <v>50</v>
      </c>
      <c r="S190" s="12" t="e">
        <f t="shared" si="23"/>
        <v>#REF!</v>
      </c>
    </row>
    <row r="191" spans="1:19">
      <c r="A191" s="11">
        <f>'Operating Budget'!A200</f>
        <v>6270</v>
      </c>
      <c r="B191" s="10" t="str">
        <f>'Operating Budget'!B200</f>
        <v>Other Recreational Repair</v>
      </c>
      <c r="C191" s="48" t="e">
        <f>#REF!</f>
        <v>#REF!</v>
      </c>
      <c r="D191" s="49" t="e">
        <f>#REF!</f>
        <v>#REF!</v>
      </c>
      <c r="E191" s="49" t="e">
        <f>#REF!</f>
        <v>#REF!</v>
      </c>
      <c r="F191" s="50" t="e">
        <f>#REF!</f>
        <v>#REF!</v>
      </c>
      <c r="G191" s="12" t="e">
        <f>'Operating Budget'!#REF!</f>
        <v>#REF!</v>
      </c>
      <c r="H191" s="12" t="e">
        <f>'Operating Budget'!#REF!</f>
        <v>#REF!</v>
      </c>
      <c r="I191" s="12" t="e">
        <f>'Operating Budget'!#REF!</f>
        <v>#REF!</v>
      </c>
      <c r="J191" s="12">
        <f>'Operating Budget'!F200</f>
        <v>0</v>
      </c>
      <c r="K191" s="12">
        <f>'Operating Budget'!J200</f>
        <v>0</v>
      </c>
      <c r="L191" s="12">
        <f>'Operating Budget'!K200</f>
        <v>0</v>
      </c>
      <c r="M191" s="12">
        <f>'Operating Budget'!L200</f>
        <v>0</v>
      </c>
      <c r="N191" s="12">
        <f>'Operating Budget'!M200</f>
        <v>0</v>
      </c>
      <c r="O191" s="12">
        <f>'Operating Budget'!N200</f>
        <v>0</v>
      </c>
      <c r="P191" s="12">
        <f>'Operating Budget'!O200</f>
        <v>0</v>
      </c>
      <c r="Q191" s="12">
        <f>'Operating Budget'!P200</f>
        <v>0</v>
      </c>
      <c r="R191" s="12">
        <f>'Operating Budget'!Q200</f>
        <v>0</v>
      </c>
      <c r="S191" s="12" t="e">
        <f t="shared" si="23"/>
        <v>#REF!</v>
      </c>
    </row>
    <row r="192" spans="1:19">
      <c r="A192" s="11">
        <f>'Operating Budget'!A201</f>
        <v>6280</v>
      </c>
      <c r="B192" s="10" t="str">
        <f>'Operating Budget'!B201</f>
        <v>Parking Lot Repairs and Maint.</v>
      </c>
      <c r="C192" s="48" t="e">
        <f>#REF!</f>
        <v>#REF!</v>
      </c>
      <c r="D192" s="49" t="e">
        <f>#REF!</f>
        <v>#REF!</v>
      </c>
      <c r="E192" s="49" t="e">
        <f>#REF!</f>
        <v>#REF!</v>
      </c>
      <c r="F192" s="50" t="e">
        <f>#REF!</f>
        <v>#REF!</v>
      </c>
      <c r="G192" s="12" t="e">
        <f>'Operating Budget'!#REF!</f>
        <v>#REF!</v>
      </c>
      <c r="H192" s="12" t="e">
        <f>'Operating Budget'!#REF!</f>
        <v>#REF!</v>
      </c>
      <c r="I192" s="12" t="e">
        <f>'Operating Budget'!#REF!</f>
        <v>#REF!</v>
      </c>
      <c r="J192" s="12">
        <f>'Operating Budget'!F201</f>
        <v>0</v>
      </c>
      <c r="K192" s="12">
        <f>'Operating Budget'!J201</f>
        <v>0</v>
      </c>
      <c r="L192" s="12">
        <f>'Operating Budget'!K201</f>
        <v>0</v>
      </c>
      <c r="M192" s="12">
        <f>'Operating Budget'!L201</f>
        <v>0</v>
      </c>
      <c r="N192" s="12">
        <f>'Operating Budget'!M201</f>
        <v>0</v>
      </c>
      <c r="O192" s="12">
        <f>'Operating Budget'!N201</f>
        <v>0</v>
      </c>
      <c r="P192" s="12">
        <f>'Operating Budget'!O201</f>
        <v>0</v>
      </c>
      <c r="Q192" s="12">
        <f>'Operating Budget'!P201</f>
        <v>0</v>
      </c>
      <c r="R192" s="12">
        <f>'Operating Budget'!Q201</f>
        <v>0</v>
      </c>
      <c r="S192" s="12" t="e">
        <f t="shared" si="23"/>
        <v>#REF!</v>
      </c>
    </row>
    <row r="193" spans="1:19">
      <c r="A193" s="11">
        <f>'Operating Budget'!A202</f>
        <v>6290</v>
      </c>
      <c r="B193" s="10" t="str">
        <f>'Operating Budget'!B202</f>
        <v>Playground</v>
      </c>
      <c r="C193" s="48" t="e">
        <f>#REF!</f>
        <v>#REF!</v>
      </c>
      <c r="D193" s="49" t="e">
        <f>#REF!</f>
        <v>#REF!</v>
      </c>
      <c r="E193" s="49" t="e">
        <f>#REF!</f>
        <v>#REF!</v>
      </c>
      <c r="F193" s="50" t="e">
        <f>#REF!</f>
        <v>#REF!</v>
      </c>
      <c r="G193" s="12" t="e">
        <f>'Operating Budget'!#REF!</f>
        <v>#REF!</v>
      </c>
      <c r="H193" s="12" t="e">
        <f>'Operating Budget'!#REF!</f>
        <v>#REF!</v>
      </c>
      <c r="I193" s="12" t="e">
        <f>'Operating Budget'!#REF!</f>
        <v>#REF!</v>
      </c>
      <c r="J193" s="12">
        <f>'Operating Budget'!F202</f>
        <v>0</v>
      </c>
      <c r="K193" s="12">
        <f>'Operating Budget'!J202</f>
        <v>0</v>
      </c>
      <c r="L193" s="12">
        <f>'Operating Budget'!K202</f>
        <v>0</v>
      </c>
      <c r="M193" s="12">
        <f>'Operating Budget'!L202</f>
        <v>0</v>
      </c>
      <c r="N193" s="12">
        <f>'Operating Budget'!M202</f>
        <v>0</v>
      </c>
      <c r="O193" s="12">
        <f>'Operating Budget'!N202</f>
        <v>0</v>
      </c>
      <c r="P193" s="12">
        <f>'Operating Budget'!O202</f>
        <v>0</v>
      </c>
      <c r="Q193" s="12">
        <f>'Operating Budget'!P202</f>
        <v>0</v>
      </c>
      <c r="R193" s="12">
        <f>'Operating Budget'!Q202</f>
        <v>0</v>
      </c>
      <c r="S193" s="12" t="e">
        <f t="shared" si="23"/>
        <v>#REF!</v>
      </c>
    </row>
    <row r="194" spans="1:19">
      <c r="A194" s="11">
        <f>'Operating Budget'!A203</f>
        <v>6300</v>
      </c>
      <c r="B194" s="10" t="str">
        <f>'Operating Budget'!B203</f>
        <v>Plumbing Supplies and Services</v>
      </c>
      <c r="C194" s="48" t="e">
        <f>#REF!</f>
        <v>#REF!</v>
      </c>
      <c r="D194" s="49" t="e">
        <f>#REF!</f>
        <v>#REF!</v>
      </c>
      <c r="E194" s="49" t="e">
        <f>#REF!</f>
        <v>#REF!</v>
      </c>
      <c r="F194" s="50" t="e">
        <f>#REF!</f>
        <v>#REF!</v>
      </c>
      <c r="G194" s="12" t="e">
        <f>'Operating Budget'!#REF!</f>
        <v>#REF!</v>
      </c>
      <c r="H194" s="12" t="e">
        <f>'Operating Budget'!#REF!</f>
        <v>#REF!</v>
      </c>
      <c r="I194" s="12" t="e">
        <f>'Operating Budget'!#REF!</f>
        <v>#REF!</v>
      </c>
      <c r="J194" s="12">
        <f>'Operating Budget'!F203</f>
        <v>0</v>
      </c>
      <c r="K194" s="12">
        <f>'Operating Budget'!J203</f>
        <v>0</v>
      </c>
      <c r="L194" s="12">
        <f>'Operating Budget'!K203</f>
        <v>0</v>
      </c>
      <c r="M194" s="12">
        <f>'Operating Budget'!L203</f>
        <v>50</v>
      </c>
      <c r="N194" s="12">
        <f>'Operating Budget'!M203</f>
        <v>50</v>
      </c>
      <c r="O194" s="12">
        <f>'Operating Budget'!N203</f>
        <v>75</v>
      </c>
      <c r="P194" s="12">
        <f>'Operating Budget'!O203</f>
        <v>75</v>
      </c>
      <c r="Q194" s="12">
        <f>'Operating Budget'!P203</f>
        <v>100</v>
      </c>
      <c r="R194" s="12">
        <f>'Operating Budget'!Q203</f>
        <v>100</v>
      </c>
      <c r="S194" s="12" t="e">
        <f t="shared" si="23"/>
        <v>#REF!</v>
      </c>
    </row>
    <row r="195" spans="1:19">
      <c r="A195" s="11">
        <f>'Operating Budget'!A204</f>
        <v>6310</v>
      </c>
      <c r="B195" s="10" t="str">
        <f>'Operating Budget'!B204</f>
        <v>Pool Repairs and Services</v>
      </c>
      <c r="C195" s="48" t="e">
        <f>#REF!</f>
        <v>#REF!</v>
      </c>
      <c r="D195" s="49" t="e">
        <f>#REF!</f>
        <v>#REF!</v>
      </c>
      <c r="E195" s="49" t="e">
        <f>#REF!</f>
        <v>#REF!</v>
      </c>
      <c r="F195" s="50" t="e">
        <f>#REF!</f>
        <v>#REF!</v>
      </c>
      <c r="G195" s="12" t="e">
        <f>'Operating Budget'!#REF!</f>
        <v>#REF!</v>
      </c>
      <c r="H195" s="12" t="e">
        <f>'Operating Budget'!#REF!</f>
        <v>#REF!</v>
      </c>
      <c r="I195" s="12" t="e">
        <f>'Operating Budget'!#REF!</f>
        <v>#REF!</v>
      </c>
      <c r="J195" s="12">
        <f>'Operating Budget'!F204</f>
        <v>0</v>
      </c>
      <c r="K195" s="12">
        <f>'Operating Budget'!J204</f>
        <v>0</v>
      </c>
      <c r="L195" s="12">
        <f>'Operating Budget'!K204</f>
        <v>0</v>
      </c>
      <c r="M195" s="12">
        <f>'Operating Budget'!L204</f>
        <v>0</v>
      </c>
      <c r="N195" s="12">
        <f>'Operating Budget'!M204</f>
        <v>0</v>
      </c>
      <c r="O195" s="12">
        <f>'Operating Budget'!N204</f>
        <v>0</v>
      </c>
      <c r="P195" s="12">
        <f>'Operating Budget'!O204</f>
        <v>0</v>
      </c>
      <c r="Q195" s="12">
        <f>'Operating Budget'!P204</f>
        <v>0</v>
      </c>
      <c r="R195" s="12">
        <f>'Operating Budget'!Q204</f>
        <v>0</v>
      </c>
      <c r="S195" s="12" t="e">
        <f t="shared" si="23"/>
        <v>#REF!</v>
      </c>
    </row>
    <row r="196" spans="1:19">
      <c r="A196" s="11">
        <f>'Operating Budget'!A205</f>
        <v>6320</v>
      </c>
      <c r="B196" s="10" t="str">
        <f>'Operating Budget'!B205</f>
        <v>Roof Repairs</v>
      </c>
      <c r="C196" s="48" t="e">
        <f>#REF!</f>
        <v>#REF!</v>
      </c>
      <c r="D196" s="49" t="e">
        <f>#REF!</f>
        <v>#REF!</v>
      </c>
      <c r="E196" s="49" t="e">
        <f>#REF!</f>
        <v>#REF!</v>
      </c>
      <c r="F196" s="50" t="e">
        <f>#REF!</f>
        <v>#REF!</v>
      </c>
      <c r="G196" s="12" t="e">
        <f>'Operating Budget'!#REF!</f>
        <v>#REF!</v>
      </c>
      <c r="H196" s="12" t="e">
        <f>'Operating Budget'!#REF!</f>
        <v>#REF!</v>
      </c>
      <c r="I196" s="12" t="e">
        <f>'Operating Budget'!#REF!</f>
        <v>#REF!</v>
      </c>
      <c r="J196" s="12">
        <f>'Operating Budget'!F205</f>
        <v>0</v>
      </c>
      <c r="K196" s="12">
        <f>'Operating Budget'!J205</f>
        <v>0</v>
      </c>
      <c r="L196" s="12">
        <f>'Operating Budget'!K205</f>
        <v>0</v>
      </c>
      <c r="M196" s="12">
        <f>'Operating Budget'!L205</f>
        <v>0</v>
      </c>
      <c r="N196" s="12">
        <f>'Operating Budget'!M205</f>
        <v>0</v>
      </c>
      <c r="O196" s="12">
        <f>'Operating Budget'!N205</f>
        <v>0</v>
      </c>
      <c r="P196" s="12">
        <f>'Operating Budget'!O205</f>
        <v>0</v>
      </c>
      <c r="Q196" s="12">
        <f>'Operating Budget'!P205</f>
        <v>0</v>
      </c>
      <c r="R196" s="12">
        <f>'Operating Budget'!Q205</f>
        <v>0</v>
      </c>
      <c r="S196" s="12" t="e">
        <f t="shared" si="23"/>
        <v>#REF!</v>
      </c>
    </row>
    <row r="197" spans="1:19">
      <c r="A197" s="11">
        <f>'Operating Budget'!A206</f>
        <v>6330</v>
      </c>
      <c r="B197" s="10" t="str">
        <f>'Operating Budget'!B206</f>
        <v>Safety and Fire Supplies</v>
      </c>
      <c r="C197" s="48" t="e">
        <f>#REF!</f>
        <v>#REF!</v>
      </c>
      <c r="D197" s="49" t="e">
        <f>#REF!</f>
        <v>#REF!</v>
      </c>
      <c r="E197" s="49" t="e">
        <f>#REF!</f>
        <v>#REF!</v>
      </c>
      <c r="F197" s="50" t="e">
        <f>#REF!</f>
        <v>#REF!</v>
      </c>
      <c r="G197" s="12" t="e">
        <f>'Operating Budget'!#REF!</f>
        <v>#REF!</v>
      </c>
      <c r="H197" s="12" t="e">
        <f>'Operating Budget'!#REF!</f>
        <v>#REF!</v>
      </c>
      <c r="I197" s="12" t="e">
        <f>'Operating Budget'!#REF!</f>
        <v>#REF!</v>
      </c>
      <c r="J197" s="12">
        <f>'Operating Budget'!F206</f>
        <v>100</v>
      </c>
      <c r="K197" s="12">
        <f>'Operating Budget'!J206</f>
        <v>0</v>
      </c>
      <c r="L197" s="12">
        <f>'Operating Budget'!K206</f>
        <v>0</v>
      </c>
      <c r="M197" s="12">
        <f>'Operating Budget'!L206</f>
        <v>100</v>
      </c>
      <c r="N197" s="12">
        <f>'Operating Budget'!M206</f>
        <v>0</v>
      </c>
      <c r="O197" s="12">
        <f>'Operating Budget'!N206</f>
        <v>0</v>
      </c>
      <c r="P197" s="12">
        <f>'Operating Budget'!O206</f>
        <v>100</v>
      </c>
      <c r="Q197" s="12">
        <f>'Operating Budget'!P206</f>
        <v>0</v>
      </c>
      <c r="R197" s="12">
        <f>'Operating Budget'!Q206</f>
        <v>0</v>
      </c>
      <c r="S197" s="12" t="e">
        <f t="shared" si="23"/>
        <v>#REF!</v>
      </c>
    </row>
    <row r="198" spans="1:19">
      <c r="A198" s="11">
        <f>'Operating Budget'!A207</f>
        <v>6331</v>
      </c>
      <c r="B198" s="10" t="str">
        <f>'Operating Budget'!B207</f>
        <v>Sheetrock R&amp;M</v>
      </c>
      <c r="C198" s="48" t="e">
        <f>#REF!</f>
        <v>#REF!</v>
      </c>
      <c r="D198" s="49" t="e">
        <f>#REF!</f>
        <v>#REF!</v>
      </c>
      <c r="E198" s="49" t="e">
        <f>#REF!</f>
        <v>#REF!</v>
      </c>
      <c r="F198" s="50" t="e">
        <f>#REF!</f>
        <v>#REF!</v>
      </c>
      <c r="G198" s="12" t="e">
        <f>'Operating Budget'!#REF!</f>
        <v>#REF!</v>
      </c>
      <c r="H198" s="12" t="e">
        <f>'Operating Budget'!#REF!</f>
        <v>#REF!</v>
      </c>
      <c r="I198" s="12" t="e">
        <f>'Operating Budget'!#REF!</f>
        <v>#REF!</v>
      </c>
      <c r="J198" s="12">
        <f>'Operating Budget'!F207</f>
        <v>0</v>
      </c>
      <c r="K198" s="12">
        <f>'Operating Budget'!J207</f>
        <v>0</v>
      </c>
      <c r="L198" s="12">
        <f>'Operating Budget'!K207</f>
        <v>0</v>
      </c>
      <c r="M198" s="12">
        <f>'Operating Budget'!L207</f>
        <v>0</v>
      </c>
      <c r="N198" s="12">
        <f>'Operating Budget'!M207</f>
        <v>0</v>
      </c>
      <c r="O198" s="12">
        <f>'Operating Budget'!N207</f>
        <v>0</v>
      </c>
      <c r="P198" s="12">
        <f>'Operating Budget'!O207</f>
        <v>0</v>
      </c>
      <c r="Q198" s="12">
        <f>'Operating Budget'!P207</f>
        <v>0</v>
      </c>
      <c r="R198" s="12">
        <f>'Operating Budget'!Q207</f>
        <v>0</v>
      </c>
      <c r="S198" s="12" t="e">
        <f t="shared" si="23"/>
        <v>#REF!</v>
      </c>
    </row>
    <row r="199" spans="1:19">
      <c r="A199" s="11">
        <f>'Operating Budget'!A208</f>
        <v>6340</v>
      </c>
      <c r="B199" s="10" t="str">
        <f>'Operating Budget'!B208</f>
        <v>Signage Supplies and Repairs</v>
      </c>
      <c r="C199" s="48" t="e">
        <f>#REF!</f>
        <v>#REF!</v>
      </c>
      <c r="D199" s="49" t="e">
        <f>#REF!</f>
        <v>#REF!</v>
      </c>
      <c r="E199" s="49" t="e">
        <f>#REF!</f>
        <v>#REF!</v>
      </c>
      <c r="F199" s="50" t="e">
        <f>#REF!</f>
        <v>#REF!</v>
      </c>
      <c r="G199" s="12" t="e">
        <f>'Operating Budget'!#REF!</f>
        <v>#REF!</v>
      </c>
      <c r="H199" s="12" t="e">
        <f>'Operating Budget'!#REF!</f>
        <v>#REF!</v>
      </c>
      <c r="I199" s="12" t="e">
        <f>'Operating Budget'!#REF!</f>
        <v>#REF!</v>
      </c>
      <c r="J199" s="12">
        <f>'Operating Budget'!F208</f>
        <v>0</v>
      </c>
      <c r="K199" s="12">
        <f>'Operating Budget'!J208</f>
        <v>0</v>
      </c>
      <c r="L199" s="12">
        <f>'Operating Budget'!K208</f>
        <v>0</v>
      </c>
      <c r="M199" s="12">
        <f>'Operating Budget'!L208</f>
        <v>0</v>
      </c>
      <c r="N199" s="12">
        <f>'Operating Budget'!M208</f>
        <v>0</v>
      </c>
      <c r="O199" s="12">
        <f>'Operating Budget'!N208</f>
        <v>0</v>
      </c>
      <c r="P199" s="12">
        <f>'Operating Budget'!O208</f>
        <v>0</v>
      </c>
      <c r="Q199" s="12">
        <f>'Operating Budget'!P208</f>
        <v>0</v>
      </c>
      <c r="R199" s="12">
        <f>'Operating Budget'!Q208</f>
        <v>0</v>
      </c>
      <c r="S199" s="12" t="e">
        <f t="shared" si="23"/>
        <v>#REF!</v>
      </c>
    </row>
    <row r="200" spans="1:19">
      <c r="A200" s="11">
        <f>'Operating Budget'!A209</f>
        <v>6350</v>
      </c>
      <c r="B200" s="10" t="str">
        <f>'Operating Budget'!B209</f>
        <v>Spare Parts</v>
      </c>
      <c r="C200" s="48" t="e">
        <f>#REF!</f>
        <v>#REF!</v>
      </c>
      <c r="D200" s="49" t="e">
        <f>#REF!</f>
        <v>#REF!</v>
      </c>
      <c r="E200" s="49" t="e">
        <f>#REF!</f>
        <v>#REF!</v>
      </c>
      <c r="F200" s="50" t="e">
        <f>#REF!</f>
        <v>#REF!</v>
      </c>
      <c r="G200" s="12" t="e">
        <f>'Operating Budget'!#REF!</f>
        <v>#REF!</v>
      </c>
      <c r="H200" s="12" t="e">
        <f>'Operating Budget'!#REF!</f>
        <v>#REF!</v>
      </c>
      <c r="I200" s="12" t="e">
        <f>'Operating Budget'!#REF!</f>
        <v>#REF!</v>
      </c>
      <c r="J200" s="12">
        <f>'Operating Budget'!F209</f>
        <v>0</v>
      </c>
      <c r="K200" s="12">
        <f>'Operating Budget'!J209</f>
        <v>0</v>
      </c>
      <c r="L200" s="12">
        <f>'Operating Budget'!K209</f>
        <v>0</v>
      </c>
      <c r="M200" s="12">
        <f>'Operating Budget'!L209</f>
        <v>0</v>
      </c>
      <c r="N200" s="12">
        <f>'Operating Budget'!M209</f>
        <v>0</v>
      </c>
      <c r="O200" s="12">
        <f>'Operating Budget'!N209</f>
        <v>0</v>
      </c>
      <c r="P200" s="12">
        <f>'Operating Budget'!O209</f>
        <v>0</v>
      </c>
      <c r="Q200" s="12">
        <f>'Operating Budget'!P209</f>
        <v>0</v>
      </c>
      <c r="R200" s="12">
        <f>'Operating Budget'!Q209</f>
        <v>0</v>
      </c>
      <c r="S200" s="12" t="e">
        <f t="shared" si="23"/>
        <v>#REF!</v>
      </c>
    </row>
    <row r="201" spans="1:19">
      <c r="A201" s="11">
        <f>'Operating Budget'!A210</f>
        <v>6351</v>
      </c>
      <c r="B201" s="10" t="str">
        <f>'Operating Budget'!B210</f>
        <v>Scent Air</v>
      </c>
      <c r="C201" s="48" t="e">
        <f>#REF!</f>
        <v>#REF!</v>
      </c>
      <c r="D201" s="49" t="e">
        <f>#REF!</f>
        <v>#REF!</v>
      </c>
      <c r="E201" s="49" t="e">
        <f>#REF!</f>
        <v>#REF!</v>
      </c>
      <c r="F201" s="50" t="e">
        <f>#REF!</f>
        <v>#REF!</v>
      </c>
      <c r="G201" s="12" t="e">
        <f>'Operating Budget'!#REF!</f>
        <v>#REF!</v>
      </c>
      <c r="H201" s="12" t="e">
        <f>'Operating Budget'!#REF!</f>
        <v>#REF!</v>
      </c>
      <c r="I201" s="12" t="e">
        <f>'Operating Budget'!#REF!</f>
        <v>#REF!</v>
      </c>
      <c r="J201" s="12">
        <f>'Operating Budget'!F210</f>
        <v>195</v>
      </c>
      <c r="K201" s="12">
        <f>'Operating Budget'!J210</f>
        <v>195</v>
      </c>
      <c r="L201" s="12">
        <f>'Operating Budget'!K210</f>
        <v>195</v>
      </c>
      <c r="M201" s="12">
        <f>'Operating Budget'!L210</f>
        <v>195</v>
      </c>
      <c r="N201" s="12">
        <f>'Operating Budget'!M210</f>
        <v>195</v>
      </c>
      <c r="O201" s="12">
        <f>'Operating Budget'!N210</f>
        <v>195</v>
      </c>
      <c r="P201" s="12">
        <f>'Operating Budget'!O210</f>
        <v>195</v>
      </c>
      <c r="Q201" s="12">
        <f>'Operating Budget'!P210</f>
        <v>195</v>
      </c>
      <c r="R201" s="12">
        <f>'Operating Budget'!Q210</f>
        <v>195</v>
      </c>
      <c r="S201" s="12" t="e">
        <f t="shared" si="23"/>
        <v>#REF!</v>
      </c>
    </row>
    <row r="202" spans="1:19">
      <c r="A202" s="11">
        <f>'Operating Budget'!A211</f>
        <v>6360</v>
      </c>
      <c r="B202" s="10" t="str">
        <f>'Operating Budget'!B211</f>
        <v>Sprinkler/Irrigation Supplies/Repair</v>
      </c>
      <c r="C202" s="48" t="e">
        <f>#REF!</f>
        <v>#REF!</v>
      </c>
      <c r="D202" s="49" t="e">
        <f>#REF!</f>
        <v>#REF!</v>
      </c>
      <c r="E202" s="49" t="e">
        <f>#REF!</f>
        <v>#REF!</v>
      </c>
      <c r="F202" s="50" t="e">
        <f>#REF!</f>
        <v>#REF!</v>
      </c>
      <c r="G202" s="12" t="e">
        <f>'Operating Budget'!#REF!</f>
        <v>#REF!</v>
      </c>
      <c r="H202" s="12" t="e">
        <f>'Operating Budget'!#REF!</f>
        <v>#REF!</v>
      </c>
      <c r="I202" s="12" t="e">
        <f>'Operating Budget'!#REF!</f>
        <v>#REF!</v>
      </c>
      <c r="J202" s="12">
        <f>'Operating Budget'!F211</f>
        <v>0</v>
      </c>
      <c r="K202" s="12">
        <f>'Operating Budget'!J211</f>
        <v>0</v>
      </c>
      <c r="L202" s="12">
        <f>'Operating Budget'!K211</f>
        <v>0</v>
      </c>
      <c r="M202" s="12">
        <f>'Operating Budget'!L211</f>
        <v>0</v>
      </c>
      <c r="N202" s="12">
        <f>'Operating Budget'!M211</f>
        <v>0</v>
      </c>
      <c r="O202" s="12">
        <f>'Operating Budget'!N211</f>
        <v>0</v>
      </c>
      <c r="P202" s="12">
        <f>'Operating Budget'!O211</f>
        <v>0</v>
      </c>
      <c r="Q202" s="12">
        <f>'Operating Budget'!P211</f>
        <v>0</v>
      </c>
      <c r="R202" s="12">
        <f>'Operating Budget'!Q211</f>
        <v>0</v>
      </c>
      <c r="S202" s="12" t="e">
        <f t="shared" si="23"/>
        <v>#REF!</v>
      </c>
    </row>
    <row r="203" spans="1:19">
      <c r="A203" s="11">
        <f>'Operating Budget'!A212</f>
        <v>6367</v>
      </c>
      <c r="B203" s="10" t="str">
        <f>'Operating Budget'!B212</f>
        <v>Water Treatment</v>
      </c>
      <c r="C203" s="48" t="e">
        <f>#REF!</f>
        <v>#REF!</v>
      </c>
      <c r="D203" s="49" t="e">
        <f>#REF!</f>
        <v>#REF!</v>
      </c>
      <c r="E203" s="49" t="e">
        <f>#REF!</f>
        <v>#REF!</v>
      </c>
      <c r="F203" s="50" t="e">
        <f>#REF!</f>
        <v>#REF!</v>
      </c>
      <c r="G203" s="12" t="e">
        <f>'Operating Budget'!#REF!</f>
        <v>#REF!</v>
      </c>
      <c r="H203" s="12" t="e">
        <f>'Operating Budget'!#REF!</f>
        <v>#REF!</v>
      </c>
      <c r="I203" s="12" t="e">
        <f>'Operating Budget'!#REF!</f>
        <v>#REF!</v>
      </c>
      <c r="J203" s="12">
        <f>'Operating Budget'!F212</f>
        <v>0</v>
      </c>
      <c r="K203" s="12">
        <f>'Operating Budget'!J212</f>
        <v>0</v>
      </c>
      <c r="L203" s="12">
        <f>'Operating Budget'!K212</f>
        <v>0</v>
      </c>
      <c r="M203" s="12">
        <f>'Operating Budget'!L212</f>
        <v>0</v>
      </c>
      <c r="N203" s="12">
        <f>'Operating Budget'!M212</f>
        <v>0</v>
      </c>
      <c r="O203" s="12">
        <f>'Operating Budget'!N212</f>
        <v>0</v>
      </c>
      <c r="P203" s="12">
        <f>'Operating Budget'!O212</f>
        <v>0</v>
      </c>
      <c r="Q203" s="12">
        <f>'Operating Budget'!P212</f>
        <v>0</v>
      </c>
      <c r="R203" s="12">
        <f>'Operating Budget'!Q212</f>
        <v>0</v>
      </c>
      <c r="S203" s="12" t="e">
        <f t="shared" si="23"/>
        <v>#REF!</v>
      </c>
    </row>
    <row r="204" spans="1:19">
      <c r="A204" s="11">
        <f>'Operating Budget'!A213</f>
        <v>6370</v>
      </c>
      <c r="B204" s="10" t="str">
        <f>'Operating Budget'!B213</f>
        <v>Window and Door Repairs</v>
      </c>
      <c r="C204" s="48" t="e">
        <f>#REF!</f>
        <v>#REF!</v>
      </c>
      <c r="D204" s="49" t="e">
        <f>#REF!</f>
        <v>#REF!</v>
      </c>
      <c r="E204" s="49" t="e">
        <f>#REF!</f>
        <v>#REF!</v>
      </c>
      <c r="F204" s="50" t="e">
        <f>#REF!</f>
        <v>#REF!</v>
      </c>
      <c r="G204" s="12" t="e">
        <f>'Operating Budget'!#REF!</f>
        <v>#REF!</v>
      </c>
      <c r="H204" s="12" t="e">
        <f>'Operating Budget'!#REF!</f>
        <v>#REF!</v>
      </c>
      <c r="I204" s="12" t="e">
        <f>'Operating Budget'!#REF!</f>
        <v>#REF!</v>
      </c>
      <c r="J204" s="12">
        <f>'Operating Budget'!F213</f>
        <v>0</v>
      </c>
      <c r="K204" s="12">
        <f>'Operating Budget'!J213</f>
        <v>0</v>
      </c>
      <c r="L204" s="12">
        <f>'Operating Budget'!K213</f>
        <v>0</v>
      </c>
      <c r="M204" s="12">
        <f>'Operating Budget'!L213</f>
        <v>0</v>
      </c>
      <c r="N204" s="12">
        <f>'Operating Budget'!M213</f>
        <v>0</v>
      </c>
      <c r="O204" s="12">
        <f>'Operating Budget'!N213</f>
        <v>0</v>
      </c>
      <c r="P204" s="12">
        <f>'Operating Budget'!O213</f>
        <v>0</v>
      </c>
      <c r="Q204" s="12">
        <f>'Operating Budget'!P213</f>
        <v>0</v>
      </c>
      <c r="R204" s="12">
        <f>'Operating Budget'!Q213</f>
        <v>0</v>
      </c>
      <c r="S204" s="12" t="e">
        <f t="shared" si="23"/>
        <v>#REF!</v>
      </c>
    </row>
    <row r="205" spans="1:19">
      <c r="C205" s="23"/>
      <c r="D205" s="17"/>
      <c r="E205" s="17"/>
      <c r="F205" s="24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</row>
    <row r="206" spans="1:19">
      <c r="B206" s="13" t="s">
        <v>46</v>
      </c>
      <c r="C206" s="30" t="e">
        <f t="shared" ref="C206:F206" si="24">SUM(C163:C204)</f>
        <v>#REF!</v>
      </c>
      <c r="D206" s="31" t="e">
        <f t="shared" si="24"/>
        <v>#REF!</v>
      </c>
      <c r="E206" s="31" t="e">
        <f t="shared" si="24"/>
        <v>#REF!</v>
      </c>
      <c r="F206" s="32" t="e">
        <f t="shared" si="24"/>
        <v>#REF!</v>
      </c>
      <c r="G206" s="40" t="e">
        <f>SUM(G163:G204)</f>
        <v>#REF!</v>
      </c>
      <c r="H206" s="40" t="e">
        <f t="shared" ref="H206:S206" si="25">SUM(H163:H204)</f>
        <v>#REF!</v>
      </c>
      <c r="I206" s="40" t="e">
        <f t="shared" si="25"/>
        <v>#REF!</v>
      </c>
      <c r="J206" s="40">
        <f t="shared" si="25"/>
        <v>295</v>
      </c>
      <c r="K206" s="40">
        <f t="shared" si="25"/>
        <v>195</v>
      </c>
      <c r="L206" s="40">
        <f t="shared" si="25"/>
        <v>278</v>
      </c>
      <c r="M206" s="40">
        <f t="shared" si="25"/>
        <v>1095</v>
      </c>
      <c r="N206" s="40">
        <f t="shared" si="25"/>
        <v>545</v>
      </c>
      <c r="O206" s="40">
        <f t="shared" si="25"/>
        <v>678</v>
      </c>
      <c r="P206" s="40">
        <f t="shared" si="25"/>
        <v>795</v>
      </c>
      <c r="Q206" s="40">
        <f t="shared" si="25"/>
        <v>745</v>
      </c>
      <c r="R206" s="40">
        <f t="shared" si="25"/>
        <v>1403</v>
      </c>
      <c r="S206" s="40" t="e">
        <f t="shared" si="25"/>
        <v>#REF!</v>
      </c>
    </row>
    <row r="207" spans="1:19">
      <c r="C207" s="21"/>
      <c r="F207" s="2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</row>
    <row r="208" spans="1:19">
      <c r="B208" s="13" t="s">
        <v>75</v>
      </c>
      <c r="C208" s="25"/>
      <c r="D208" s="13"/>
      <c r="E208" s="13"/>
      <c r="F208" s="26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</row>
    <row r="209" spans="1:19">
      <c r="C209" s="21"/>
      <c r="F209" s="2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</row>
    <row r="210" spans="1:19">
      <c r="A210" s="11">
        <f>'Operating Budget'!A219</f>
        <v>6800</v>
      </c>
      <c r="B210" s="10" t="str">
        <f>'Operating Budget'!B219</f>
        <v>Blinds/Drapes Repair</v>
      </c>
      <c r="C210" s="48" t="e">
        <f>#REF!</f>
        <v>#REF!</v>
      </c>
      <c r="D210" s="49" t="e">
        <f>#REF!</f>
        <v>#REF!</v>
      </c>
      <c r="E210" s="49" t="e">
        <f>#REF!</f>
        <v>#REF!</v>
      </c>
      <c r="F210" s="50" t="e">
        <f>#REF!</f>
        <v>#REF!</v>
      </c>
      <c r="G210" s="12" t="e">
        <f>'Operating Budget'!#REF!</f>
        <v>#REF!</v>
      </c>
      <c r="H210" s="12" t="e">
        <f>'Operating Budget'!#REF!</f>
        <v>#REF!</v>
      </c>
      <c r="I210" s="12" t="e">
        <f>'Operating Budget'!#REF!</f>
        <v>#REF!</v>
      </c>
      <c r="J210" s="12">
        <f>'Operating Budget'!F219</f>
        <v>0</v>
      </c>
      <c r="K210" s="12">
        <f>'Operating Budget'!J219</f>
        <v>0</v>
      </c>
      <c r="L210" s="12">
        <f>'Operating Budget'!K219</f>
        <v>0</v>
      </c>
      <c r="M210" s="12">
        <f>'Operating Budget'!L219</f>
        <v>0</v>
      </c>
      <c r="N210" s="12">
        <f>'Operating Budget'!M219</f>
        <v>0</v>
      </c>
      <c r="O210" s="12">
        <f>'Operating Budget'!N219</f>
        <v>0</v>
      </c>
      <c r="P210" s="12">
        <f>'Operating Budget'!O219</f>
        <v>0</v>
      </c>
      <c r="Q210" s="12">
        <f>'Operating Budget'!P219</f>
        <v>0</v>
      </c>
      <c r="R210" s="12">
        <f>'Operating Budget'!Q219</f>
        <v>0</v>
      </c>
      <c r="S210" s="12" t="e">
        <f>SUM(G210:R210)</f>
        <v>#REF!</v>
      </c>
    </row>
    <row r="211" spans="1:19">
      <c r="A211" s="11">
        <f>'Operating Budget'!A220</f>
        <v>6810</v>
      </c>
      <c r="B211" s="10" t="str">
        <f>'Operating Budget'!B220</f>
        <v>Carpet Cleaning/Repair</v>
      </c>
      <c r="C211" s="48" t="e">
        <f>#REF!</f>
        <v>#REF!</v>
      </c>
      <c r="D211" s="49" t="e">
        <f>#REF!</f>
        <v>#REF!</v>
      </c>
      <c r="E211" s="49" t="e">
        <f>#REF!</f>
        <v>#REF!</v>
      </c>
      <c r="F211" s="50" t="e">
        <f>#REF!</f>
        <v>#REF!</v>
      </c>
      <c r="G211" s="12" t="e">
        <f>'Operating Budget'!#REF!</f>
        <v>#REF!</v>
      </c>
      <c r="H211" s="12" t="e">
        <f>'Operating Budget'!#REF!</f>
        <v>#REF!</v>
      </c>
      <c r="I211" s="12" t="e">
        <f>'Operating Budget'!#REF!</f>
        <v>#REF!</v>
      </c>
      <c r="J211" s="12">
        <f>'Operating Budget'!F220</f>
        <v>0</v>
      </c>
      <c r="K211" s="12">
        <f>'Operating Budget'!J220</f>
        <v>0</v>
      </c>
      <c r="L211" s="12">
        <f>'Operating Budget'!K220</f>
        <v>0</v>
      </c>
      <c r="M211" s="12">
        <f>'Operating Budget'!L220</f>
        <v>0</v>
      </c>
      <c r="N211" s="12">
        <f>'Operating Budget'!M220</f>
        <v>0</v>
      </c>
      <c r="O211" s="12">
        <f>'Operating Budget'!N220</f>
        <v>0</v>
      </c>
      <c r="P211" s="12">
        <f>'Operating Budget'!O220</f>
        <v>0</v>
      </c>
      <c r="Q211" s="12">
        <f>'Operating Budget'!P220</f>
        <v>0</v>
      </c>
      <c r="R211" s="12">
        <f>'Operating Budget'!Q220</f>
        <v>0</v>
      </c>
      <c r="S211" s="12" t="e">
        <f t="shared" ref="S211:S222" si="26">SUM(G211:R211)</f>
        <v>#REF!</v>
      </c>
    </row>
    <row r="212" spans="1:19">
      <c r="A212" s="11">
        <f>'Operating Budget'!A221</f>
        <v>6820</v>
      </c>
      <c r="B212" s="10" t="str">
        <f>'Operating Budget'!B221</f>
        <v>Ceiling Fans/Fixtures</v>
      </c>
      <c r="C212" s="48" t="e">
        <f>#REF!</f>
        <v>#REF!</v>
      </c>
      <c r="D212" s="49" t="e">
        <f>#REF!</f>
        <v>#REF!</v>
      </c>
      <c r="E212" s="49" t="e">
        <f>#REF!</f>
        <v>#REF!</v>
      </c>
      <c r="F212" s="50" t="e">
        <f>#REF!</f>
        <v>#REF!</v>
      </c>
      <c r="G212" s="12" t="e">
        <f>'Operating Budget'!#REF!</f>
        <v>#REF!</v>
      </c>
      <c r="H212" s="12" t="e">
        <f>'Operating Budget'!#REF!</f>
        <v>#REF!</v>
      </c>
      <c r="I212" s="12" t="e">
        <f>'Operating Budget'!#REF!</f>
        <v>#REF!</v>
      </c>
      <c r="J212" s="12">
        <f>'Operating Budget'!F221</f>
        <v>0</v>
      </c>
      <c r="K212" s="12">
        <f>'Operating Budget'!J221</f>
        <v>0</v>
      </c>
      <c r="L212" s="12">
        <f>'Operating Budget'!K221</f>
        <v>0</v>
      </c>
      <c r="M212" s="12">
        <f>'Operating Budget'!L221</f>
        <v>0</v>
      </c>
      <c r="N212" s="12">
        <f>'Operating Budget'!M221</f>
        <v>0</v>
      </c>
      <c r="O212" s="12">
        <f>'Operating Budget'!N221</f>
        <v>0</v>
      </c>
      <c r="P212" s="12">
        <f>'Operating Budget'!O221</f>
        <v>0</v>
      </c>
      <c r="Q212" s="12">
        <f>'Operating Budget'!P221</f>
        <v>0</v>
      </c>
      <c r="R212" s="12">
        <f>'Operating Budget'!Q221</f>
        <v>0</v>
      </c>
      <c r="S212" s="12" t="e">
        <f t="shared" si="26"/>
        <v>#REF!</v>
      </c>
    </row>
    <row r="213" spans="1:19">
      <c r="A213" s="11">
        <f>'Operating Budget'!A222</f>
        <v>6830</v>
      </c>
      <c r="B213" s="10" t="str">
        <f>'Operating Budget'!B222</f>
        <v>Cleaning Supplies</v>
      </c>
      <c r="C213" s="48" t="e">
        <f>#REF!</f>
        <v>#REF!</v>
      </c>
      <c r="D213" s="49" t="e">
        <f>#REF!</f>
        <v>#REF!</v>
      </c>
      <c r="E213" s="49" t="e">
        <f>#REF!</f>
        <v>#REF!</v>
      </c>
      <c r="F213" s="50" t="e">
        <f>#REF!</f>
        <v>#REF!</v>
      </c>
      <c r="G213" s="12" t="e">
        <f>'Operating Budget'!#REF!</f>
        <v>#REF!</v>
      </c>
      <c r="H213" s="12" t="e">
        <f>'Operating Budget'!#REF!</f>
        <v>#REF!</v>
      </c>
      <c r="I213" s="12" t="e">
        <f>'Operating Budget'!#REF!</f>
        <v>#REF!</v>
      </c>
      <c r="J213" s="12">
        <f>'Operating Budget'!F222</f>
        <v>0</v>
      </c>
      <c r="K213" s="12">
        <f>'Operating Budget'!J222</f>
        <v>0</v>
      </c>
      <c r="L213" s="12">
        <f>'Operating Budget'!K222</f>
        <v>0</v>
      </c>
      <c r="M213" s="12">
        <f>'Operating Budget'!L222</f>
        <v>0</v>
      </c>
      <c r="N213" s="12">
        <f>'Operating Budget'!M222</f>
        <v>0</v>
      </c>
      <c r="O213" s="12">
        <f>'Operating Budget'!N222</f>
        <v>0</v>
      </c>
      <c r="P213" s="12">
        <f>'Operating Budget'!O222</f>
        <v>0</v>
      </c>
      <c r="Q213" s="12">
        <f>'Operating Budget'!P222</f>
        <v>0</v>
      </c>
      <c r="R213" s="12">
        <f>'Operating Budget'!Q222</f>
        <v>0</v>
      </c>
      <c r="S213" s="12" t="e">
        <f t="shared" si="26"/>
        <v>#REF!</v>
      </c>
    </row>
    <row r="214" spans="1:19">
      <c r="A214" s="11">
        <f>'Operating Budget'!A223</f>
        <v>6840</v>
      </c>
      <c r="B214" s="10" t="str">
        <f>'Operating Budget'!B223</f>
        <v>Main/Cleaning Service</v>
      </c>
      <c r="C214" s="48" t="e">
        <f>#REF!</f>
        <v>#REF!</v>
      </c>
      <c r="D214" s="49" t="e">
        <f>#REF!</f>
        <v>#REF!</v>
      </c>
      <c r="E214" s="49" t="e">
        <f>#REF!</f>
        <v>#REF!</v>
      </c>
      <c r="F214" s="50" t="e">
        <f>#REF!</f>
        <v>#REF!</v>
      </c>
      <c r="G214" s="12" t="e">
        <f>'Operating Budget'!#REF!</f>
        <v>#REF!</v>
      </c>
      <c r="H214" s="12" t="e">
        <f>'Operating Budget'!#REF!</f>
        <v>#REF!</v>
      </c>
      <c r="I214" s="12" t="e">
        <f>'Operating Budget'!#REF!</f>
        <v>#REF!</v>
      </c>
      <c r="J214" s="12">
        <f>'Operating Budget'!F223</f>
        <v>0</v>
      </c>
      <c r="K214" s="12">
        <f>'Operating Budget'!J223</f>
        <v>0</v>
      </c>
      <c r="L214" s="12">
        <f>'Operating Budget'!K223</f>
        <v>0</v>
      </c>
      <c r="M214" s="12">
        <f>'Operating Budget'!L223</f>
        <v>0</v>
      </c>
      <c r="N214" s="12">
        <f>'Operating Budget'!M223</f>
        <v>0</v>
      </c>
      <c r="O214" s="12">
        <f>'Operating Budget'!N223</f>
        <v>0</v>
      </c>
      <c r="P214" s="12">
        <f>'Operating Budget'!O223</f>
        <v>0</v>
      </c>
      <c r="Q214" s="12">
        <f>'Operating Budget'!P223</f>
        <v>0</v>
      </c>
      <c r="R214" s="12">
        <f>'Operating Budget'!Q223</f>
        <v>0</v>
      </c>
      <c r="S214" s="12" t="e">
        <f t="shared" si="26"/>
        <v>#REF!</v>
      </c>
    </row>
    <row r="215" spans="1:19">
      <c r="A215" s="11">
        <f>'Operating Budget'!A224</f>
        <v>6850</v>
      </c>
      <c r="B215" s="10" t="str">
        <f>'Operating Budget'!B224</f>
        <v>Paint Contractor</v>
      </c>
      <c r="C215" s="48" t="e">
        <f>#REF!</f>
        <v>#REF!</v>
      </c>
      <c r="D215" s="49" t="e">
        <f>#REF!</f>
        <v>#REF!</v>
      </c>
      <c r="E215" s="49" t="e">
        <f>#REF!</f>
        <v>#REF!</v>
      </c>
      <c r="F215" s="50" t="e">
        <f>#REF!</f>
        <v>#REF!</v>
      </c>
      <c r="G215" s="12" t="e">
        <f>'Operating Budget'!#REF!</f>
        <v>#REF!</v>
      </c>
      <c r="H215" s="12" t="e">
        <f>'Operating Budget'!#REF!</f>
        <v>#REF!</v>
      </c>
      <c r="I215" s="12" t="e">
        <f>'Operating Budget'!#REF!</f>
        <v>#REF!</v>
      </c>
      <c r="J215" s="12">
        <f>'Operating Budget'!F224</f>
        <v>0</v>
      </c>
      <c r="K215" s="12">
        <f>'Operating Budget'!J224</f>
        <v>0</v>
      </c>
      <c r="L215" s="12">
        <f>'Operating Budget'!K224</f>
        <v>0</v>
      </c>
      <c r="M215" s="12">
        <f>'Operating Budget'!L224</f>
        <v>0</v>
      </c>
      <c r="N215" s="12">
        <f>'Operating Budget'!M224</f>
        <v>0</v>
      </c>
      <c r="O215" s="12">
        <f>'Operating Budget'!N224</f>
        <v>0</v>
      </c>
      <c r="P215" s="12">
        <f>'Operating Budget'!O224</f>
        <v>0</v>
      </c>
      <c r="Q215" s="12">
        <f>'Operating Budget'!P224</f>
        <v>0</v>
      </c>
      <c r="R215" s="12">
        <f>'Operating Budget'!Q224</f>
        <v>0</v>
      </c>
      <c r="S215" s="12" t="e">
        <f t="shared" si="26"/>
        <v>#REF!</v>
      </c>
    </row>
    <row r="216" spans="1:19">
      <c r="A216" s="11">
        <f>'Operating Budget'!A225</f>
        <v>6851</v>
      </c>
      <c r="B216" s="10" t="str">
        <f>'Operating Budget'!B225</f>
        <v>Sheetrock Repair</v>
      </c>
      <c r="C216" s="48" t="e">
        <f>#REF!</f>
        <v>#REF!</v>
      </c>
      <c r="D216" s="49" t="e">
        <f>#REF!</f>
        <v>#REF!</v>
      </c>
      <c r="E216" s="49" t="e">
        <f>#REF!</f>
        <v>#REF!</v>
      </c>
      <c r="F216" s="50" t="e">
        <f>#REF!</f>
        <v>#REF!</v>
      </c>
      <c r="G216" s="12" t="e">
        <f>'Operating Budget'!#REF!</f>
        <v>#REF!</v>
      </c>
      <c r="H216" s="12" t="e">
        <f>'Operating Budget'!#REF!</f>
        <v>#REF!</v>
      </c>
      <c r="I216" s="12" t="e">
        <f>'Operating Budget'!#REF!</f>
        <v>#REF!</v>
      </c>
      <c r="J216" s="12">
        <f>'Operating Budget'!F225</f>
        <v>0</v>
      </c>
      <c r="K216" s="12">
        <f>'Operating Budget'!J225</f>
        <v>0</v>
      </c>
      <c r="L216" s="12">
        <f>'Operating Budget'!K225</f>
        <v>0</v>
      </c>
      <c r="M216" s="12">
        <f>'Operating Budget'!L225</f>
        <v>0</v>
      </c>
      <c r="N216" s="12">
        <f>'Operating Budget'!M225</f>
        <v>0</v>
      </c>
      <c r="O216" s="12">
        <f>'Operating Budget'!N225</f>
        <v>0</v>
      </c>
      <c r="P216" s="12">
        <f>'Operating Budget'!O225</f>
        <v>0</v>
      </c>
      <c r="Q216" s="12">
        <f>'Operating Budget'!P225</f>
        <v>0</v>
      </c>
      <c r="R216" s="12">
        <f>'Operating Budget'!Q225</f>
        <v>0</v>
      </c>
      <c r="S216" s="12" t="e">
        <f t="shared" si="26"/>
        <v>#REF!</v>
      </c>
    </row>
    <row r="217" spans="1:19">
      <c r="A217" s="11">
        <f>'Operating Budget'!A226</f>
        <v>6852</v>
      </c>
      <c r="B217" s="10" t="str">
        <f>'Operating Budget'!B226</f>
        <v>Tile Repair</v>
      </c>
      <c r="C217" s="48" t="e">
        <f>#REF!</f>
        <v>#REF!</v>
      </c>
      <c r="D217" s="49" t="e">
        <f>#REF!</f>
        <v>#REF!</v>
      </c>
      <c r="E217" s="49" t="e">
        <f>#REF!</f>
        <v>#REF!</v>
      </c>
      <c r="F217" s="50" t="e">
        <f>#REF!</f>
        <v>#REF!</v>
      </c>
      <c r="G217" s="12" t="e">
        <f>'Operating Budget'!#REF!</f>
        <v>#REF!</v>
      </c>
      <c r="H217" s="12" t="e">
        <f>'Operating Budget'!#REF!</f>
        <v>#REF!</v>
      </c>
      <c r="I217" s="12" t="e">
        <f>'Operating Budget'!#REF!</f>
        <v>#REF!</v>
      </c>
      <c r="J217" s="12">
        <f>'Operating Budget'!F226</f>
        <v>0</v>
      </c>
      <c r="K217" s="12">
        <f>'Operating Budget'!J226</f>
        <v>0</v>
      </c>
      <c r="L217" s="12">
        <f>'Operating Budget'!K226</f>
        <v>0</v>
      </c>
      <c r="M217" s="12">
        <f>'Operating Budget'!L226</f>
        <v>0</v>
      </c>
      <c r="N217" s="12">
        <f>'Operating Budget'!M226</f>
        <v>0</v>
      </c>
      <c r="O217" s="12">
        <f>'Operating Budget'!N226</f>
        <v>0</v>
      </c>
      <c r="P217" s="12">
        <f>'Operating Budget'!O226</f>
        <v>0</v>
      </c>
      <c r="Q217" s="12">
        <f>'Operating Budget'!P226</f>
        <v>0</v>
      </c>
      <c r="R217" s="12">
        <f>'Operating Budget'!Q226</f>
        <v>0</v>
      </c>
      <c r="S217" s="12" t="e">
        <f t="shared" si="26"/>
        <v>#REF!</v>
      </c>
    </row>
    <row r="218" spans="1:19">
      <c r="A218" s="11">
        <f>'Operating Budget'!A227</f>
        <v>6853</v>
      </c>
      <c r="B218" s="10" t="str">
        <f>'Operating Budget'!B227</f>
        <v>Miscellaneous Unit Repair</v>
      </c>
      <c r="C218" s="48" t="e">
        <f>#REF!</f>
        <v>#REF!</v>
      </c>
      <c r="D218" s="49" t="e">
        <f>#REF!</f>
        <v>#REF!</v>
      </c>
      <c r="E218" s="49" t="e">
        <f>#REF!</f>
        <v>#REF!</v>
      </c>
      <c r="F218" s="50" t="e">
        <f>#REF!</f>
        <v>#REF!</v>
      </c>
      <c r="G218" s="12" t="e">
        <f>'Operating Budget'!#REF!</f>
        <v>#REF!</v>
      </c>
      <c r="H218" s="12" t="e">
        <f>'Operating Budget'!#REF!</f>
        <v>#REF!</v>
      </c>
      <c r="I218" s="12" t="e">
        <f>'Operating Budget'!#REF!</f>
        <v>#REF!</v>
      </c>
      <c r="J218" s="12">
        <f>'Operating Budget'!F227</f>
        <v>0</v>
      </c>
      <c r="K218" s="12">
        <f>'Operating Budget'!J227</f>
        <v>0</v>
      </c>
      <c r="L218" s="12">
        <f>'Operating Budget'!K227</f>
        <v>0</v>
      </c>
      <c r="M218" s="12">
        <f>'Operating Budget'!L227</f>
        <v>0</v>
      </c>
      <c r="N218" s="12">
        <f>'Operating Budget'!M227</f>
        <v>0</v>
      </c>
      <c r="O218" s="12">
        <f>'Operating Budget'!N227</f>
        <v>0</v>
      </c>
      <c r="P218" s="12">
        <f>'Operating Budget'!O227</f>
        <v>0</v>
      </c>
      <c r="Q218" s="12">
        <f>'Operating Budget'!P227</f>
        <v>0</v>
      </c>
      <c r="R218" s="12">
        <f>'Operating Budget'!Q227</f>
        <v>0</v>
      </c>
      <c r="S218" s="12" t="e">
        <f t="shared" si="26"/>
        <v>#REF!</v>
      </c>
    </row>
    <row r="219" spans="1:19">
      <c r="A219" s="11">
        <f>'Operating Budget'!A228</f>
        <v>6860</v>
      </c>
      <c r="B219" s="10" t="str">
        <f>'Operating Budget'!B228</f>
        <v>Paint Supplies</v>
      </c>
      <c r="C219" s="48" t="e">
        <f>#REF!</f>
        <v>#REF!</v>
      </c>
      <c r="D219" s="49" t="e">
        <f>#REF!</f>
        <v>#REF!</v>
      </c>
      <c r="E219" s="49" t="e">
        <f>#REF!</f>
        <v>#REF!</v>
      </c>
      <c r="F219" s="50" t="e">
        <f>#REF!</f>
        <v>#REF!</v>
      </c>
      <c r="G219" s="12" t="e">
        <f>'Operating Budget'!#REF!</f>
        <v>#REF!</v>
      </c>
      <c r="H219" s="12" t="e">
        <f>'Operating Budget'!#REF!</f>
        <v>#REF!</v>
      </c>
      <c r="I219" s="12" t="e">
        <f>'Operating Budget'!#REF!</f>
        <v>#REF!</v>
      </c>
      <c r="J219" s="12">
        <f>'Operating Budget'!F228</f>
        <v>0</v>
      </c>
      <c r="K219" s="12">
        <f>'Operating Budget'!J228</f>
        <v>0</v>
      </c>
      <c r="L219" s="12">
        <f>'Operating Budget'!K228</f>
        <v>0</v>
      </c>
      <c r="M219" s="12">
        <f>'Operating Budget'!L228</f>
        <v>0</v>
      </c>
      <c r="N219" s="12">
        <f>'Operating Budget'!M228</f>
        <v>0</v>
      </c>
      <c r="O219" s="12">
        <f>'Operating Budget'!N228</f>
        <v>0</v>
      </c>
      <c r="P219" s="12">
        <f>'Operating Budget'!O228</f>
        <v>0</v>
      </c>
      <c r="Q219" s="12">
        <f>'Operating Budget'!P228</f>
        <v>0</v>
      </c>
      <c r="R219" s="12">
        <f>'Operating Budget'!Q228</f>
        <v>0</v>
      </c>
      <c r="S219" s="12" t="e">
        <f t="shared" si="26"/>
        <v>#REF!</v>
      </c>
    </row>
    <row r="220" spans="1:19">
      <c r="A220" s="11">
        <f>'Operating Budget'!A229</f>
        <v>6870</v>
      </c>
      <c r="B220" s="10" t="str">
        <f>'Operating Budget'!B229</f>
        <v>Resurfacing Countertops</v>
      </c>
      <c r="C220" s="48" t="e">
        <f>#REF!</f>
        <v>#REF!</v>
      </c>
      <c r="D220" s="49" t="e">
        <f>#REF!</f>
        <v>#REF!</v>
      </c>
      <c r="E220" s="49" t="e">
        <f>#REF!</f>
        <v>#REF!</v>
      </c>
      <c r="F220" s="50" t="e">
        <f>#REF!</f>
        <v>#REF!</v>
      </c>
      <c r="G220" s="12" t="e">
        <f>'Operating Budget'!#REF!</f>
        <v>#REF!</v>
      </c>
      <c r="H220" s="12" t="e">
        <f>'Operating Budget'!#REF!</f>
        <v>#REF!</v>
      </c>
      <c r="I220" s="12" t="e">
        <f>'Operating Budget'!#REF!</f>
        <v>#REF!</v>
      </c>
      <c r="J220" s="12">
        <f>'Operating Budget'!F229</f>
        <v>0</v>
      </c>
      <c r="K220" s="12">
        <f>'Operating Budget'!J229</f>
        <v>0</v>
      </c>
      <c r="L220" s="12">
        <f>'Operating Budget'!K229</f>
        <v>0</v>
      </c>
      <c r="M220" s="12">
        <f>'Operating Budget'!L229</f>
        <v>0</v>
      </c>
      <c r="N220" s="12">
        <f>'Operating Budget'!M229</f>
        <v>0</v>
      </c>
      <c r="O220" s="12">
        <f>'Operating Budget'!N229</f>
        <v>0</v>
      </c>
      <c r="P220" s="12">
        <f>'Operating Budget'!O229</f>
        <v>0</v>
      </c>
      <c r="Q220" s="12">
        <f>'Operating Budget'!P229</f>
        <v>0</v>
      </c>
      <c r="R220" s="12">
        <f>'Operating Budget'!Q229</f>
        <v>0</v>
      </c>
      <c r="S220" s="12" t="e">
        <f t="shared" si="26"/>
        <v>#REF!</v>
      </c>
    </row>
    <row r="221" spans="1:19">
      <c r="A221" s="11">
        <f>'Operating Budget'!A230</f>
        <v>6880</v>
      </c>
      <c r="B221" s="10" t="str">
        <f>'Operating Budget'!B230</f>
        <v>Resurfacing Bathtubs</v>
      </c>
      <c r="C221" s="48" t="e">
        <f>#REF!</f>
        <v>#REF!</v>
      </c>
      <c r="D221" s="49" t="e">
        <f>#REF!</f>
        <v>#REF!</v>
      </c>
      <c r="E221" s="49" t="e">
        <f>#REF!</f>
        <v>#REF!</v>
      </c>
      <c r="F221" s="50" t="e">
        <f>#REF!</f>
        <v>#REF!</v>
      </c>
      <c r="G221" s="12" t="e">
        <f>'Operating Budget'!#REF!</f>
        <v>#REF!</v>
      </c>
      <c r="H221" s="12" t="e">
        <f>'Operating Budget'!#REF!</f>
        <v>#REF!</v>
      </c>
      <c r="I221" s="12" t="e">
        <f>'Operating Budget'!#REF!</f>
        <v>#REF!</v>
      </c>
      <c r="J221" s="12">
        <f>'Operating Budget'!F230</f>
        <v>0</v>
      </c>
      <c r="K221" s="12">
        <f>'Operating Budget'!J230</f>
        <v>0</v>
      </c>
      <c r="L221" s="12">
        <f>'Operating Budget'!K230</f>
        <v>0</v>
      </c>
      <c r="M221" s="12">
        <f>'Operating Budget'!L230</f>
        <v>0</v>
      </c>
      <c r="N221" s="12">
        <f>'Operating Budget'!M230</f>
        <v>0</v>
      </c>
      <c r="O221" s="12">
        <f>'Operating Budget'!N230</f>
        <v>0</v>
      </c>
      <c r="P221" s="12">
        <f>'Operating Budget'!O230</f>
        <v>0</v>
      </c>
      <c r="Q221" s="12">
        <f>'Operating Budget'!P230</f>
        <v>0</v>
      </c>
      <c r="R221" s="12">
        <f>'Operating Budget'!Q230</f>
        <v>0</v>
      </c>
      <c r="S221" s="12" t="e">
        <f t="shared" si="26"/>
        <v>#REF!</v>
      </c>
    </row>
    <row r="222" spans="1:19">
      <c r="A222" s="11">
        <f>'Operating Budget'!A231</f>
        <v>6900</v>
      </c>
      <c r="B222" s="10" t="str">
        <f>'Operating Budget'!B231</f>
        <v>Property Enhancement</v>
      </c>
      <c r="C222" s="48" t="e">
        <f>#REF!</f>
        <v>#REF!</v>
      </c>
      <c r="D222" s="49" t="e">
        <f>#REF!</f>
        <v>#REF!</v>
      </c>
      <c r="E222" s="49" t="e">
        <f>#REF!</f>
        <v>#REF!</v>
      </c>
      <c r="F222" s="50" t="e">
        <f>#REF!</f>
        <v>#REF!</v>
      </c>
      <c r="G222" s="12" t="e">
        <f>'Operating Budget'!#REF!</f>
        <v>#REF!</v>
      </c>
      <c r="H222" s="12" t="e">
        <f>'Operating Budget'!#REF!</f>
        <v>#REF!</v>
      </c>
      <c r="I222" s="12" t="e">
        <f>'Operating Budget'!#REF!</f>
        <v>#REF!</v>
      </c>
      <c r="J222" s="12">
        <f>'Operating Budget'!F231</f>
        <v>0</v>
      </c>
      <c r="K222" s="12">
        <f>'Operating Budget'!J231</f>
        <v>0</v>
      </c>
      <c r="L222" s="12">
        <f>'Operating Budget'!K231</f>
        <v>0</v>
      </c>
      <c r="M222" s="12">
        <f>'Operating Budget'!L231</f>
        <v>0</v>
      </c>
      <c r="N222" s="12">
        <f>'Operating Budget'!M231</f>
        <v>0</v>
      </c>
      <c r="O222" s="12">
        <f>'Operating Budget'!N231</f>
        <v>0</v>
      </c>
      <c r="P222" s="12">
        <f>'Operating Budget'!O231</f>
        <v>0</v>
      </c>
      <c r="Q222" s="12">
        <f>'Operating Budget'!P231</f>
        <v>0</v>
      </c>
      <c r="R222" s="12">
        <f>'Operating Budget'!Q231</f>
        <v>0</v>
      </c>
      <c r="S222" s="12" t="e">
        <f t="shared" si="26"/>
        <v>#REF!</v>
      </c>
    </row>
    <row r="223" spans="1:19">
      <c r="C223" s="23"/>
      <c r="D223" s="17"/>
      <c r="E223" s="17"/>
      <c r="F223" s="24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</row>
    <row r="224" spans="1:19">
      <c r="B224" s="13" t="s">
        <v>192</v>
      </c>
      <c r="C224" s="30" t="e">
        <f t="shared" ref="C224:F224" si="27">SUM(C210:C222)</f>
        <v>#REF!</v>
      </c>
      <c r="D224" s="31" t="e">
        <f t="shared" si="27"/>
        <v>#REF!</v>
      </c>
      <c r="E224" s="31" t="e">
        <f t="shared" si="27"/>
        <v>#REF!</v>
      </c>
      <c r="F224" s="32" t="e">
        <f t="shared" si="27"/>
        <v>#REF!</v>
      </c>
      <c r="G224" s="39" t="e">
        <f>SUM(G210:G222)</f>
        <v>#REF!</v>
      </c>
      <c r="H224" s="39" t="e">
        <f t="shared" ref="H224:S224" si="28">SUM(H210:H222)</f>
        <v>#REF!</v>
      </c>
      <c r="I224" s="39" t="e">
        <f t="shared" si="28"/>
        <v>#REF!</v>
      </c>
      <c r="J224" s="39">
        <f t="shared" si="28"/>
        <v>0</v>
      </c>
      <c r="K224" s="39">
        <f t="shared" si="28"/>
        <v>0</v>
      </c>
      <c r="L224" s="39">
        <f t="shared" si="28"/>
        <v>0</v>
      </c>
      <c r="M224" s="39">
        <f t="shared" si="28"/>
        <v>0</v>
      </c>
      <c r="N224" s="39">
        <f t="shared" si="28"/>
        <v>0</v>
      </c>
      <c r="O224" s="39">
        <f t="shared" si="28"/>
        <v>0</v>
      </c>
      <c r="P224" s="39">
        <f t="shared" si="28"/>
        <v>0</v>
      </c>
      <c r="Q224" s="39">
        <f t="shared" si="28"/>
        <v>0</v>
      </c>
      <c r="R224" s="39">
        <f t="shared" si="28"/>
        <v>0</v>
      </c>
      <c r="S224" s="39" t="e">
        <f t="shared" si="28"/>
        <v>#REF!</v>
      </c>
    </row>
    <row r="225" spans="1:19">
      <c r="C225" s="21"/>
      <c r="F225" s="2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</row>
    <row r="226" spans="1:19">
      <c r="B226" s="13" t="s">
        <v>36</v>
      </c>
      <c r="C226" s="25"/>
      <c r="D226" s="13"/>
      <c r="E226" s="13"/>
      <c r="F226" s="26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</row>
    <row r="227" spans="1:19">
      <c r="C227" s="21"/>
      <c r="F227" s="2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</row>
    <row r="228" spans="1:19">
      <c r="A228" s="11">
        <f>'Operating Budget'!A237</f>
        <v>6508</v>
      </c>
      <c r="B228" s="10" t="str">
        <f>'Operating Budget'!B237</f>
        <v>Cable Contract</v>
      </c>
      <c r="C228" s="48" t="e">
        <f>#REF!</f>
        <v>#REF!</v>
      </c>
      <c r="D228" s="49" t="e">
        <f>#REF!</f>
        <v>#REF!</v>
      </c>
      <c r="E228" s="49" t="e">
        <f>#REF!</f>
        <v>#REF!</v>
      </c>
      <c r="F228" s="50" t="e">
        <f>#REF!</f>
        <v>#REF!</v>
      </c>
      <c r="G228" s="12" t="e">
        <f>'Operating Budget'!#REF!</f>
        <v>#REF!</v>
      </c>
      <c r="H228" s="12" t="e">
        <f>'Operating Budget'!#REF!</f>
        <v>#REF!</v>
      </c>
      <c r="I228" s="12" t="e">
        <f>'Operating Budget'!#REF!</f>
        <v>#REF!</v>
      </c>
      <c r="J228" s="12">
        <f>'Operating Budget'!F237</f>
        <v>800</v>
      </c>
      <c r="K228" s="12">
        <f>'Operating Budget'!J237</f>
        <v>1720</v>
      </c>
      <c r="L228" s="12">
        <f>'Operating Budget'!K237</f>
        <v>2720</v>
      </c>
      <c r="M228" s="12">
        <f>'Operating Budget'!L237</f>
        <v>3280</v>
      </c>
      <c r="N228" s="12">
        <f>'Operating Budget'!M237</f>
        <v>3280</v>
      </c>
      <c r="O228" s="12">
        <f>'Operating Budget'!N237</f>
        <v>3280</v>
      </c>
      <c r="P228" s="12">
        <f>'Operating Budget'!O237</f>
        <v>3280</v>
      </c>
      <c r="Q228" s="12">
        <f>'Operating Budget'!P237</f>
        <v>3280</v>
      </c>
      <c r="R228" s="12">
        <f>'Operating Budget'!Q237</f>
        <v>3280</v>
      </c>
      <c r="S228" s="12" t="e">
        <f>SUM(G228:R228)</f>
        <v>#REF!</v>
      </c>
    </row>
    <row r="229" spans="1:19">
      <c r="A229" s="11">
        <f>'Operating Budget'!A238</f>
        <v>6510</v>
      </c>
      <c r="B229" s="10" t="str">
        <f>'Operating Budget'!B238</f>
        <v>Cleaning Services</v>
      </c>
      <c r="C229" s="48" t="e">
        <f>#REF!</f>
        <v>#REF!</v>
      </c>
      <c r="D229" s="49" t="e">
        <f>#REF!</f>
        <v>#REF!</v>
      </c>
      <c r="E229" s="49" t="e">
        <f>#REF!</f>
        <v>#REF!</v>
      </c>
      <c r="F229" s="50" t="e">
        <f>#REF!</f>
        <v>#REF!</v>
      </c>
      <c r="G229" s="12" t="e">
        <f>'Operating Budget'!#REF!</f>
        <v>#REF!</v>
      </c>
      <c r="H229" s="12" t="e">
        <f>'Operating Budget'!#REF!</f>
        <v>#REF!</v>
      </c>
      <c r="I229" s="12" t="e">
        <f>'Operating Budget'!#REF!</f>
        <v>#REF!</v>
      </c>
      <c r="J229" s="12">
        <f>'Operating Budget'!F238</f>
        <v>0</v>
      </c>
      <c r="K229" s="12">
        <f>'Operating Budget'!J238</f>
        <v>0</v>
      </c>
      <c r="L229" s="12">
        <f>'Operating Budget'!K238</f>
        <v>0</v>
      </c>
      <c r="M229" s="12">
        <f>'Operating Budget'!L238</f>
        <v>0</v>
      </c>
      <c r="N229" s="12">
        <f>'Operating Budget'!M238</f>
        <v>0</v>
      </c>
      <c r="O229" s="12">
        <f>'Operating Budget'!N238</f>
        <v>0</v>
      </c>
      <c r="P229" s="12">
        <f>'Operating Budget'!O238</f>
        <v>0</v>
      </c>
      <c r="Q229" s="12">
        <f>'Operating Budget'!P238</f>
        <v>0</v>
      </c>
      <c r="R229" s="12">
        <f>'Operating Budget'!Q238</f>
        <v>0</v>
      </c>
      <c r="S229" s="12" t="e">
        <f t="shared" ref="S229:S248" si="29">SUM(G229:R229)</f>
        <v>#REF!</v>
      </c>
    </row>
    <row r="230" spans="1:19">
      <c r="A230" s="11">
        <f>'Operating Budget'!A239</f>
        <v>6510.1</v>
      </c>
      <c r="B230" s="10" t="str">
        <f>'Operating Budget'!B239</f>
        <v>Cleaning Services - Corporate Units</v>
      </c>
      <c r="C230" s="48" t="e">
        <f>#REF!</f>
        <v>#REF!</v>
      </c>
      <c r="D230" s="49" t="e">
        <f>#REF!</f>
        <v>#REF!</v>
      </c>
      <c r="E230" s="49" t="e">
        <f>#REF!</f>
        <v>#REF!</v>
      </c>
      <c r="F230" s="50" t="e">
        <f>#REF!</f>
        <v>#REF!</v>
      </c>
      <c r="G230" s="12" t="e">
        <f>'Operating Budget'!#REF!</f>
        <v>#REF!</v>
      </c>
      <c r="H230" s="12" t="e">
        <f>'Operating Budget'!#REF!</f>
        <v>#REF!</v>
      </c>
      <c r="I230" s="12" t="e">
        <f>'Operating Budget'!#REF!</f>
        <v>#REF!</v>
      </c>
      <c r="J230" s="12">
        <f>'Operating Budget'!F239</f>
        <v>0</v>
      </c>
      <c r="K230" s="12">
        <f>'Operating Budget'!J239</f>
        <v>0</v>
      </c>
      <c r="L230" s="12">
        <f>'Operating Budget'!K239</f>
        <v>0</v>
      </c>
      <c r="M230" s="12">
        <f>'Operating Budget'!L239</f>
        <v>0</v>
      </c>
      <c r="N230" s="12">
        <f>'Operating Budget'!M239</f>
        <v>0</v>
      </c>
      <c r="O230" s="12">
        <f>'Operating Budget'!N239</f>
        <v>0</v>
      </c>
      <c r="P230" s="12">
        <f>'Operating Budget'!O239</f>
        <v>0</v>
      </c>
      <c r="Q230" s="12">
        <f>'Operating Budget'!P239</f>
        <v>0</v>
      </c>
      <c r="R230" s="12">
        <f>'Operating Budget'!Q239</f>
        <v>0</v>
      </c>
      <c r="S230" s="12" t="e">
        <f t="shared" si="29"/>
        <v>#REF!</v>
      </c>
    </row>
    <row r="231" spans="1:19">
      <c r="A231" s="11">
        <f>'Operating Budget'!A240</f>
        <v>6512</v>
      </c>
      <c r="B231" s="10" t="str">
        <f>'Operating Budget'!B240</f>
        <v>Common Area Music</v>
      </c>
      <c r="C231" s="48" t="e">
        <f>#REF!</f>
        <v>#REF!</v>
      </c>
      <c r="D231" s="49" t="e">
        <f>#REF!</f>
        <v>#REF!</v>
      </c>
      <c r="E231" s="49" t="e">
        <f>#REF!</f>
        <v>#REF!</v>
      </c>
      <c r="F231" s="50" t="e">
        <f>#REF!</f>
        <v>#REF!</v>
      </c>
      <c r="G231" s="12" t="e">
        <f>'Operating Budget'!#REF!</f>
        <v>#REF!</v>
      </c>
      <c r="H231" s="12" t="e">
        <f>'Operating Budget'!#REF!</f>
        <v>#REF!</v>
      </c>
      <c r="I231" s="12" t="e">
        <f>'Operating Budget'!#REF!</f>
        <v>#REF!</v>
      </c>
      <c r="J231" s="12">
        <f>'Operating Budget'!F240</f>
        <v>89</v>
      </c>
      <c r="K231" s="12">
        <f>'Operating Budget'!J240</f>
        <v>89</v>
      </c>
      <c r="L231" s="12">
        <f>'Operating Budget'!K240</f>
        <v>89</v>
      </c>
      <c r="M231" s="12">
        <f>'Operating Budget'!L240</f>
        <v>89</v>
      </c>
      <c r="N231" s="12">
        <f>'Operating Budget'!M240</f>
        <v>89</v>
      </c>
      <c r="O231" s="12">
        <f>'Operating Budget'!N240</f>
        <v>89</v>
      </c>
      <c r="P231" s="12">
        <f>'Operating Budget'!O240</f>
        <v>89</v>
      </c>
      <c r="Q231" s="12">
        <f>'Operating Budget'!P240</f>
        <v>89</v>
      </c>
      <c r="R231" s="12">
        <f>'Operating Budget'!Q240</f>
        <v>89</v>
      </c>
      <c r="S231" s="12" t="e">
        <f t="shared" si="29"/>
        <v>#REF!</v>
      </c>
    </row>
    <row r="232" spans="1:19">
      <c r="A232" s="11">
        <f>'Operating Budget'!A241</f>
        <v>6515</v>
      </c>
      <c r="B232" s="10" t="str">
        <f>'Operating Budget'!B241</f>
        <v>Elevator Service Contract</v>
      </c>
      <c r="C232" s="48" t="e">
        <f>#REF!</f>
        <v>#REF!</v>
      </c>
      <c r="D232" s="49" t="e">
        <f>#REF!</f>
        <v>#REF!</v>
      </c>
      <c r="E232" s="49" t="e">
        <f>#REF!</f>
        <v>#REF!</v>
      </c>
      <c r="F232" s="50" t="e">
        <f>#REF!</f>
        <v>#REF!</v>
      </c>
      <c r="G232" s="12" t="e">
        <f>'Operating Budget'!#REF!</f>
        <v>#REF!</v>
      </c>
      <c r="H232" s="12" t="e">
        <f>'Operating Budget'!#REF!</f>
        <v>#REF!</v>
      </c>
      <c r="I232" s="12" t="e">
        <f>'Operating Budget'!#REF!</f>
        <v>#REF!</v>
      </c>
      <c r="J232" s="12">
        <f>'Operating Budget'!F241</f>
        <v>0</v>
      </c>
      <c r="K232" s="12">
        <f>'Operating Budget'!J241</f>
        <v>0</v>
      </c>
      <c r="L232" s="12">
        <f>'Operating Budget'!K241</f>
        <v>0</v>
      </c>
      <c r="M232" s="12">
        <f>'Operating Budget'!L241</f>
        <v>0</v>
      </c>
      <c r="N232" s="12">
        <f>'Operating Budget'!M241</f>
        <v>0</v>
      </c>
      <c r="O232" s="12">
        <f>'Operating Budget'!N241</f>
        <v>0</v>
      </c>
      <c r="P232" s="12">
        <f>'Operating Budget'!O241</f>
        <v>0</v>
      </c>
      <c r="Q232" s="12">
        <f>'Operating Budget'!P241</f>
        <v>0</v>
      </c>
      <c r="R232" s="12">
        <f>'Operating Budget'!Q241</f>
        <v>0</v>
      </c>
      <c r="S232" s="12" t="e">
        <f t="shared" si="29"/>
        <v>#REF!</v>
      </c>
    </row>
    <row r="233" spans="1:19">
      <c r="A233" s="11">
        <f>'Operating Budget'!A242</f>
        <v>6516</v>
      </c>
      <c r="B233" s="10" t="str">
        <f>'Operating Budget'!B242</f>
        <v>Equipment Rental</v>
      </c>
      <c r="C233" s="48" t="e">
        <f>#REF!</f>
        <v>#REF!</v>
      </c>
      <c r="D233" s="49" t="e">
        <f>#REF!</f>
        <v>#REF!</v>
      </c>
      <c r="E233" s="49" t="e">
        <f>#REF!</f>
        <v>#REF!</v>
      </c>
      <c r="F233" s="50" t="e">
        <f>#REF!</f>
        <v>#REF!</v>
      </c>
      <c r="G233" s="12" t="e">
        <f>'Operating Budget'!#REF!</f>
        <v>#REF!</v>
      </c>
      <c r="H233" s="12" t="e">
        <f>'Operating Budget'!#REF!</f>
        <v>#REF!</v>
      </c>
      <c r="I233" s="12" t="e">
        <f>'Operating Budget'!#REF!</f>
        <v>#REF!</v>
      </c>
      <c r="J233" s="12">
        <f>'Operating Budget'!F242</f>
        <v>0</v>
      </c>
      <c r="K233" s="12">
        <f>'Operating Budget'!J242</f>
        <v>0</v>
      </c>
      <c r="L233" s="12">
        <f>'Operating Budget'!K242</f>
        <v>0</v>
      </c>
      <c r="M233" s="12">
        <f>'Operating Budget'!L242</f>
        <v>0</v>
      </c>
      <c r="N233" s="12">
        <f>'Operating Budget'!M242</f>
        <v>0</v>
      </c>
      <c r="O233" s="12">
        <f>'Operating Budget'!N242</f>
        <v>0</v>
      </c>
      <c r="P233" s="12">
        <f>'Operating Budget'!O242</f>
        <v>0</v>
      </c>
      <c r="Q233" s="12">
        <f>'Operating Budget'!P242</f>
        <v>0</v>
      </c>
      <c r="R233" s="12">
        <f>'Operating Budget'!Q242</f>
        <v>0</v>
      </c>
      <c r="S233" s="12" t="e">
        <f t="shared" si="29"/>
        <v>#REF!</v>
      </c>
    </row>
    <row r="234" spans="1:19">
      <c r="A234" s="11">
        <f>'Operating Budget'!A243</f>
        <v>6517</v>
      </c>
      <c r="B234" s="10" t="str">
        <f>'Operating Budget'!B243</f>
        <v>Generator Maintenance Contract</v>
      </c>
      <c r="C234" s="48" t="e">
        <f>#REF!</f>
        <v>#REF!</v>
      </c>
      <c r="D234" s="49" t="e">
        <f>#REF!</f>
        <v>#REF!</v>
      </c>
      <c r="E234" s="49" t="e">
        <f>#REF!</f>
        <v>#REF!</v>
      </c>
      <c r="F234" s="50" t="e">
        <f>#REF!</f>
        <v>#REF!</v>
      </c>
      <c r="G234" s="12" t="e">
        <f>'Operating Budget'!#REF!</f>
        <v>#REF!</v>
      </c>
      <c r="H234" s="12" t="e">
        <f>'Operating Budget'!#REF!</f>
        <v>#REF!</v>
      </c>
      <c r="I234" s="12" t="e">
        <f>'Operating Budget'!#REF!</f>
        <v>#REF!</v>
      </c>
      <c r="J234" s="12">
        <f>'Operating Budget'!F243</f>
        <v>0</v>
      </c>
      <c r="K234" s="12">
        <f>'Operating Budget'!J243</f>
        <v>0</v>
      </c>
      <c r="L234" s="12">
        <f>'Operating Budget'!K243</f>
        <v>0</v>
      </c>
      <c r="M234" s="12">
        <f>'Operating Budget'!L243</f>
        <v>0</v>
      </c>
      <c r="N234" s="12">
        <f>'Operating Budget'!M243</f>
        <v>0</v>
      </c>
      <c r="O234" s="12">
        <f>'Operating Budget'!N243</f>
        <v>0</v>
      </c>
      <c r="P234" s="12">
        <f>'Operating Budget'!O243</f>
        <v>0</v>
      </c>
      <c r="Q234" s="12">
        <f>'Operating Budget'!P243</f>
        <v>0</v>
      </c>
      <c r="R234" s="12">
        <f>'Operating Budget'!Q243</f>
        <v>0</v>
      </c>
      <c r="S234" s="12" t="e">
        <f t="shared" si="29"/>
        <v>#REF!</v>
      </c>
    </row>
    <row r="235" spans="1:19">
      <c r="A235" s="11">
        <f>'Operating Budget'!A244</f>
        <v>6518</v>
      </c>
      <c r="B235" s="10" t="str">
        <f>'Operating Budget'!B244</f>
        <v>HVAC Maintenance Contract</v>
      </c>
      <c r="C235" s="48" t="e">
        <f>#REF!</f>
        <v>#REF!</v>
      </c>
      <c r="D235" s="49" t="e">
        <f>#REF!</f>
        <v>#REF!</v>
      </c>
      <c r="E235" s="49" t="e">
        <f>#REF!</f>
        <v>#REF!</v>
      </c>
      <c r="F235" s="50" t="e">
        <f>#REF!</f>
        <v>#REF!</v>
      </c>
      <c r="G235" s="12" t="e">
        <f>'Operating Budget'!#REF!</f>
        <v>#REF!</v>
      </c>
      <c r="H235" s="12" t="e">
        <f>'Operating Budget'!#REF!</f>
        <v>#REF!</v>
      </c>
      <c r="I235" s="12" t="e">
        <f>'Operating Budget'!#REF!</f>
        <v>#REF!</v>
      </c>
      <c r="J235" s="12">
        <f>'Operating Budget'!F244</f>
        <v>0</v>
      </c>
      <c r="K235" s="12">
        <f>'Operating Budget'!J244</f>
        <v>0</v>
      </c>
      <c r="L235" s="12">
        <f>'Operating Budget'!K244</f>
        <v>0</v>
      </c>
      <c r="M235" s="12">
        <f>'Operating Budget'!L244</f>
        <v>0</v>
      </c>
      <c r="N235" s="12">
        <f>'Operating Budget'!M244</f>
        <v>0</v>
      </c>
      <c r="O235" s="12">
        <f>'Operating Budget'!N244</f>
        <v>0</v>
      </c>
      <c r="P235" s="12">
        <f>'Operating Budget'!O244</f>
        <v>0</v>
      </c>
      <c r="Q235" s="12">
        <f>'Operating Budget'!P244</f>
        <v>0</v>
      </c>
      <c r="R235" s="12">
        <f>'Operating Budget'!Q244</f>
        <v>0</v>
      </c>
      <c r="S235" s="12" t="e">
        <f t="shared" si="29"/>
        <v>#REF!</v>
      </c>
    </row>
    <row r="236" spans="1:19">
      <c r="A236" s="11">
        <f>'Operating Budget'!A245</f>
        <v>6520</v>
      </c>
      <c r="B236" s="10" t="str">
        <f>'Operating Budget'!B245</f>
        <v>Fire Alarm Contract</v>
      </c>
      <c r="C236" s="48" t="e">
        <f>#REF!</f>
        <v>#REF!</v>
      </c>
      <c r="D236" s="49" t="e">
        <f>#REF!</f>
        <v>#REF!</v>
      </c>
      <c r="E236" s="49" t="e">
        <f>#REF!</f>
        <v>#REF!</v>
      </c>
      <c r="F236" s="50" t="e">
        <f>#REF!</f>
        <v>#REF!</v>
      </c>
      <c r="G236" s="12" t="e">
        <f>'Operating Budget'!#REF!</f>
        <v>#REF!</v>
      </c>
      <c r="H236" s="12" t="e">
        <f>'Operating Budget'!#REF!</f>
        <v>#REF!</v>
      </c>
      <c r="I236" s="12" t="e">
        <f>'Operating Budget'!#REF!</f>
        <v>#REF!</v>
      </c>
      <c r="J236" s="12">
        <f>'Operating Budget'!F245</f>
        <v>95</v>
      </c>
      <c r="K236" s="12">
        <f>'Operating Budget'!J245</f>
        <v>95</v>
      </c>
      <c r="L236" s="12">
        <f>'Operating Budget'!K245</f>
        <v>95</v>
      </c>
      <c r="M236" s="12">
        <f>'Operating Budget'!L245</f>
        <v>95</v>
      </c>
      <c r="N236" s="12">
        <f>'Operating Budget'!M245</f>
        <v>95</v>
      </c>
      <c r="O236" s="12">
        <f>'Operating Budget'!N245</f>
        <v>95</v>
      </c>
      <c r="P236" s="12">
        <f>'Operating Budget'!O245</f>
        <v>95</v>
      </c>
      <c r="Q236" s="12">
        <f>'Operating Budget'!P245</f>
        <v>95</v>
      </c>
      <c r="R236" s="12">
        <f>'Operating Budget'!Q245</f>
        <v>95</v>
      </c>
      <c r="S236" s="12" t="e">
        <f t="shared" si="29"/>
        <v>#REF!</v>
      </c>
    </row>
    <row r="237" spans="1:19">
      <c r="A237" s="11">
        <f>'Operating Budget'!A246</f>
        <v>6525</v>
      </c>
      <c r="B237" s="10" t="str">
        <f>'Operating Budget'!B246</f>
        <v>Fire Sprinkler Contract</v>
      </c>
      <c r="C237" s="48" t="e">
        <f>#REF!</f>
        <v>#REF!</v>
      </c>
      <c r="D237" s="49" t="e">
        <f>#REF!</f>
        <v>#REF!</v>
      </c>
      <c r="E237" s="49" t="e">
        <f>#REF!</f>
        <v>#REF!</v>
      </c>
      <c r="F237" s="50" t="e">
        <f>#REF!</f>
        <v>#REF!</v>
      </c>
      <c r="G237" s="12" t="e">
        <f>'Operating Budget'!#REF!</f>
        <v>#REF!</v>
      </c>
      <c r="H237" s="12" t="e">
        <f>'Operating Budget'!#REF!</f>
        <v>#REF!</v>
      </c>
      <c r="I237" s="12" t="e">
        <f>'Operating Budget'!#REF!</f>
        <v>#REF!</v>
      </c>
      <c r="J237" s="12">
        <f>'Operating Budget'!F246</f>
        <v>0</v>
      </c>
      <c r="K237" s="12">
        <f>'Operating Budget'!J246</f>
        <v>0</v>
      </c>
      <c r="L237" s="12">
        <f>'Operating Budget'!K246</f>
        <v>2500</v>
      </c>
      <c r="M237" s="12">
        <f>'Operating Budget'!L246</f>
        <v>0</v>
      </c>
      <c r="N237" s="12">
        <f>'Operating Budget'!M246</f>
        <v>0</v>
      </c>
      <c r="O237" s="12">
        <f>'Operating Budget'!N246</f>
        <v>0</v>
      </c>
      <c r="P237" s="12">
        <f>'Operating Budget'!O246</f>
        <v>0</v>
      </c>
      <c r="Q237" s="12">
        <f>'Operating Budget'!P246</f>
        <v>0</v>
      </c>
      <c r="R237" s="12">
        <f>'Operating Budget'!Q246</f>
        <v>0</v>
      </c>
      <c r="S237" s="12" t="e">
        <f t="shared" si="29"/>
        <v>#REF!</v>
      </c>
    </row>
    <row r="238" spans="1:19">
      <c r="A238" s="11" t="e">
        <f>'Operating Budget'!#REF!</f>
        <v>#REF!</v>
      </c>
      <c r="B238" s="10" t="e">
        <f>'Operating Budget'!#REF!</f>
        <v>#REF!</v>
      </c>
      <c r="C238" s="48" t="e">
        <f>#REF!</f>
        <v>#REF!</v>
      </c>
      <c r="D238" s="49" t="e">
        <f>#REF!</f>
        <v>#REF!</v>
      </c>
      <c r="E238" s="49" t="e">
        <f>#REF!</f>
        <v>#REF!</v>
      </c>
      <c r="F238" s="50" t="e">
        <f>#REF!</f>
        <v>#REF!</v>
      </c>
      <c r="G238" s="12" t="e">
        <f>'Operating Budget'!#REF!</f>
        <v>#REF!</v>
      </c>
      <c r="H238" s="12" t="e">
        <f>'Operating Budget'!#REF!</f>
        <v>#REF!</v>
      </c>
      <c r="I238" s="12" t="e">
        <f>'Operating Budget'!#REF!</f>
        <v>#REF!</v>
      </c>
      <c r="J238" s="12" t="e">
        <f>'Operating Budget'!#REF!</f>
        <v>#REF!</v>
      </c>
      <c r="K238" s="12" t="e">
        <f>'Operating Budget'!#REF!</f>
        <v>#REF!</v>
      </c>
      <c r="L238" s="12" t="e">
        <f>'Operating Budget'!#REF!</f>
        <v>#REF!</v>
      </c>
      <c r="M238" s="12" t="e">
        <f>'Operating Budget'!#REF!</f>
        <v>#REF!</v>
      </c>
      <c r="N238" s="12" t="e">
        <f>'Operating Budget'!#REF!</f>
        <v>#REF!</v>
      </c>
      <c r="O238" s="12" t="e">
        <f>'Operating Budget'!#REF!</f>
        <v>#REF!</v>
      </c>
      <c r="P238" s="12" t="e">
        <f>'Operating Budget'!#REF!</f>
        <v>#REF!</v>
      </c>
      <c r="Q238" s="12" t="e">
        <f>'Operating Budget'!#REF!</f>
        <v>#REF!</v>
      </c>
      <c r="R238" s="12" t="e">
        <f>'Operating Budget'!#REF!</f>
        <v>#REF!</v>
      </c>
      <c r="S238" s="12" t="e">
        <f t="shared" si="29"/>
        <v>#REF!</v>
      </c>
    </row>
    <row r="239" spans="1:19">
      <c r="A239" s="11">
        <f>'Operating Budget'!A247</f>
        <v>6540</v>
      </c>
      <c r="B239" s="10" t="str">
        <f>'Operating Budget'!B247</f>
        <v>Janitorial Contract</v>
      </c>
      <c r="C239" s="48" t="e">
        <f>#REF!</f>
        <v>#REF!</v>
      </c>
      <c r="D239" s="49" t="e">
        <f>#REF!</f>
        <v>#REF!</v>
      </c>
      <c r="E239" s="49" t="e">
        <f>#REF!</f>
        <v>#REF!</v>
      </c>
      <c r="F239" s="50" t="e">
        <f>#REF!</f>
        <v>#REF!</v>
      </c>
      <c r="G239" s="12" t="e">
        <f>'Operating Budget'!#REF!</f>
        <v>#REF!</v>
      </c>
      <c r="H239" s="12" t="e">
        <f>'Operating Budget'!#REF!</f>
        <v>#REF!</v>
      </c>
      <c r="I239" s="12" t="e">
        <f>'Operating Budget'!#REF!</f>
        <v>#REF!</v>
      </c>
      <c r="J239" s="12">
        <f>'Operating Budget'!F247</f>
        <v>200</v>
      </c>
      <c r="K239" s="12">
        <f>'Operating Budget'!J247</f>
        <v>200</v>
      </c>
      <c r="L239" s="12">
        <f>'Operating Budget'!K247</f>
        <v>200</v>
      </c>
      <c r="M239" s="12">
        <f>'Operating Budget'!L247</f>
        <v>200</v>
      </c>
      <c r="N239" s="12">
        <f>'Operating Budget'!M247</f>
        <v>200</v>
      </c>
      <c r="O239" s="12">
        <f>'Operating Budget'!N247</f>
        <v>200</v>
      </c>
      <c r="P239" s="12">
        <f>'Operating Budget'!O247</f>
        <v>200</v>
      </c>
      <c r="Q239" s="12">
        <f>'Operating Budget'!P247</f>
        <v>200</v>
      </c>
      <c r="R239" s="12">
        <f>'Operating Budget'!Q247</f>
        <v>200</v>
      </c>
      <c r="S239" s="12" t="e">
        <f t="shared" si="29"/>
        <v>#REF!</v>
      </c>
    </row>
    <row r="240" spans="1:19">
      <c r="A240" s="11">
        <f>'Operating Budget'!A248</f>
        <v>6550</v>
      </c>
      <c r="B240" s="10" t="str">
        <f>'Operating Budget'!B248</f>
        <v>Landscape /Maintenance Contract</v>
      </c>
      <c r="C240" s="48" t="e">
        <f>#REF!</f>
        <v>#REF!</v>
      </c>
      <c r="D240" s="49" t="e">
        <f>#REF!</f>
        <v>#REF!</v>
      </c>
      <c r="E240" s="49" t="e">
        <f>#REF!</f>
        <v>#REF!</v>
      </c>
      <c r="F240" s="50" t="e">
        <f>#REF!</f>
        <v>#REF!</v>
      </c>
      <c r="G240" s="12" t="e">
        <f>'Operating Budget'!#REF!</f>
        <v>#REF!</v>
      </c>
      <c r="H240" s="12" t="e">
        <f>'Operating Budget'!#REF!</f>
        <v>#REF!</v>
      </c>
      <c r="I240" s="12" t="e">
        <f>'Operating Budget'!#REF!</f>
        <v>#REF!</v>
      </c>
      <c r="J240" s="12">
        <f>'Operating Budget'!F248</f>
        <v>800</v>
      </c>
      <c r="K240" s="12">
        <f>'Operating Budget'!J248</f>
        <v>800</v>
      </c>
      <c r="L240" s="12">
        <f>'Operating Budget'!K248</f>
        <v>800</v>
      </c>
      <c r="M240" s="12">
        <f>'Operating Budget'!L248</f>
        <v>800</v>
      </c>
      <c r="N240" s="12">
        <f>'Operating Budget'!M248</f>
        <v>800</v>
      </c>
      <c r="O240" s="12">
        <f>'Operating Budget'!N248</f>
        <v>800</v>
      </c>
      <c r="P240" s="12">
        <f>'Operating Budget'!O248</f>
        <v>800</v>
      </c>
      <c r="Q240" s="12">
        <f>'Operating Budget'!P248</f>
        <v>800</v>
      </c>
      <c r="R240" s="12">
        <f>'Operating Budget'!Q248</f>
        <v>800</v>
      </c>
      <c r="S240" s="12" t="e">
        <f t="shared" si="29"/>
        <v>#REF!</v>
      </c>
    </row>
    <row r="241" spans="1:19">
      <c r="A241" s="11">
        <f>'Operating Budget'!A249</f>
        <v>6560</v>
      </c>
      <c r="B241" s="10" t="str">
        <f>'Operating Budget'!B249</f>
        <v>Landscape/Seasonal</v>
      </c>
      <c r="C241" s="48" t="e">
        <f>#REF!</f>
        <v>#REF!</v>
      </c>
      <c r="D241" s="49" t="e">
        <f>#REF!</f>
        <v>#REF!</v>
      </c>
      <c r="E241" s="49" t="e">
        <f>#REF!</f>
        <v>#REF!</v>
      </c>
      <c r="F241" s="50" t="e">
        <f>#REF!</f>
        <v>#REF!</v>
      </c>
      <c r="G241" s="12" t="e">
        <f>'Operating Budget'!#REF!</f>
        <v>#REF!</v>
      </c>
      <c r="H241" s="12" t="e">
        <f>'Operating Budget'!#REF!</f>
        <v>#REF!</v>
      </c>
      <c r="I241" s="12" t="e">
        <f>'Operating Budget'!#REF!</f>
        <v>#REF!</v>
      </c>
      <c r="J241" s="12">
        <f>'Operating Budget'!F249</f>
        <v>0</v>
      </c>
      <c r="K241" s="12">
        <f>'Operating Budget'!J249</f>
        <v>0</v>
      </c>
      <c r="L241" s="12">
        <f>'Operating Budget'!K249</f>
        <v>0</v>
      </c>
      <c r="M241" s="12">
        <f>'Operating Budget'!L249</f>
        <v>1040</v>
      </c>
      <c r="N241" s="12">
        <f>'Operating Budget'!M249</f>
        <v>0</v>
      </c>
      <c r="O241" s="12">
        <f>'Operating Budget'!N249</f>
        <v>0</v>
      </c>
      <c r="P241" s="12">
        <f>'Operating Budget'!O249</f>
        <v>0</v>
      </c>
      <c r="Q241" s="12">
        <f>'Operating Budget'!P249</f>
        <v>0</v>
      </c>
      <c r="R241" s="12">
        <f>'Operating Budget'!Q249</f>
        <v>0</v>
      </c>
      <c r="S241" s="12" t="e">
        <f t="shared" si="29"/>
        <v>#REF!</v>
      </c>
    </row>
    <row r="242" spans="1:19">
      <c r="A242" s="11">
        <f>'Operating Budget'!A250</f>
        <v>6570</v>
      </c>
      <c r="B242" s="10" t="str">
        <f>'Operating Budget'!B250</f>
        <v>Pest Control</v>
      </c>
      <c r="C242" s="48" t="e">
        <f>#REF!</f>
        <v>#REF!</v>
      </c>
      <c r="D242" s="49" t="e">
        <f>#REF!</f>
        <v>#REF!</v>
      </c>
      <c r="E242" s="49" t="e">
        <f>#REF!</f>
        <v>#REF!</v>
      </c>
      <c r="F242" s="50" t="e">
        <f>#REF!</f>
        <v>#REF!</v>
      </c>
      <c r="G242" s="12" t="e">
        <f>'Operating Budget'!#REF!</f>
        <v>#REF!</v>
      </c>
      <c r="H242" s="12" t="e">
        <f>'Operating Budget'!#REF!</f>
        <v>#REF!</v>
      </c>
      <c r="I242" s="12" t="e">
        <f>'Operating Budget'!#REF!</f>
        <v>#REF!</v>
      </c>
      <c r="J242" s="12">
        <f>'Operating Budget'!F250</f>
        <v>124.5</v>
      </c>
      <c r="K242" s="12">
        <f>'Operating Budget'!J250</f>
        <v>124.5</v>
      </c>
      <c r="L242" s="12">
        <f>'Operating Budget'!K250</f>
        <v>124.5</v>
      </c>
      <c r="M242" s="12">
        <f>'Operating Budget'!L250</f>
        <v>124.5</v>
      </c>
      <c r="N242" s="12">
        <f>'Operating Budget'!M250</f>
        <v>124.5</v>
      </c>
      <c r="O242" s="12">
        <f>'Operating Budget'!N250</f>
        <v>124.5</v>
      </c>
      <c r="P242" s="12">
        <f>'Operating Budget'!O250</f>
        <v>124.5</v>
      </c>
      <c r="Q242" s="12">
        <f>'Operating Budget'!P250</f>
        <v>124.5</v>
      </c>
      <c r="R242" s="12">
        <f>'Operating Budget'!Q250</f>
        <v>124.5</v>
      </c>
      <c r="S242" s="12" t="e">
        <f t="shared" si="29"/>
        <v>#REF!</v>
      </c>
    </row>
    <row r="243" spans="1:19">
      <c r="A243" s="11" t="e">
        <f>'Operating Budget'!#REF!</f>
        <v>#REF!</v>
      </c>
      <c r="B243" s="10" t="e">
        <f>'Operating Budget'!#REF!</f>
        <v>#REF!</v>
      </c>
      <c r="C243" s="48" t="e">
        <f>#REF!</f>
        <v>#REF!</v>
      </c>
      <c r="D243" s="49" t="e">
        <f>#REF!</f>
        <v>#REF!</v>
      </c>
      <c r="E243" s="49" t="e">
        <f>#REF!</f>
        <v>#REF!</v>
      </c>
      <c r="F243" s="50" t="e">
        <f>#REF!</f>
        <v>#REF!</v>
      </c>
      <c r="G243" s="12" t="e">
        <f>'Operating Budget'!#REF!</f>
        <v>#REF!</v>
      </c>
      <c r="H243" s="12" t="e">
        <f>'Operating Budget'!#REF!</f>
        <v>#REF!</v>
      </c>
      <c r="I243" s="12" t="e">
        <f>'Operating Budget'!#REF!</f>
        <v>#REF!</v>
      </c>
      <c r="J243" s="12" t="e">
        <f>'Operating Budget'!#REF!</f>
        <v>#REF!</v>
      </c>
      <c r="K243" s="12" t="e">
        <f>'Operating Budget'!#REF!</f>
        <v>#REF!</v>
      </c>
      <c r="L243" s="12" t="e">
        <f>'Operating Budget'!#REF!</f>
        <v>#REF!</v>
      </c>
      <c r="M243" s="12" t="e">
        <f>'Operating Budget'!#REF!</f>
        <v>#REF!</v>
      </c>
      <c r="N243" s="12" t="e">
        <f>'Operating Budget'!#REF!</f>
        <v>#REF!</v>
      </c>
      <c r="O243" s="12" t="e">
        <f>'Operating Budget'!#REF!</f>
        <v>#REF!</v>
      </c>
      <c r="P243" s="12" t="e">
        <f>'Operating Budget'!#REF!</f>
        <v>#REF!</v>
      </c>
      <c r="Q243" s="12" t="e">
        <f>'Operating Budget'!#REF!</f>
        <v>#REF!</v>
      </c>
      <c r="R243" s="12" t="e">
        <f>'Operating Budget'!#REF!</f>
        <v>#REF!</v>
      </c>
      <c r="S243" s="12" t="e">
        <f t="shared" si="29"/>
        <v>#REF!</v>
      </c>
    </row>
    <row r="244" spans="1:19">
      <c r="A244" s="11">
        <f>'Operating Budget'!A251</f>
        <v>6590</v>
      </c>
      <c r="B244" s="10" t="str">
        <f>'Operating Budget'!B251</f>
        <v>Security Patrol</v>
      </c>
      <c r="C244" s="48" t="e">
        <f>#REF!</f>
        <v>#REF!</v>
      </c>
      <c r="D244" s="49" t="e">
        <f>#REF!</f>
        <v>#REF!</v>
      </c>
      <c r="E244" s="49" t="e">
        <f>#REF!</f>
        <v>#REF!</v>
      </c>
      <c r="F244" s="50" t="e">
        <f>#REF!</f>
        <v>#REF!</v>
      </c>
      <c r="G244" s="12" t="e">
        <f>'Operating Budget'!#REF!</f>
        <v>#REF!</v>
      </c>
      <c r="H244" s="12" t="e">
        <f>'Operating Budget'!#REF!</f>
        <v>#REF!</v>
      </c>
      <c r="I244" s="12" t="e">
        <f>'Operating Budget'!#REF!</f>
        <v>#REF!</v>
      </c>
      <c r="J244" s="12">
        <f>'Operating Budget'!F251</f>
        <v>0</v>
      </c>
      <c r="K244" s="12">
        <f>'Operating Budget'!J251</f>
        <v>0</v>
      </c>
      <c r="L244" s="12">
        <f>'Operating Budget'!K251</f>
        <v>0</v>
      </c>
      <c r="M244" s="12">
        <f>'Operating Budget'!L251</f>
        <v>0</v>
      </c>
      <c r="N244" s="12">
        <f>'Operating Budget'!M251</f>
        <v>0</v>
      </c>
      <c r="O244" s="12">
        <f>'Operating Budget'!N251</f>
        <v>0</v>
      </c>
      <c r="P244" s="12">
        <f>'Operating Budget'!O251</f>
        <v>0</v>
      </c>
      <c r="Q244" s="12">
        <f>'Operating Budget'!P251</f>
        <v>0</v>
      </c>
      <c r="R244" s="12">
        <f>'Operating Budget'!Q251</f>
        <v>0</v>
      </c>
      <c r="S244" s="12" t="e">
        <f t="shared" si="29"/>
        <v>#REF!</v>
      </c>
    </row>
    <row r="245" spans="1:19">
      <c r="A245" s="11">
        <f>'Operating Budget'!A252</f>
        <v>6591</v>
      </c>
      <c r="B245" s="10" t="str">
        <f>'Operating Budget'!B252</f>
        <v>Parking Garage</v>
      </c>
      <c r="C245" s="48" t="e">
        <f>#REF!</f>
        <v>#REF!</v>
      </c>
      <c r="D245" s="49" t="e">
        <f>#REF!</f>
        <v>#REF!</v>
      </c>
      <c r="E245" s="49" t="e">
        <f>#REF!</f>
        <v>#REF!</v>
      </c>
      <c r="F245" s="50" t="e">
        <f>#REF!</f>
        <v>#REF!</v>
      </c>
      <c r="G245" s="12" t="e">
        <f>'Operating Budget'!#REF!</f>
        <v>#REF!</v>
      </c>
      <c r="H245" s="12" t="e">
        <f>'Operating Budget'!#REF!</f>
        <v>#REF!</v>
      </c>
      <c r="I245" s="12" t="e">
        <f>'Operating Budget'!#REF!</f>
        <v>#REF!</v>
      </c>
      <c r="J245" s="12">
        <f>'Operating Budget'!F252</f>
        <v>0</v>
      </c>
      <c r="K245" s="12">
        <f>'Operating Budget'!J252</f>
        <v>0</v>
      </c>
      <c r="L245" s="12">
        <f>'Operating Budget'!K252</f>
        <v>0</v>
      </c>
      <c r="M245" s="12">
        <f>'Operating Budget'!L252</f>
        <v>0</v>
      </c>
      <c r="N245" s="12">
        <f>'Operating Budget'!M252</f>
        <v>0</v>
      </c>
      <c r="O245" s="12">
        <f>'Operating Budget'!N252</f>
        <v>0</v>
      </c>
      <c r="P245" s="12">
        <f>'Operating Budget'!O252</f>
        <v>0</v>
      </c>
      <c r="Q245" s="12">
        <f>'Operating Budget'!P252</f>
        <v>0</v>
      </c>
      <c r="R245" s="12">
        <f>'Operating Budget'!Q252</f>
        <v>0</v>
      </c>
      <c r="S245" s="12" t="e">
        <f t="shared" si="29"/>
        <v>#REF!</v>
      </c>
    </row>
    <row r="246" spans="1:19">
      <c r="A246" s="11">
        <f>'Operating Budget'!A253</f>
        <v>6610</v>
      </c>
      <c r="B246" s="10" t="str">
        <f>'Operating Budget'!B253</f>
        <v>Trash - Door to Door Pick Up</v>
      </c>
      <c r="C246" s="48" t="e">
        <f>#REF!</f>
        <v>#REF!</v>
      </c>
      <c r="D246" s="49" t="e">
        <f>#REF!</f>
        <v>#REF!</v>
      </c>
      <c r="E246" s="49" t="e">
        <f>#REF!</f>
        <v>#REF!</v>
      </c>
      <c r="F246" s="50" t="e">
        <f>#REF!</f>
        <v>#REF!</v>
      </c>
      <c r="G246" s="12" t="e">
        <f>'Operating Budget'!#REF!</f>
        <v>#REF!</v>
      </c>
      <c r="H246" s="12" t="e">
        <f>'Operating Budget'!#REF!</f>
        <v>#REF!</v>
      </c>
      <c r="I246" s="12" t="e">
        <f>'Operating Budget'!#REF!</f>
        <v>#REF!</v>
      </c>
      <c r="J246" s="12">
        <f>'Operating Budget'!F253</f>
        <v>212.60000000000002</v>
      </c>
      <c r="K246" s="12">
        <f>'Operating Budget'!J253</f>
        <v>457.09000000000003</v>
      </c>
      <c r="L246" s="12">
        <f>'Operating Budget'!K253</f>
        <v>722.84</v>
      </c>
      <c r="M246" s="12">
        <f>'Operating Budget'!L253</f>
        <v>871.66000000000008</v>
      </c>
      <c r="N246" s="12">
        <f>'Operating Budget'!M253</f>
        <v>871.66000000000008</v>
      </c>
      <c r="O246" s="12">
        <f>'Operating Budget'!N253</f>
        <v>871.66000000000008</v>
      </c>
      <c r="P246" s="12">
        <f>'Operating Budget'!O253</f>
        <v>871.66000000000008</v>
      </c>
      <c r="Q246" s="12">
        <f>'Operating Budget'!P253</f>
        <v>871.66000000000008</v>
      </c>
      <c r="R246" s="12">
        <f>'Operating Budget'!Q253</f>
        <v>871.66000000000008</v>
      </c>
      <c r="S246" s="12" t="e">
        <f t="shared" si="29"/>
        <v>#REF!</v>
      </c>
    </row>
    <row r="247" spans="1:19">
      <c r="A247" s="11">
        <f>'Operating Budget'!A254</f>
        <v>6620</v>
      </c>
      <c r="B247" s="10" t="str">
        <f>'Operating Budget'!B254</f>
        <v>Trash Disposal</v>
      </c>
      <c r="C247" s="48" t="e">
        <f>#REF!</f>
        <v>#REF!</v>
      </c>
      <c r="D247" s="49" t="e">
        <f>#REF!</f>
        <v>#REF!</v>
      </c>
      <c r="E247" s="49" t="e">
        <f>#REF!</f>
        <v>#REF!</v>
      </c>
      <c r="F247" s="50" t="e">
        <f>#REF!</f>
        <v>#REF!</v>
      </c>
      <c r="G247" s="12" t="e">
        <f>'Operating Budget'!#REF!</f>
        <v>#REF!</v>
      </c>
      <c r="H247" s="12" t="e">
        <f>'Operating Budget'!#REF!</f>
        <v>#REF!</v>
      </c>
      <c r="I247" s="12" t="e">
        <f>'Operating Budget'!#REF!</f>
        <v>#REF!</v>
      </c>
      <c r="J247" s="12">
        <f>'Operating Budget'!F254</f>
        <v>50</v>
      </c>
      <c r="K247" s="12">
        <f>'Operating Budget'!J254</f>
        <v>107.5</v>
      </c>
      <c r="L247" s="12">
        <f>'Operating Budget'!K254</f>
        <v>170</v>
      </c>
      <c r="M247" s="12">
        <f>'Operating Budget'!L254</f>
        <v>205</v>
      </c>
      <c r="N247" s="12">
        <f>'Operating Budget'!M254</f>
        <v>205</v>
      </c>
      <c r="O247" s="12">
        <f>'Operating Budget'!N254</f>
        <v>205</v>
      </c>
      <c r="P247" s="12">
        <f>'Operating Budget'!O254</f>
        <v>205</v>
      </c>
      <c r="Q247" s="12">
        <f>'Operating Budget'!P254</f>
        <v>205</v>
      </c>
      <c r="R247" s="12">
        <f>'Operating Budget'!Q254</f>
        <v>205</v>
      </c>
      <c r="S247" s="12" t="e">
        <f t="shared" si="29"/>
        <v>#REF!</v>
      </c>
    </row>
    <row r="248" spans="1:19">
      <c r="A248" s="11">
        <f>'Operating Budget'!A255</f>
        <v>6630</v>
      </c>
      <c r="B248" s="10" t="str">
        <f>'Operating Budget'!B255</f>
        <v>Window Washing</v>
      </c>
      <c r="C248" s="48" t="e">
        <f>#REF!</f>
        <v>#REF!</v>
      </c>
      <c r="D248" s="49" t="e">
        <f>#REF!</f>
        <v>#REF!</v>
      </c>
      <c r="E248" s="49" t="e">
        <f>#REF!</f>
        <v>#REF!</v>
      </c>
      <c r="F248" s="50" t="e">
        <f>#REF!</f>
        <v>#REF!</v>
      </c>
      <c r="G248" s="12" t="e">
        <f>'Operating Budget'!#REF!</f>
        <v>#REF!</v>
      </c>
      <c r="H248" s="12" t="e">
        <f>'Operating Budget'!#REF!</f>
        <v>#REF!</v>
      </c>
      <c r="I248" s="12" t="e">
        <f>'Operating Budget'!#REF!</f>
        <v>#REF!</v>
      </c>
      <c r="J248" s="12">
        <f>'Operating Budget'!F255</f>
        <v>0</v>
      </c>
      <c r="K248" s="12">
        <f>'Operating Budget'!J255</f>
        <v>0</v>
      </c>
      <c r="L248" s="12">
        <f>'Operating Budget'!K255</f>
        <v>0</v>
      </c>
      <c r="M248" s="12">
        <f>'Operating Budget'!L255</f>
        <v>0</v>
      </c>
      <c r="N248" s="12">
        <f>'Operating Budget'!M255</f>
        <v>0</v>
      </c>
      <c r="O248" s="12">
        <f>'Operating Budget'!N255</f>
        <v>0</v>
      </c>
      <c r="P248" s="12">
        <f>'Operating Budget'!O255</f>
        <v>0</v>
      </c>
      <c r="Q248" s="12">
        <f>'Operating Budget'!P255</f>
        <v>0</v>
      </c>
      <c r="R248" s="12">
        <f>'Operating Budget'!Q255</f>
        <v>0</v>
      </c>
      <c r="S248" s="12" t="e">
        <f t="shared" si="29"/>
        <v>#REF!</v>
      </c>
    </row>
    <row r="249" spans="1:19">
      <c r="C249" s="23"/>
      <c r="D249" s="17"/>
      <c r="E249" s="17"/>
      <c r="F249" s="24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</row>
    <row r="250" spans="1:19">
      <c r="B250" s="13" t="s">
        <v>194</v>
      </c>
      <c r="C250" s="30" t="e">
        <f t="shared" ref="C250:F250" si="30">SUM(C228:C248)</f>
        <v>#REF!</v>
      </c>
      <c r="D250" s="31" t="e">
        <f t="shared" si="30"/>
        <v>#REF!</v>
      </c>
      <c r="E250" s="31" t="e">
        <f t="shared" si="30"/>
        <v>#REF!</v>
      </c>
      <c r="F250" s="32" t="e">
        <f t="shared" si="30"/>
        <v>#REF!</v>
      </c>
      <c r="G250" s="39" t="e">
        <f>SUM(G228:G248)</f>
        <v>#REF!</v>
      </c>
      <c r="H250" s="39" t="e">
        <f t="shared" ref="H250:S250" si="31">SUM(H228:H248)</f>
        <v>#REF!</v>
      </c>
      <c r="I250" s="39" t="e">
        <f t="shared" si="31"/>
        <v>#REF!</v>
      </c>
      <c r="J250" s="39" t="e">
        <f t="shared" si="31"/>
        <v>#REF!</v>
      </c>
      <c r="K250" s="39" t="e">
        <f t="shared" si="31"/>
        <v>#REF!</v>
      </c>
      <c r="L250" s="39" t="e">
        <f t="shared" si="31"/>
        <v>#REF!</v>
      </c>
      <c r="M250" s="39" t="e">
        <f t="shared" si="31"/>
        <v>#REF!</v>
      </c>
      <c r="N250" s="39" t="e">
        <f t="shared" si="31"/>
        <v>#REF!</v>
      </c>
      <c r="O250" s="39" t="e">
        <f t="shared" si="31"/>
        <v>#REF!</v>
      </c>
      <c r="P250" s="39" t="e">
        <f t="shared" si="31"/>
        <v>#REF!</v>
      </c>
      <c r="Q250" s="39" t="e">
        <f t="shared" si="31"/>
        <v>#REF!</v>
      </c>
      <c r="R250" s="39" t="e">
        <f t="shared" si="31"/>
        <v>#REF!</v>
      </c>
      <c r="S250" s="39" t="e">
        <f t="shared" si="31"/>
        <v>#REF!</v>
      </c>
    </row>
    <row r="251" spans="1:19">
      <c r="C251" s="21"/>
      <c r="F251" s="2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</row>
    <row r="252" spans="1:19">
      <c r="B252" s="13" t="s">
        <v>8</v>
      </c>
      <c r="C252" s="25"/>
      <c r="D252" s="13"/>
      <c r="E252" s="13"/>
      <c r="F252" s="26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</row>
    <row r="253" spans="1:19">
      <c r="C253" s="21"/>
      <c r="F253" s="2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</row>
    <row r="254" spans="1:19">
      <c r="A254" s="11">
        <f>'Operating Budget'!A265</f>
        <v>8010</v>
      </c>
      <c r="B254" s="10" t="str">
        <f>'Operating Budget'!B265</f>
        <v>Ad Valorem (Property) Taxes</v>
      </c>
      <c r="C254" s="48" t="e">
        <f>#REF!</f>
        <v>#REF!</v>
      </c>
      <c r="D254" s="49" t="e">
        <f>#REF!</f>
        <v>#REF!</v>
      </c>
      <c r="E254" s="49" t="e">
        <f>#REF!</f>
        <v>#REF!</v>
      </c>
      <c r="F254" s="50" t="e">
        <f>#REF!</f>
        <v>#REF!</v>
      </c>
      <c r="G254" s="12" t="e">
        <f>'Operating Budget'!#REF!</f>
        <v>#REF!</v>
      </c>
      <c r="H254" s="12" t="e">
        <f>'Operating Budget'!#REF!</f>
        <v>#REF!</v>
      </c>
      <c r="I254" s="12" t="e">
        <f>'Operating Budget'!#REF!</f>
        <v>#REF!</v>
      </c>
      <c r="J254" s="12">
        <f>'Operating Budget'!F265</f>
        <v>7000</v>
      </c>
      <c r="K254" s="12">
        <f>'Operating Budget'!J265</f>
        <v>7000</v>
      </c>
      <c r="L254" s="12">
        <f>'Operating Budget'!K265</f>
        <v>7000</v>
      </c>
      <c r="M254" s="12">
        <f>'Operating Budget'!L265</f>
        <v>7000</v>
      </c>
      <c r="N254" s="12">
        <f>'Operating Budget'!M265</f>
        <v>7000</v>
      </c>
      <c r="O254" s="12">
        <f>'Operating Budget'!N265</f>
        <v>7000</v>
      </c>
      <c r="P254" s="12">
        <f>'Operating Budget'!O265</f>
        <v>7000</v>
      </c>
      <c r="Q254" s="12">
        <f>'Operating Budget'!P265</f>
        <v>7000</v>
      </c>
      <c r="R254" s="12">
        <f>'Operating Budget'!Q265</f>
        <v>7000</v>
      </c>
      <c r="S254" s="12" t="e">
        <f>SUM(G254:R254)</f>
        <v>#REF!</v>
      </c>
    </row>
    <row r="255" spans="1:19">
      <c r="A255" s="11">
        <f>'Operating Budget'!A266</f>
        <v>8015</v>
      </c>
      <c r="B255" s="10" t="str">
        <f>'Operating Budget'!B266</f>
        <v>Personal Property Taxes</v>
      </c>
      <c r="C255" s="48" t="e">
        <f>#REF!</f>
        <v>#REF!</v>
      </c>
      <c r="D255" s="49" t="e">
        <f>#REF!</f>
        <v>#REF!</v>
      </c>
      <c r="E255" s="49" t="e">
        <f>#REF!</f>
        <v>#REF!</v>
      </c>
      <c r="F255" s="50" t="e">
        <f>#REF!</f>
        <v>#REF!</v>
      </c>
      <c r="G255" s="12" t="e">
        <f>'Operating Budget'!#REF!</f>
        <v>#REF!</v>
      </c>
      <c r="H255" s="12" t="e">
        <f>'Operating Budget'!#REF!</f>
        <v>#REF!</v>
      </c>
      <c r="I255" s="12" t="e">
        <f>'Operating Budget'!#REF!</f>
        <v>#REF!</v>
      </c>
      <c r="J255" s="12">
        <f>'Operating Budget'!F266</f>
        <v>0</v>
      </c>
      <c r="K255" s="12">
        <f>'Operating Budget'!J266</f>
        <v>0</v>
      </c>
      <c r="L255" s="12">
        <f>'Operating Budget'!K266</f>
        <v>0</v>
      </c>
      <c r="M255" s="12">
        <f>'Operating Budget'!L266</f>
        <v>0</v>
      </c>
      <c r="N255" s="12">
        <f>'Operating Budget'!M266</f>
        <v>0</v>
      </c>
      <c r="O255" s="12">
        <f>'Operating Budget'!N266</f>
        <v>0</v>
      </c>
      <c r="P255" s="12">
        <f>'Operating Budget'!O266</f>
        <v>0</v>
      </c>
      <c r="Q255" s="12">
        <f>'Operating Budget'!P266</f>
        <v>0</v>
      </c>
      <c r="R255" s="12">
        <f>'Operating Budget'!Q266</f>
        <v>0</v>
      </c>
      <c r="S255" s="12" t="e">
        <f t="shared" ref="S255:S266" si="32">SUM(G255:R255)</f>
        <v>#REF!</v>
      </c>
    </row>
    <row r="256" spans="1:19">
      <c r="A256" s="11" t="e">
        <f>'Operating Budget'!#REF!</f>
        <v>#REF!</v>
      </c>
      <c r="B256" s="10" t="e">
        <f>'Operating Budget'!#REF!</f>
        <v>#REF!</v>
      </c>
      <c r="C256" s="48" t="e">
        <f>#REF!</f>
        <v>#REF!</v>
      </c>
      <c r="D256" s="49" t="e">
        <f>#REF!</f>
        <v>#REF!</v>
      </c>
      <c r="E256" s="49" t="e">
        <f>#REF!</f>
        <v>#REF!</v>
      </c>
      <c r="F256" s="50" t="e">
        <f>#REF!</f>
        <v>#REF!</v>
      </c>
      <c r="G256" s="12" t="e">
        <f>'Operating Budget'!#REF!</f>
        <v>#REF!</v>
      </c>
      <c r="H256" s="12" t="e">
        <f>'Operating Budget'!#REF!</f>
        <v>#REF!</v>
      </c>
      <c r="I256" s="12" t="e">
        <f>'Operating Budget'!#REF!</f>
        <v>#REF!</v>
      </c>
      <c r="J256" s="12" t="e">
        <f>'Operating Budget'!#REF!</f>
        <v>#REF!</v>
      </c>
      <c r="K256" s="12" t="e">
        <f>'Operating Budget'!#REF!</f>
        <v>#REF!</v>
      </c>
      <c r="L256" s="12" t="e">
        <f>'Operating Budget'!#REF!</f>
        <v>#REF!</v>
      </c>
      <c r="M256" s="12" t="e">
        <f>'Operating Budget'!#REF!</f>
        <v>#REF!</v>
      </c>
      <c r="N256" s="12" t="e">
        <f>'Operating Budget'!#REF!</f>
        <v>#REF!</v>
      </c>
      <c r="O256" s="12" t="e">
        <f>'Operating Budget'!#REF!</f>
        <v>#REF!</v>
      </c>
      <c r="P256" s="12" t="e">
        <f>'Operating Budget'!#REF!</f>
        <v>#REF!</v>
      </c>
      <c r="Q256" s="12" t="e">
        <f>'Operating Budget'!#REF!</f>
        <v>#REF!</v>
      </c>
      <c r="R256" s="12" t="e">
        <f>'Operating Budget'!#REF!</f>
        <v>#REF!</v>
      </c>
      <c r="S256" s="12" t="e">
        <f t="shared" si="32"/>
        <v>#REF!</v>
      </c>
    </row>
    <row r="257" spans="1:19">
      <c r="A257" s="11" t="e">
        <f>'Operating Budget'!#REF!</f>
        <v>#REF!</v>
      </c>
      <c r="B257" s="10" t="e">
        <f>'Operating Budget'!#REF!</f>
        <v>#REF!</v>
      </c>
      <c r="C257" s="48" t="e">
        <f>#REF!</f>
        <v>#REF!</v>
      </c>
      <c r="D257" s="49" t="e">
        <f>#REF!</f>
        <v>#REF!</v>
      </c>
      <c r="E257" s="49" t="e">
        <f>#REF!</f>
        <v>#REF!</v>
      </c>
      <c r="F257" s="50" t="e">
        <f>#REF!</f>
        <v>#REF!</v>
      </c>
      <c r="G257" s="12" t="e">
        <f>'Operating Budget'!#REF!</f>
        <v>#REF!</v>
      </c>
      <c r="H257" s="12" t="e">
        <f>'Operating Budget'!#REF!</f>
        <v>#REF!</v>
      </c>
      <c r="I257" s="12" t="e">
        <f>'Operating Budget'!#REF!</f>
        <v>#REF!</v>
      </c>
      <c r="J257" s="12" t="e">
        <f>'Operating Budget'!#REF!</f>
        <v>#REF!</v>
      </c>
      <c r="K257" s="12" t="e">
        <f>'Operating Budget'!#REF!</f>
        <v>#REF!</v>
      </c>
      <c r="L257" s="12" t="e">
        <f>'Operating Budget'!#REF!</f>
        <v>#REF!</v>
      </c>
      <c r="M257" s="12" t="e">
        <f>'Operating Budget'!#REF!</f>
        <v>#REF!</v>
      </c>
      <c r="N257" s="12" t="e">
        <f>'Operating Budget'!#REF!</f>
        <v>#REF!</v>
      </c>
      <c r="O257" s="12" t="e">
        <f>'Operating Budget'!#REF!</f>
        <v>#REF!</v>
      </c>
      <c r="P257" s="12" t="e">
        <f>'Operating Budget'!#REF!</f>
        <v>#REF!</v>
      </c>
      <c r="Q257" s="12" t="e">
        <f>'Operating Budget'!#REF!</f>
        <v>#REF!</v>
      </c>
      <c r="R257" s="12" t="e">
        <f>'Operating Budget'!#REF!</f>
        <v>#REF!</v>
      </c>
      <c r="S257" s="12" t="e">
        <f t="shared" si="32"/>
        <v>#REF!</v>
      </c>
    </row>
    <row r="258" spans="1:19">
      <c r="A258" s="11">
        <f>'Operating Budget'!A267</f>
        <v>8025</v>
      </c>
      <c r="B258" s="10" t="str">
        <f>'Operating Budget'!B267</f>
        <v>Homeowners Association Fees</v>
      </c>
      <c r="C258" s="48" t="e">
        <f>#REF!</f>
        <v>#REF!</v>
      </c>
      <c r="D258" s="49" t="e">
        <f>#REF!</f>
        <v>#REF!</v>
      </c>
      <c r="E258" s="49" t="e">
        <f>#REF!</f>
        <v>#REF!</v>
      </c>
      <c r="F258" s="50" t="e">
        <f>#REF!</f>
        <v>#REF!</v>
      </c>
      <c r="G258" s="12" t="e">
        <f>'Operating Budget'!#REF!</f>
        <v>#REF!</v>
      </c>
      <c r="H258" s="12" t="e">
        <f>'Operating Budget'!#REF!</f>
        <v>#REF!</v>
      </c>
      <c r="I258" s="12" t="e">
        <f>'Operating Budget'!#REF!</f>
        <v>#REF!</v>
      </c>
      <c r="J258" s="12">
        <f>'Operating Budget'!F267</f>
        <v>0</v>
      </c>
      <c r="K258" s="12">
        <f>'Operating Budget'!J267</f>
        <v>0</v>
      </c>
      <c r="L258" s="12">
        <f>'Operating Budget'!K267</f>
        <v>0</v>
      </c>
      <c r="M258" s="12">
        <f>'Operating Budget'!L267</f>
        <v>0</v>
      </c>
      <c r="N258" s="12">
        <f>'Operating Budget'!M267</f>
        <v>0</v>
      </c>
      <c r="O258" s="12">
        <f>'Operating Budget'!N267</f>
        <v>0</v>
      </c>
      <c r="P258" s="12">
        <f>'Operating Budget'!O267</f>
        <v>0</v>
      </c>
      <c r="Q258" s="12">
        <f>'Operating Budget'!P267</f>
        <v>0</v>
      </c>
      <c r="R258" s="12">
        <f>'Operating Budget'!Q267</f>
        <v>0</v>
      </c>
      <c r="S258" s="12" t="e">
        <f t="shared" si="32"/>
        <v>#REF!</v>
      </c>
    </row>
    <row r="259" spans="1:19">
      <c r="A259" s="11" t="e">
        <f>'Operating Budget'!#REF!</f>
        <v>#REF!</v>
      </c>
      <c r="B259" s="10" t="e">
        <f>'Operating Budget'!#REF!</f>
        <v>#REF!</v>
      </c>
      <c r="C259" s="48" t="e">
        <f>#REF!</f>
        <v>#REF!</v>
      </c>
      <c r="D259" s="49" t="e">
        <f>#REF!</f>
        <v>#REF!</v>
      </c>
      <c r="E259" s="49" t="e">
        <f>#REF!</f>
        <v>#REF!</v>
      </c>
      <c r="F259" s="50" t="e">
        <f>#REF!</f>
        <v>#REF!</v>
      </c>
      <c r="G259" s="12" t="e">
        <f>'Operating Budget'!#REF!</f>
        <v>#REF!</v>
      </c>
      <c r="H259" s="12" t="e">
        <f>'Operating Budget'!#REF!</f>
        <v>#REF!</v>
      </c>
      <c r="I259" s="12" t="e">
        <f>'Operating Budget'!#REF!</f>
        <v>#REF!</v>
      </c>
      <c r="J259" s="12" t="e">
        <f>'Operating Budget'!#REF!</f>
        <v>#REF!</v>
      </c>
      <c r="K259" s="12" t="e">
        <f>'Operating Budget'!#REF!</f>
        <v>#REF!</v>
      </c>
      <c r="L259" s="12" t="e">
        <f>'Operating Budget'!#REF!</f>
        <v>#REF!</v>
      </c>
      <c r="M259" s="12" t="e">
        <f>'Operating Budget'!#REF!</f>
        <v>#REF!</v>
      </c>
      <c r="N259" s="12" t="e">
        <f>'Operating Budget'!#REF!</f>
        <v>#REF!</v>
      </c>
      <c r="O259" s="12" t="e">
        <f>'Operating Budget'!#REF!</f>
        <v>#REF!</v>
      </c>
      <c r="P259" s="12" t="e">
        <f>'Operating Budget'!#REF!</f>
        <v>#REF!</v>
      </c>
      <c r="Q259" s="12" t="e">
        <f>'Operating Budget'!#REF!</f>
        <v>#REF!</v>
      </c>
      <c r="R259" s="12" t="e">
        <f>'Operating Budget'!#REF!</f>
        <v>#REF!</v>
      </c>
      <c r="S259" s="12" t="e">
        <f t="shared" si="32"/>
        <v>#REF!</v>
      </c>
    </row>
    <row r="260" spans="1:19">
      <c r="A260" s="11">
        <f>'Operating Budget'!A268</f>
        <v>8100</v>
      </c>
      <c r="B260" s="10" t="str">
        <f>'Operating Budget'!B268</f>
        <v>Property Insurance</v>
      </c>
      <c r="C260" s="48" t="e">
        <f>#REF!</f>
        <v>#REF!</v>
      </c>
      <c r="D260" s="49" t="e">
        <f>#REF!</f>
        <v>#REF!</v>
      </c>
      <c r="E260" s="49" t="e">
        <f>#REF!</f>
        <v>#REF!</v>
      </c>
      <c r="F260" s="50" t="e">
        <f>#REF!</f>
        <v>#REF!</v>
      </c>
      <c r="G260" s="12" t="e">
        <f>'Operating Budget'!#REF!</f>
        <v>#REF!</v>
      </c>
      <c r="H260" s="12" t="e">
        <f>'Operating Budget'!#REF!</f>
        <v>#REF!</v>
      </c>
      <c r="I260" s="12" t="e">
        <f>'Operating Budget'!#REF!</f>
        <v>#REF!</v>
      </c>
      <c r="J260" s="12">
        <f>'Operating Budget'!F268</f>
        <v>3752.25</v>
      </c>
      <c r="K260" s="12">
        <f>'Operating Budget'!J268</f>
        <v>3752.25</v>
      </c>
      <c r="L260" s="12">
        <f>'Operating Budget'!K268</f>
        <v>3752.25</v>
      </c>
      <c r="M260" s="12">
        <f>'Operating Budget'!L268</f>
        <v>3752.25</v>
      </c>
      <c r="N260" s="12">
        <f>'Operating Budget'!M268</f>
        <v>3752.25</v>
      </c>
      <c r="O260" s="12">
        <f>'Operating Budget'!N268</f>
        <v>3752.25</v>
      </c>
      <c r="P260" s="12">
        <f>'Operating Budget'!O268</f>
        <v>3752.25</v>
      </c>
      <c r="Q260" s="12">
        <f>'Operating Budget'!P268</f>
        <v>3752.25</v>
      </c>
      <c r="R260" s="12">
        <f>'Operating Budget'!Q268</f>
        <v>3752.25</v>
      </c>
      <c r="S260" s="12" t="e">
        <f t="shared" si="32"/>
        <v>#REF!</v>
      </c>
    </row>
    <row r="261" spans="1:19">
      <c r="A261" s="11" t="e">
        <f>'Operating Budget'!#REF!</f>
        <v>#REF!</v>
      </c>
      <c r="B261" s="10" t="e">
        <f>'Operating Budget'!#REF!</f>
        <v>#REF!</v>
      </c>
      <c r="C261" s="48" t="e">
        <f>#REF!</f>
        <v>#REF!</v>
      </c>
      <c r="D261" s="49" t="e">
        <f>#REF!</f>
        <v>#REF!</v>
      </c>
      <c r="E261" s="49" t="e">
        <f>#REF!</f>
        <v>#REF!</v>
      </c>
      <c r="F261" s="50" t="e">
        <f>#REF!</f>
        <v>#REF!</v>
      </c>
      <c r="G261" s="12" t="e">
        <f>'Operating Budget'!#REF!</f>
        <v>#REF!</v>
      </c>
      <c r="H261" s="12" t="e">
        <f>'Operating Budget'!#REF!</f>
        <v>#REF!</v>
      </c>
      <c r="I261" s="12" t="e">
        <f>'Operating Budget'!#REF!</f>
        <v>#REF!</v>
      </c>
      <c r="J261" s="12" t="e">
        <f>'Operating Budget'!#REF!</f>
        <v>#REF!</v>
      </c>
      <c r="K261" s="12" t="e">
        <f>'Operating Budget'!#REF!</f>
        <v>#REF!</v>
      </c>
      <c r="L261" s="12" t="e">
        <f>'Operating Budget'!#REF!</f>
        <v>#REF!</v>
      </c>
      <c r="M261" s="12" t="e">
        <f>'Operating Budget'!#REF!</f>
        <v>#REF!</v>
      </c>
      <c r="N261" s="12" t="e">
        <f>'Operating Budget'!#REF!</f>
        <v>#REF!</v>
      </c>
      <c r="O261" s="12" t="e">
        <f>'Operating Budget'!#REF!</f>
        <v>#REF!</v>
      </c>
      <c r="P261" s="12" t="e">
        <f>'Operating Budget'!#REF!</f>
        <v>#REF!</v>
      </c>
      <c r="Q261" s="12" t="e">
        <f>'Operating Budget'!#REF!</f>
        <v>#REF!</v>
      </c>
      <c r="R261" s="12" t="e">
        <f>'Operating Budget'!#REF!</f>
        <v>#REF!</v>
      </c>
      <c r="S261" s="12" t="e">
        <f t="shared" si="32"/>
        <v>#REF!</v>
      </c>
    </row>
    <row r="262" spans="1:19">
      <c r="A262" s="11">
        <f>'Operating Budget'!A134</f>
        <v>8111</v>
      </c>
      <c r="B262" s="10" t="str">
        <f>'Operating Budget'!B134</f>
        <v>Renters Insurance</v>
      </c>
      <c r="C262" s="48" t="e">
        <f>#REF!</f>
        <v>#REF!</v>
      </c>
      <c r="D262" s="49" t="e">
        <f>#REF!</f>
        <v>#REF!</v>
      </c>
      <c r="E262" s="49" t="e">
        <f>#REF!</f>
        <v>#REF!</v>
      </c>
      <c r="F262" s="50" t="e">
        <f>#REF!</f>
        <v>#REF!</v>
      </c>
      <c r="G262" s="12" t="e">
        <f>'Operating Budget'!#REF!</f>
        <v>#REF!</v>
      </c>
      <c r="H262" s="12" t="e">
        <f>'Operating Budget'!#REF!</f>
        <v>#REF!</v>
      </c>
      <c r="I262" s="12" t="e">
        <f>'Operating Budget'!#REF!</f>
        <v>#REF!</v>
      </c>
      <c r="J262" s="12">
        <f>'Operating Budget'!F134</f>
        <v>0</v>
      </c>
      <c r="K262" s="12">
        <f>'Operating Budget'!J134</f>
        <v>0</v>
      </c>
      <c r="L262" s="12">
        <f>'Operating Budget'!K134</f>
        <v>0</v>
      </c>
      <c r="M262" s="12">
        <f>'Operating Budget'!L134</f>
        <v>0</v>
      </c>
      <c r="N262" s="12">
        <f>'Operating Budget'!M134</f>
        <v>0</v>
      </c>
      <c r="O262" s="12">
        <f>'Operating Budget'!N134</f>
        <v>0</v>
      </c>
      <c r="P262" s="12">
        <f>'Operating Budget'!O134</f>
        <v>0</v>
      </c>
      <c r="Q262" s="12">
        <f>'Operating Budget'!P134</f>
        <v>0</v>
      </c>
      <c r="R262" s="12">
        <f>'Operating Budget'!Q134</f>
        <v>0</v>
      </c>
      <c r="S262" s="12" t="e">
        <f t="shared" si="32"/>
        <v>#REF!</v>
      </c>
    </row>
    <row r="263" spans="1:19">
      <c r="A263" s="11" t="e">
        <f>'Operating Budget'!#REF!</f>
        <v>#REF!</v>
      </c>
      <c r="B263" s="10" t="e">
        <f>'Operating Budget'!#REF!</f>
        <v>#REF!</v>
      </c>
      <c r="C263" s="48" t="e">
        <f>#REF!</f>
        <v>#REF!</v>
      </c>
      <c r="D263" s="49" t="e">
        <f>#REF!</f>
        <v>#REF!</v>
      </c>
      <c r="E263" s="49" t="e">
        <f>#REF!</f>
        <v>#REF!</v>
      </c>
      <c r="F263" s="50" t="e">
        <f>#REF!</f>
        <v>#REF!</v>
      </c>
      <c r="G263" s="12" t="e">
        <f>'Operating Budget'!#REF!</f>
        <v>#REF!</v>
      </c>
      <c r="H263" s="12" t="e">
        <f>'Operating Budget'!#REF!</f>
        <v>#REF!</v>
      </c>
      <c r="I263" s="12" t="e">
        <f>'Operating Budget'!#REF!</f>
        <v>#REF!</v>
      </c>
      <c r="J263" s="12" t="e">
        <f>'Operating Budget'!#REF!</f>
        <v>#REF!</v>
      </c>
      <c r="K263" s="12" t="e">
        <f>'Operating Budget'!#REF!</f>
        <v>#REF!</v>
      </c>
      <c r="L263" s="12" t="e">
        <f>'Operating Budget'!#REF!</f>
        <v>#REF!</v>
      </c>
      <c r="M263" s="12" t="e">
        <f>'Operating Budget'!#REF!</f>
        <v>#REF!</v>
      </c>
      <c r="N263" s="12" t="e">
        <f>'Operating Budget'!#REF!</f>
        <v>#REF!</v>
      </c>
      <c r="O263" s="12" t="e">
        <f>'Operating Budget'!#REF!</f>
        <v>#REF!</v>
      </c>
      <c r="P263" s="12" t="e">
        <f>'Operating Budget'!#REF!</f>
        <v>#REF!</v>
      </c>
      <c r="Q263" s="12" t="e">
        <f>'Operating Budget'!#REF!</f>
        <v>#REF!</v>
      </c>
      <c r="R263" s="12" t="e">
        <f>'Operating Budget'!#REF!</f>
        <v>#REF!</v>
      </c>
      <c r="S263" s="12" t="e">
        <f t="shared" si="32"/>
        <v>#REF!</v>
      </c>
    </row>
    <row r="264" spans="1:19">
      <c r="A264" s="11">
        <f>'Operating Budget'!A269</f>
        <v>8145</v>
      </c>
      <c r="B264" s="10" t="str">
        <f>'Operating Budget'!B269</f>
        <v>Mortgage Insurance Premium</v>
      </c>
      <c r="C264" s="48" t="e">
        <f>#REF!</f>
        <v>#REF!</v>
      </c>
      <c r="D264" s="49" t="e">
        <f>#REF!</f>
        <v>#REF!</v>
      </c>
      <c r="E264" s="49" t="e">
        <f>#REF!</f>
        <v>#REF!</v>
      </c>
      <c r="F264" s="50" t="e">
        <f>#REF!</f>
        <v>#REF!</v>
      </c>
      <c r="G264" s="12" t="e">
        <f>'Operating Budget'!#REF!</f>
        <v>#REF!</v>
      </c>
      <c r="H264" s="12" t="e">
        <f>'Operating Budget'!#REF!</f>
        <v>#REF!</v>
      </c>
      <c r="I264" s="12" t="e">
        <f>'Operating Budget'!#REF!</f>
        <v>#REF!</v>
      </c>
      <c r="J264" s="12">
        <f>'Operating Budget'!F269</f>
        <v>0</v>
      </c>
      <c r="K264" s="12">
        <f>'Operating Budget'!J269</f>
        <v>0</v>
      </c>
      <c r="L264" s="12">
        <f>'Operating Budget'!K269</f>
        <v>0</v>
      </c>
      <c r="M264" s="12">
        <f>'Operating Budget'!L269</f>
        <v>0</v>
      </c>
      <c r="N264" s="12">
        <f>'Operating Budget'!M269</f>
        <v>0</v>
      </c>
      <c r="O264" s="12">
        <f>'Operating Budget'!N269</f>
        <v>0</v>
      </c>
      <c r="P264" s="12">
        <f>'Operating Budget'!O269</f>
        <v>0</v>
      </c>
      <c r="Q264" s="12">
        <f>'Operating Budget'!P269</f>
        <v>0</v>
      </c>
      <c r="R264" s="12">
        <f>'Operating Budget'!Q269</f>
        <v>0</v>
      </c>
      <c r="S264" s="12" t="e">
        <f t="shared" si="32"/>
        <v>#REF!</v>
      </c>
    </row>
    <row r="265" spans="1:19">
      <c r="A265" s="11">
        <f>'Operating Budget'!A270</f>
        <v>8150</v>
      </c>
      <c r="B265" s="10" t="str">
        <f>'Operating Budget'!B270</f>
        <v>Other Insurance</v>
      </c>
      <c r="C265" s="48" t="e">
        <f>#REF!</f>
        <v>#REF!</v>
      </c>
      <c r="D265" s="49" t="e">
        <f>#REF!</f>
        <v>#REF!</v>
      </c>
      <c r="E265" s="49" t="e">
        <f>#REF!</f>
        <v>#REF!</v>
      </c>
      <c r="F265" s="50" t="e">
        <f>#REF!</f>
        <v>#REF!</v>
      </c>
      <c r="G265" s="12" t="e">
        <f>'Operating Budget'!#REF!</f>
        <v>#REF!</v>
      </c>
      <c r="H265" s="12" t="e">
        <f>'Operating Budget'!#REF!</f>
        <v>#REF!</v>
      </c>
      <c r="I265" s="12" t="e">
        <f>'Operating Budget'!#REF!</f>
        <v>#REF!</v>
      </c>
      <c r="J265" s="12">
        <f>'Operating Budget'!F270</f>
        <v>0</v>
      </c>
      <c r="K265" s="12">
        <f>'Operating Budget'!J270</f>
        <v>0</v>
      </c>
      <c r="L265" s="12">
        <f>'Operating Budget'!K270</f>
        <v>0</v>
      </c>
      <c r="M265" s="12">
        <f>'Operating Budget'!L270</f>
        <v>0</v>
      </c>
      <c r="N265" s="12">
        <f>'Operating Budget'!M270</f>
        <v>0</v>
      </c>
      <c r="O265" s="12">
        <f>'Operating Budget'!N270</f>
        <v>0</v>
      </c>
      <c r="P265" s="12">
        <f>'Operating Budget'!O270</f>
        <v>0</v>
      </c>
      <c r="Q265" s="12">
        <f>'Operating Budget'!P270</f>
        <v>0</v>
      </c>
      <c r="R265" s="12">
        <f>'Operating Budget'!Q270</f>
        <v>0</v>
      </c>
      <c r="S265" s="12" t="e">
        <f t="shared" si="32"/>
        <v>#REF!</v>
      </c>
    </row>
    <row r="266" spans="1:19">
      <c r="A266" s="11">
        <f>'Operating Budget'!A271</f>
        <v>8155</v>
      </c>
      <c r="B266" s="10" t="str">
        <f>'Operating Budget'!B271</f>
        <v>Property Tax Service &amp; Consulting Fee</v>
      </c>
      <c r="C266" s="48" t="e">
        <f>#REF!</f>
        <v>#REF!</v>
      </c>
      <c r="D266" s="49" t="e">
        <f>#REF!</f>
        <v>#REF!</v>
      </c>
      <c r="E266" s="49" t="e">
        <f>#REF!</f>
        <v>#REF!</v>
      </c>
      <c r="F266" s="50" t="e">
        <f>#REF!</f>
        <v>#REF!</v>
      </c>
      <c r="G266" s="12" t="e">
        <f>'Operating Budget'!#REF!</f>
        <v>#REF!</v>
      </c>
      <c r="H266" s="12" t="e">
        <f>'Operating Budget'!#REF!</f>
        <v>#REF!</v>
      </c>
      <c r="I266" s="12" t="e">
        <f>'Operating Budget'!#REF!</f>
        <v>#REF!</v>
      </c>
      <c r="J266" s="12">
        <f>'Operating Budget'!F271</f>
        <v>0</v>
      </c>
      <c r="K266" s="12">
        <f>'Operating Budget'!J271</f>
        <v>0</v>
      </c>
      <c r="L266" s="12">
        <f>'Operating Budget'!K271</f>
        <v>0</v>
      </c>
      <c r="M266" s="12">
        <f>'Operating Budget'!L271</f>
        <v>0</v>
      </c>
      <c r="N266" s="12">
        <f>'Operating Budget'!M271</f>
        <v>0</v>
      </c>
      <c r="O266" s="12">
        <f>'Operating Budget'!N271</f>
        <v>0</v>
      </c>
      <c r="P266" s="12">
        <f>'Operating Budget'!O271</f>
        <v>0</v>
      </c>
      <c r="Q266" s="12">
        <f>'Operating Budget'!P271</f>
        <v>0</v>
      </c>
      <c r="R266" s="12">
        <f>'Operating Budget'!Q271</f>
        <v>0</v>
      </c>
      <c r="S266" s="12" t="e">
        <f t="shared" si="32"/>
        <v>#REF!</v>
      </c>
    </row>
    <row r="267" spans="1:19">
      <c r="C267" s="23"/>
      <c r="D267" s="17"/>
      <c r="E267" s="17"/>
      <c r="F267" s="24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</row>
    <row r="268" spans="1:19">
      <c r="B268" s="13" t="s">
        <v>18</v>
      </c>
      <c r="C268" s="30" t="e">
        <f t="shared" ref="C268:F268" si="33">SUM(C254:C266)</f>
        <v>#REF!</v>
      </c>
      <c r="D268" s="31" t="e">
        <f t="shared" si="33"/>
        <v>#REF!</v>
      </c>
      <c r="E268" s="31" t="e">
        <f t="shared" si="33"/>
        <v>#REF!</v>
      </c>
      <c r="F268" s="32" t="e">
        <f t="shared" si="33"/>
        <v>#REF!</v>
      </c>
      <c r="G268" s="39" t="e">
        <f>SUM(G254:G266)</f>
        <v>#REF!</v>
      </c>
      <c r="H268" s="39" t="e">
        <f t="shared" ref="H268:S268" si="34">SUM(H254:H266)</f>
        <v>#REF!</v>
      </c>
      <c r="I268" s="39" t="e">
        <f t="shared" si="34"/>
        <v>#REF!</v>
      </c>
      <c r="J268" s="39" t="e">
        <f t="shared" si="34"/>
        <v>#REF!</v>
      </c>
      <c r="K268" s="39" t="e">
        <f t="shared" si="34"/>
        <v>#REF!</v>
      </c>
      <c r="L268" s="39" t="e">
        <f t="shared" si="34"/>
        <v>#REF!</v>
      </c>
      <c r="M268" s="39" t="e">
        <f t="shared" si="34"/>
        <v>#REF!</v>
      </c>
      <c r="N268" s="39" t="e">
        <f t="shared" si="34"/>
        <v>#REF!</v>
      </c>
      <c r="O268" s="39" t="e">
        <f t="shared" si="34"/>
        <v>#REF!</v>
      </c>
      <c r="P268" s="39" t="e">
        <f t="shared" si="34"/>
        <v>#REF!</v>
      </c>
      <c r="Q268" s="39" t="e">
        <f t="shared" si="34"/>
        <v>#REF!</v>
      </c>
      <c r="R268" s="39" t="e">
        <f t="shared" si="34"/>
        <v>#REF!</v>
      </c>
      <c r="S268" s="39" t="e">
        <f t="shared" si="34"/>
        <v>#REF!</v>
      </c>
    </row>
    <row r="269" spans="1:19">
      <c r="C269" s="23"/>
      <c r="D269" s="17"/>
      <c r="E269" s="17"/>
      <c r="F269" s="24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</row>
    <row r="270" spans="1:19">
      <c r="A270" s="11">
        <f>'Operating Budget'!A275</f>
        <v>7900</v>
      </c>
      <c r="B270" s="13" t="str">
        <f>'Operating Budget'!B275</f>
        <v>Management Fees</v>
      </c>
      <c r="C270" s="25"/>
      <c r="D270" s="13"/>
      <c r="E270" s="13"/>
      <c r="F270" s="26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>
        <f>SUM(G270:R270)</f>
        <v>0</v>
      </c>
    </row>
    <row r="271" spans="1:19">
      <c r="C271" s="21"/>
      <c r="F271" s="2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</row>
    <row r="272" spans="1:19" ht="15" thickBot="1">
      <c r="B272" s="13" t="s">
        <v>9</v>
      </c>
      <c r="C272" s="36" t="e">
        <f t="shared" ref="C272:F272" si="35">SUM(C86,C129,C145,C159,C206,C224,C250,C268,C270)</f>
        <v>#REF!</v>
      </c>
      <c r="D272" s="37" t="e">
        <f t="shared" si="35"/>
        <v>#REF!</v>
      </c>
      <c r="E272" s="37" t="e">
        <f t="shared" si="35"/>
        <v>#REF!</v>
      </c>
      <c r="F272" s="38" t="e">
        <f t="shared" si="35"/>
        <v>#REF!</v>
      </c>
      <c r="G272" s="15" t="e">
        <f>SUM(G86,G129,G145,G159,G206,G224,G250,G268,G270)</f>
        <v>#REF!</v>
      </c>
      <c r="H272" s="15" t="e">
        <f t="shared" ref="H272:R272" si="36">SUM(H86,H129,H145,H159,H206,H224,H250,H268,H270)</f>
        <v>#REF!</v>
      </c>
      <c r="I272" s="15" t="e">
        <f t="shared" si="36"/>
        <v>#REF!</v>
      </c>
      <c r="J272" s="15" t="e">
        <f t="shared" si="36"/>
        <v>#REF!</v>
      </c>
      <c r="K272" s="15" t="e">
        <f t="shared" si="36"/>
        <v>#REF!</v>
      </c>
      <c r="L272" s="15" t="e">
        <f t="shared" si="36"/>
        <v>#REF!</v>
      </c>
      <c r="M272" s="15" t="e">
        <f t="shared" si="36"/>
        <v>#REF!</v>
      </c>
      <c r="N272" s="15" t="e">
        <f t="shared" si="36"/>
        <v>#REF!</v>
      </c>
      <c r="O272" s="15" t="e">
        <f t="shared" si="36"/>
        <v>#REF!</v>
      </c>
      <c r="P272" s="15" t="e">
        <f t="shared" si="36"/>
        <v>#REF!</v>
      </c>
      <c r="Q272" s="15" t="e">
        <f t="shared" si="36"/>
        <v>#REF!</v>
      </c>
      <c r="R272" s="15" t="e">
        <f t="shared" si="36"/>
        <v>#REF!</v>
      </c>
      <c r="S272" s="15" t="e">
        <f>SUM(G272:R272)</f>
        <v>#REF!</v>
      </c>
    </row>
    <row r="273" spans="1:19" ht="15" thickTop="1">
      <c r="C273" s="21"/>
      <c r="F273" s="2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</row>
    <row r="274" spans="1:19" ht="15" thickBot="1">
      <c r="B274" s="13" t="s">
        <v>30</v>
      </c>
      <c r="C274" s="33" t="e">
        <f t="shared" ref="C274:F274" si="37">C$73-C$272</f>
        <v>#REF!</v>
      </c>
      <c r="D274" s="34" t="e">
        <f t="shared" si="37"/>
        <v>#REF!</v>
      </c>
      <c r="E274" s="34" t="e">
        <f t="shared" si="37"/>
        <v>#REF!</v>
      </c>
      <c r="F274" s="35" t="e">
        <f t="shared" si="37"/>
        <v>#REF!</v>
      </c>
      <c r="G274" s="14" t="e">
        <f t="shared" ref="G274:R274" si="38">G$73-G$272</f>
        <v>#REF!</v>
      </c>
      <c r="H274" s="14" t="e">
        <f t="shared" si="38"/>
        <v>#REF!</v>
      </c>
      <c r="I274" s="14" t="e">
        <f t="shared" si="38"/>
        <v>#REF!</v>
      </c>
      <c r="J274" s="14" t="e">
        <f t="shared" si="38"/>
        <v>#REF!</v>
      </c>
      <c r="K274" s="14" t="e">
        <f t="shared" si="38"/>
        <v>#REF!</v>
      </c>
      <c r="L274" s="14" t="e">
        <f t="shared" si="38"/>
        <v>#REF!</v>
      </c>
      <c r="M274" s="14" t="e">
        <f t="shared" si="38"/>
        <v>#REF!</v>
      </c>
      <c r="N274" s="14" t="e">
        <f t="shared" si="38"/>
        <v>#REF!</v>
      </c>
      <c r="O274" s="14" t="e">
        <f t="shared" si="38"/>
        <v>#REF!</v>
      </c>
      <c r="P274" s="14" t="e">
        <f t="shared" si="38"/>
        <v>#REF!</v>
      </c>
      <c r="Q274" s="14" t="e">
        <f t="shared" si="38"/>
        <v>#REF!</v>
      </c>
      <c r="R274" s="14" t="e">
        <f t="shared" si="38"/>
        <v>#REF!</v>
      </c>
      <c r="S274" s="14" t="e">
        <f>SUM(G274:R274)</f>
        <v>#REF!</v>
      </c>
    </row>
    <row r="275" spans="1:19" ht="15" thickTop="1">
      <c r="C275" s="21"/>
      <c r="F275" s="2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</row>
    <row r="276" spans="1:19">
      <c r="B276" s="13" t="s">
        <v>209</v>
      </c>
      <c r="C276" s="25"/>
      <c r="D276" s="13"/>
      <c r="E276" s="13"/>
      <c r="F276" s="26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</row>
    <row r="277" spans="1:19">
      <c r="C277" s="21"/>
      <c r="F277" s="2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</row>
    <row r="278" spans="1:19">
      <c r="A278" s="11">
        <f>'Operating Budget'!A283</f>
        <v>7910</v>
      </c>
      <c r="B278" s="10" t="str">
        <f>'Operating Budget'!B283</f>
        <v>Asset Management Fee</v>
      </c>
      <c r="C278" s="48" t="e">
        <f>#REF!</f>
        <v>#REF!</v>
      </c>
      <c r="D278" s="49" t="e">
        <f>#REF!</f>
        <v>#REF!</v>
      </c>
      <c r="E278" s="49" t="e">
        <f>#REF!</f>
        <v>#REF!</v>
      </c>
      <c r="F278" s="50" t="e">
        <f>#REF!</f>
        <v>#REF!</v>
      </c>
      <c r="G278" s="12" t="e">
        <f>'Operating Budget'!#REF!</f>
        <v>#REF!</v>
      </c>
      <c r="H278" s="12" t="e">
        <f>'Operating Budget'!#REF!</f>
        <v>#REF!</v>
      </c>
      <c r="I278" s="12" t="e">
        <f>'Operating Budget'!#REF!</f>
        <v>#REF!</v>
      </c>
      <c r="J278" s="12">
        <f>'Operating Budget'!F283</f>
        <v>0</v>
      </c>
      <c r="K278" s="12">
        <f>'Operating Budget'!J283</f>
        <v>0</v>
      </c>
      <c r="L278" s="12">
        <f>'Operating Budget'!K283</f>
        <v>0</v>
      </c>
      <c r="M278" s="12">
        <f>'Operating Budget'!L283</f>
        <v>0</v>
      </c>
      <c r="N278" s="12">
        <f>'Operating Budget'!M283</f>
        <v>0</v>
      </c>
      <c r="O278" s="12">
        <f>'Operating Budget'!N283</f>
        <v>0</v>
      </c>
      <c r="P278" s="12">
        <f>'Operating Budget'!O283</f>
        <v>0</v>
      </c>
      <c r="Q278" s="12">
        <f>'Operating Budget'!P283</f>
        <v>0</v>
      </c>
      <c r="R278" s="12">
        <f>'Operating Budget'!Q283</f>
        <v>0</v>
      </c>
      <c r="S278" s="12" t="e">
        <f>SUM(G278:R278)</f>
        <v>#REF!</v>
      </c>
    </row>
    <row r="279" spans="1:19">
      <c r="A279" s="11">
        <f>'Operating Budget'!A284</f>
        <v>8080</v>
      </c>
      <c r="B279" s="10" t="str">
        <f>'Operating Budget'!B284</f>
        <v>Mortgage Interest</v>
      </c>
      <c r="C279" s="48" t="e">
        <f>#REF!</f>
        <v>#REF!</v>
      </c>
      <c r="D279" s="49" t="e">
        <f>#REF!</f>
        <v>#REF!</v>
      </c>
      <c r="E279" s="49" t="e">
        <f>#REF!</f>
        <v>#REF!</v>
      </c>
      <c r="F279" s="50" t="e">
        <f>#REF!</f>
        <v>#REF!</v>
      </c>
      <c r="G279" s="12" t="e">
        <f>'Operating Budget'!#REF!</f>
        <v>#REF!</v>
      </c>
      <c r="H279" s="12" t="e">
        <f>'Operating Budget'!#REF!</f>
        <v>#REF!</v>
      </c>
      <c r="I279" s="12" t="e">
        <f>'Operating Budget'!#REF!</f>
        <v>#REF!</v>
      </c>
      <c r="J279" s="12">
        <f>'Operating Budget'!F284</f>
        <v>0</v>
      </c>
      <c r="K279" s="12">
        <f>'Operating Budget'!J284</f>
        <v>0</v>
      </c>
      <c r="L279" s="12">
        <f>'Operating Budget'!K284</f>
        <v>0</v>
      </c>
      <c r="M279" s="12">
        <f>'Operating Budget'!L284</f>
        <v>0</v>
      </c>
      <c r="N279" s="12">
        <f>'Operating Budget'!M284</f>
        <v>0</v>
      </c>
      <c r="O279" s="12">
        <f>'Operating Budget'!N284</f>
        <v>0</v>
      </c>
      <c r="P279" s="12">
        <f>'Operating Budget'!O284</f>
        <v>0</v>
      </c>
      <c r="Q279" s="12">
        <f>'Operating Budget'!P284</f>
        <v>0</v>
      </c>
      <c r="R279" s="12">
        <f>'Operating Budget'!Q284</f>
        <v>0</v>
      </c>
      <c r="S279" s="12" t="e">
        <f t="shared" ref="S279:S309" si="39">SUM(G279:R279)</f>
        <v>#REF!</v>
      </c>
    </row>
    <row r="280" spans="1:19">
      <c r="A280" s="11">
        <f>'Operating Budget'!A285</f>
        <v>8080.1</v>
      </c>
      <c r="B280" s="10" t="str">
        <f>'Operating Budget'!B285</f>
        <v>Loan Cost/FMV Adj - Interest Expense</v>
      </c>
      <c r="C280" s="48" t="e">
        <f>#REF!</f>
        <v>#REF!</v>
      </c>
      <c r="D280" s="49" t="e">
        <f>#REF!</f>
        <v>#REF!</v>
      </c>
      <c r="E280" s="49" t="e">
        <f>#REF!</f>
        <v>#REF!</v>
      </c>
      <c r="F280" s="50" t="e">
        <f>#REF!</f>
        <v>#REF!</v>
      </c>
      <c r="G280" s="12" t="e">
        <f>'Operating Budget'!#REF!</f>
        <v>#REF!</v>
      </c>
      <c r="H280" s="12" t="e">
        <f>'Operating Budget'!#REF!</f>
        <v>#REF!</v>
      </c>
      <c r="I280" s="12" t="e">
        <f>'Operating Budget'!#REF!</f>
        <v>#REF!</v>
      </c>
      <c r="J280" s="12">
        <f>'Operating Budget'!F285</f>
        <v>0</v>
      </c>
      <c r="K280" s="12">
        <f>'Operating Budget'!J285</f>
        <v>0</v>
      </c>
      <c r="L280" s="12">
        <f>'Operating Budget'!K285</f>
        <v>0</v>
      </c>
      <c r="M280" s="12">
        <f>'Operating Budget'!L285</f>
        <v>0</v>
      </c>
      <c r="N280" s="12">
        <f>'Operating Budget'!M285</f>
        <v>0</v>
      </c>
      <c r="O280" s="12">
        <f>'Operating Budget'!N285</f>
        <v>0</v>
      </c>
      <c r="P280" s="12">
        <f>'Operating Budget'!O285</f>
        <v>0</v>
      </c>
      <c r="Q280" s="12">
        <f>'Operating Budget'!P285</f>
        <v>0</v>
      </c>
      <c r="R280" s="12">
        <f>'Operating Budget'!Q285</f>
        <v>0</v>
      </c>
      <c r="S280" s="12" t="e">
        <f t="shared" si="39"/>
        <v>#REF!</v>
      </c>
    </row>
    <row r="281" spans="1:19">
      <c r="A281" s="11">
        <f>'Operating Budget'!A286</f>
        <v>8081</v>
      </c>
      <c r="B281" s="10" t="str">
        <f>'Operating Budget'!B286</f>
        <v>Loan Closing Cost - Interest Expense</v>
      </c>
      <c r="C281" s="48" t="e">
        <f>#REF!</f>
        <v>#REF!</v>
      </c>
      <c r="D281" s="49" t="e">
        <f>#REF!</f>
        <v>#REF!</v>
      </c>
      <c r="E281" s="49" t="e">
        <f>#REF!</f>
        <v>#REF!</v>
      </c>
      <c r="F281" s="50" t="e">
        <f>#REF!</f>
        <v>#REF!</v>
      </c>
      <c r="G281" s="12" t="e">
        <f>'Operating Budget'!#REF!</f>
        <v>#REF!</v>
      </c>
      <c r="H281" s="12" t="e">
        <f>'Operating Budget'!#REF!</f>
        <v>#REF!</v>
      </c>
      <c r="I281" s="12" t="e">
        <f>'Operating Budget'!#REF!</f>
        <v>#REF!</v>
      </c>
      <c r="J281" s="12">
        <f>'Operating Budget'!F286</f>
        <v>0</v>
      </c>
      <c r="K281" s="12">
        <f>'Operating Budget'!J286</f>
        <v>0</v>
      </c>
      <c r="L281" s="12">
        <f>'Operating Budget'!K286</f>
        <v>0</v>
      </c>
      <c r="M281" s="12">
        <f>'Operating Budget'!L286</f>
        <v>0</v>
      </c>
      <c r="N281" s="12">
        <f>'Operating Budget'!M286</f>
        <v>0</v>
      </c>
      <c r="O281" s="12">
        <f>'Operating Budget'!N286</f>
        <v>0</v>
      </c>
      <c r="P281" s="12">
        <f>'Operating Budget'!O286</f>
        <v>0</v>
      </c>
      <c r="Q281" s="12">
        <f>'Operating Budget'!P286</f>
        <v>0</v>
      </c>
      <c r="R281" s="12">
        <f>'Operating Budget'!Q286</f>
        <v>0</v>
      </c>
      <c r="S281" s="12" t="e">
        <f t="shared" si="39"/>
        <v>#REF!</v>
      </c>
    </row>
    <row r="282" spans="1:19">
      <c r="A282" s="11">
        <f>'Operating Budget'!A287</f>
        <v>8085</v>
      </c>
      <c r="B282" s="10" t="str">
        <f>'Operating Budget'!B287</f>
        <v>SAIL Loan Interest</v>
      </c>
      <c r="C282" s="48" t="e">
        <f>#REF!</f>
        <v>#REF!</v>
      </c>
      <c r="D282" s="49" t="e">
        <f>#REF!</f>
        <v>#REF!</v>
      </c>
      <c r="E282" s="49" t="e">
        <f>#REF!</f>
        <v>#REF!</v>
      </c>
      <c r="F282" s="50" t="e">
        <f>#REF!</f>
        <v>#REF!</v>
      </c>
      <c r="G282" s="12" t="e">
        <f>'Operating Budget'!#REF!</f>
        <v>#REF!</v>
      </c>
      <c r="H282" s="12" t="e">
        <f>'Operating Budget'!#REF!</f>
        <v>#REF!</v>
      </c>
      <c r="I282" s="12" t="e">
        <f>'Operating Budget'!#REF!</f>
        <v>#REF!</v>
      </c>
      <c r="J282" s="12">
        <f>'Operating Budget'!F287</f>
        <v>0</v>
      </c>
      <c r="K282" s="12">
        <f>'Operating Budget'!J287</f>
        <v>0</v>
      </c>
      <c r="L282" s="12">
        <f>'Operating Budget'!K287</f>
        <v>0</v>
      </c>
      <c r="M282" s="12">
        <f>'Operating Budget'!L287</f>
        <v>0</v>
      </c>
      <c r="N282" s="12">
        <f>'Operating Budget'!M287</f>
        <v>0</v>
      </c>
      <c r="O282" s="12">
        <f>'Operating Budget'!N287</f>
        <v>0</v>
      </c>
      <c r="P282" s="12">
        <f>'Operating Budget'!O287</f>
        <v>0</v>
      </c>
      <c r="Q282" s="12">
        <f>'Operating Budget'!P287</f>
        <v>0</v>
      </c>
      <c r="R282" s="12">
        <f>'Operating Budget'!Q287</f>
        <v>0</v>
      </c>
      <c r="S282" s="12" t="e">
        <f t="shared" si="39"/>
        <v>#REF!</v>
      </c>
    </row>
    <row r="283" spans="1:19">
      <c r="A283" s="11">
        <f>'Operating Budget'!A288</f>
        <v>8090</v>
      </c>
      <c r="B283" s="10" t="str">
        <f>'Operating Budget'!B288</f>
        <v>Mortgage Principal</v>
      </c>
      <c r="C283" s="48" t="e">
        <f>#REF!</f>
        <v>#REF!</v>
      </c>
      <c r="D283" s="49" t="e">
        <f>#REF!</f>
        <v>#REF!</v>
      </c>
      <c r="E283" s="49" t="e">
        <f>#REF!</f>
        <v>#REF!</v>
      </c>
      <c r="F283" s="50" t="e">
        <f>#REF!</f>
        <v>#REF!</v>
      </c>
      <c r="G283" s="12" t="e">
        <f>'Operating Budget'!#REF!</f>
        <v>#REF!</v>
      </c>
      <c r="H283" s="12" t="e">
        <f>'Operating Budget'!#REF!</f>
        <v>#REF!</v>
      </c>
      <c r="I283" s="12" t="e">
        <f>'Operating Budget'!#REF!</f>
        <v>#REF!</v>
      </c>
      <c r="J283" s="12">
        <f>'Operating Budget'!F288</f>
        <v>0</v>
      </c>
      <c r="K283" s="12">
        <f>'Operating Budget'!J288</f>
        <v>0</v>
      </c>
      <c r="L283" s="12">
        <f>'Operating Budget'!K288</f>
        <v>0</v>
      </c>
      <c r="M283" s="12">
        <f>'Operating Budget'!L288</f>
        <v>0</v>
      </c>
      <c r="N283" s="12">
        <f>'Operating Budget'!M288</f>
        <v>0</v>
      </c>
      <c r="O283" s="12">
        <f>'Operating Budget'!N288</f>
        <v>0</v>
      </c>
      <c r="P283" s="12">
        <f>'Operating Budget'!O288</f>
        <v>0</v>
      </c>
      <c r="Q283" s="12">
        <f>'Operating Budget'!P288</f>
        <v>0</v>
      </c>
      <c r="R283" s="12">
        <f>'Operating Budget'!Q288</f>
        <v>0</v>
      </c>
      <c r="S283" s="12" t="e">
        <f t="shared" si="39"/>
        <v>#REF!</v>
      </c>
    </row>
    <row r="284" spans="1:19">
      <c r="A284" s="11">
        <f>'Operating Budget'!A289</f>
        <v>8090.1</v>
      </c>
      <c r="B284" s="10" t="str">
        <f>'Operating Budget'!B289</f>
        <v>Mortgage Reserves/Escrows</v>
      </c>
      <c r="C284" s="48" t="e">
        <f>#REF!</f>
        <v>#REF!</v>
      </c>
      <c r="D284" s="49" t="e">
        <f>#REF!</f>
        <v>#REF!</v>
      </c>
      <c r="E284" s="49" t="e">
        <f>#REF!</f>
        <v>#REF!</v>
      </c>
      <c r="F284" s="50" t="e">
        <f>#REF!</f>
        <v>#REF!</v>
      </c>
      <c r="G284" s="12" t="e">
        <f>'Operating Budget'!#REF!</f>
        <v>#REF!</v>
      </c>
      <c r="H284" s="12" t="e">
        <f>'Operating Budget'!#REF!</f>
        <v>#REF!</v>
      </c>
      <c r="I284" s="12" t="e">
        <f>'Operating Budget'!#REF!</f>
        <v>#REF!</v>
      </c>
      <c r="J284" s="12">
        <f>'Operating Budget'!F289</f>
        <v>0</v>
      </c>
      <c r="K284" s="12">
        <f>'Operating Budget'!J289</f>
        <v>0</v>
      </c>
      <c r="L284" s="12">
        <f>'Operating Budget'!K289</f>
        <v>0</v>
      </c>
      <c r="M284" s="12">
        <f>'Operating Budget'!L289</f>
        <v>0</v>
      </c>
      <c r="N284" s="12">
        <f>'Operating Budget'!M289</f>
        <v>0</v>
      </c>
      <c r="O284" s="12">
        <f>'Operating Budget'!N289</f>
        <v>0</v>
      </c>
      <c r="P284" s="12">
        <f>'Operating Budget'!O289</f>
        <v>0</v>
      </c>
      <c r="Q284" s="12">
        <f>'Operating Budget'!P289</f>
        <v>0</v>
      </c>
      <c r="R284" s="12">
        <f>'Operating Budget'!Q289</f>
        <v>0</v>
      </c>
      <c r="S284" s="12" t="e">
        <f t="shared" si="39"/>
        <v>#REF!</v>
      </c>
    </row>
    <row r="285" spans="1:19">
      <c r="A285" s="11">
        <f>'Operating Budget'!A290</f>
        <v>8091</v>
      </c>
      <c r="B285" s="10" t="str">
        <f>'Operating Budget'!B290</f>
        <v>Mortgage Principal/Res/Esc Capitalized</v>
      </c>
      <c r="C285" s="48" t="e">
        <f>#REF!</f>
        <v>#REF!</v>
      </c>
      <c r="D285" s="49" t="e">
        <f>#REF!</f>
        <v>#REF!</v>
      </c>
      <c r="E285" s="49" t="e">
        <f>#REF!</f>
        <v>#REF!</v>
      </c>
      <c r="F285" s="50" t="e">
        <f>#REF!</f>
        <v>#REF!</v>
      </c>
      <c r="G285" s="12" t="e">
        <f>'Operating Budget'!#REF!</f>
        <v>#REF!</v>
      </c>
      <c r="H285" s="12" t="e">
        <f>'Operating Budget'!#REF!</f>
        <v>#REF!</v>
      </c>
      <c r="I285" s="12" t="e">
        <f>'Operating Budget'!#REF!</f>
        <v>#REF!</v>
      </c>
      <c r="J285" s="12">
        <f>'Operating Budget'!F290</f>
        <v>0</v>
      </c>
      <c r="K285" s="12">
        <f>'Operating Budget'!J290</f>
        <v>0</v>
      </c>
      <c r="L285" s="12">
        <f>'Operating Budget'!K290</f>
        <v>0</v>
      </c>
      <c r="M285" s="12">
        <f>'Operating Budget'!L290</f>
        <v>0</v>
      </c>
      <c r="N285" s="12">
        <f>'Operating Budget'!M290</f>
        <v>0</v>
      </c>
      <c r="O285" s="12">
        <f>'Operating Budget'!N290</f>
        <v>0</v>
      </c>
      <c r="P285" s="12">
        <f>'Operating Budget'!O290</f>
        <v>0</v>
      </c>
      <c r="Q285" s="12">
        <f>'Operating Budget'!P290</f>
        <v>0</v>
      </c>
      <c r="R285" s="12">
        <f>'Operating Budget'!Q290</f>
        <v>0</v>
      </c>
      <c r="S285" s="12" t="e">
        <f t="shared" si="39"/>
        <v>#REF!</v>
      </c>
    </row>
    <row r="286" spans="1:19">
      <c r="A286" s="11">
        <f>'Operating Budget'!A291</f>
        <v>9001</v>
      </c>
      <c r="B286" s="10" t="str">
        <f>'Operating Budget'!B291</f>
        <v>Compliance Monitoring Fee</v>
      </c>
      <c r="C286" s="48" t="e">
        <f>#REF!</f>
        <v>#REF!</v>
      </c>
      <c r="D286" s="49" t="e">
        <f>#REF!</f>
        <v>#REF!</v>
      </c>
      <c r="E286" s="49" t="e">
        <f>#REF!</f>
        <v>#REF!</v>
      </c>
      <c r="F286" s="50" t="e">
        <f>#REF!</f>
        <v>#REF!</v>
      </c>
      <c r="G286" s="12" t="e">
        <f>'Operating Budget'!#REF!</f>
        <v>#REF!</v>
      </c>
      <c r="H286" s="12" t="e">
        <f>'Operating Budget'!#REF!</f>
        <v>#REF!</v>
      </c>
      <c r="I286" s="12" t="e">
        <f>'Operating Budget'!#REF!</f>
        <v>#REF!</v>
      </c>
      <c r="J286" s="12">
        <f>'Operating Budget'!F291</f>
        <v>0</v>
      </c>
      <c r="K286" s="12">
        <f>'Operating Budget'!J291</f>
        <v>0</v>
      </c>
      <c r="L286" s="12">
        <f>'Operating Budget'!K291</f>
        <v>0</v>
      </c>
      <c r="M286" s="12">
        <f>'Operating Budget'!L291</f>
        <v>0</v>
      </c>
      <c r="N286" s="12">
        <f>'Operating Budget'!M291</f>
        <v>0</v>
      </c>
      <c r="O286" s="12">
        <f>'Operating Budget'!N291</f>
        <v>0</v>
      </c>
      <c r="P286" s="12">
        <f>'Operating Budget'!O291</f>
        <v>0</v>
      </c>
      <c r="Q286" s="12">
        <f>'Operating Budget'!P291</f>
        <v>0</v>
      </c>
      <c r="R286" s="12">
        <f>'Operating Budget'!Q291</f>
        <v>0</v>
      </c>
      <c r="S286" s="12" t="e">
        <f t="shared" si="39"/>
        <v>#REF!</v>
      </c>
    </row>
    <row r="287" spans="1:19">
      <c r="A287" s="11">
        <f>'Operating Budget'!A292</f>
        <v>9002</v>
      </c>
      <c r="B287" s="10" t="str">
        <f>'Operating Budget'!B292</f>
        <v>Financial Monitoring Fee</v>
      </c>
      <c r="C287" s="48" t="e">
        <f>#REF!</f>
        <v>#REF!</v>
      </c>
      <c r="D287" s="49" t="e">
        <f>#REF!</f>
        <v>#REF!</v>
      </c>
      <c r="E287" s="49" t="e">
        <f>#REF!</f>
        <v>#REF!</v>
      </c>
      <c r="F287" s="50" t="e">
        <f>#REF!</f>
        <v>#REF!</v>
      </c>
      <c r="G287" s="12" t="e">
        <f>'Operating Budget'!#REF!</f>
        <v>#REF!</v>
      </c>
      <c r="H287" s="12" t="e">
        <f>'Operating Budget'!#REF!</f>
        <v>#REF!</v>
      </c>
      <c r="I287" s="12" t="e">
        <f>'Operating Budget'!#REF!</f>
        <v>#REF!</v>
      </c>
      <c r="J287" s="12">
        <f>'Operating Budget'!F292</f>
        <v>0</v>
      </c>
      <c r="K287" s="12">
        <f>'Operating Budget'!J292</f>
        <v>0</v>
      </c>
      <c r="L287" s="12">
        <f>'Operating Budget'!K292</f>
        <v>0</v>
      </c>
      <c r="M287" s="12">
        <f>'Operating Budget'!L292</f>
        <v>0</v>
      </c>
      <c r="N287" s="12">
        <f>'Operating Budget'!M292</f>
        <v>0</v>
      </c>
      <c r="O287" s="12">
        <f>'Operating Budget'!N292</f>
        <v>0</v>
      </c>
      <c r="P287" s="12">
        <f>'Operating Budget'!O292</f>
        <v>0</v>
      </c>
      <c r="Q287" s="12">
        <f>'Operating Budget'!P292</f>
        <v>0</v>
      </c>
      <c r="R287" s="12">
        <f>'Operating Budget'!Q292</f>
        <v>0</v>
      </c>
      <c r="S287" s="12" t="e">
        <f t="shared" si="39"/>
        <v>#REF!</v>
      </c>
    </row>
    <row r="288" spans="1:19">
      <c r="A288" s="11">
        <f>'Operating Budget'!A293</f>
        <v>9003</v>
      </c>
      <c r="B288" s="10" t="str">
        <f>'Operating Budget'!B293</f>
        <v>Loan Servicing Fee</v>
      </c>
      <c r="C288" s="48" t="e">
        <f>#REF!</f>
        <v>#REF!</v>
      </c>
      <c r="D288" s="49" t="e">
        <f>#REF!</f>
        <v>#REF!</v>
      </c>
      <c r="E288" s="49" t="e">
        <f>#REF!</f>
        <v>#REF!</v>
      </c>
      <c r="F288" s="50" t="e">
        <f>#REF!</f>
        <v>#REF!</v>
      </c>
      <c r="G288" s="12" t="e">
        <f>'Operating Budget'!#REF!</f>
        <v>#REF!</v>
      </c>
      <c r="H288" s="12" t="e">
        <f>'Operating Budget'!#REF!</f>
        <v>#REF!</v>
      </c>
      <c r="I288" s="12" t="e">
        <f>'Operating Budget'!#REF!</f>
        <v>#REF!</v>
      </c>
      <c r="J288" s="12">
        <f>'Operating Budget'!F293</f>
        <v>0</v>
      </c>
      <c r="K288" s="12">
        <f>'Operating Budget'!J293</f>
        <v>0</v>
      </c>
      <c r="L288" s="12">
        <f>'Operating Budget'!K293</f>
        <v>0</v>
      </c>
      <c r="M288" s="12">
        <f>'Operating Budget'!L293</f>
        <v>0</v>
      </c>
      <c r="N288" s="12">
        <f>'Operating Budget'!M293</f>
        <v>0</v>
      </c>
      <c r="O288" s="12">
        <f>'Operating Budget'!N293</f>
        <v>0</v>
      </c>
      <c r="P288" s="12">
        <f>'Operating Budget'!O293</f>
        <v>0</v>
      </c>
      <c r="Q288" s="12">
        <f>'Operating Budget'!P293</f>
        <v>0</v>
      </c>
      <c r="R288" s="12">
        <f>'Operating Budget'!Q293</f>
        <v>0</v>
      </c>
      <c r="S288" s="12" t="e">
        <f t="shared" si="39"/>
        <v>#REF!</v>
      </c>
    </row>
    <row r="289" spans="1:19">
      <c r="A289" s="11">
        <f>'Operating Budget'!A294</f>
        <v>9004</v>
      </c>
      <c r="B289" s="10" t="str">
        <f>'Operating Budget'!B294</f>
        <v>Trustee Fees</v>
      </c>
      <c r="C289" s="48" t="e">
        <f>#REF!</f>
        <v>#REF!</v>
      </c>
      <c r="D289" s="49" t="e">
        <f>#REF!</f>
        <v>#REF!</v>
      </c>
      <c r="E289" s="49" t="e">
        <f>#REF!</f>
        <v>#REF!</v>
      </c>
      <c r="F289" s="50" t="e">
        <f>#REF!</f>
        <v>#REF!</v>
      </c>
      <c r="G289" s="12" t="e">
        <f>'Operating Budget'!#REF!</f>
        <v>#REF!</v>
      </c>
      <c r="H289" s="12" t="e">
        <f>'Operating Budget'!#REF!</f>
        <v>#REF!</v>
      </c>
      <c r="I289" s="12" t="e">
        <f>'Operating Budget'!#REF!</f>
        <v>#REF!</v>
      </c>
      <c r="J289" s="12">
        <f>'Operating Budget'!F294</f>
        <v>0</v>
      </c>
      <c r="K289" s="12">
        <f>'Operating Budget'!J294</f>
        <v>0</v>
      </c>
      <c r="L289" s="12">
        <f>'Operating Budget'!K294</f>
        <v>0</v>
      </c>
      <c r="M289" s="12">
        <f>'Operating Budget'!L294</f>
        <v>0</v>
      </c>
      <c r="N289" s="12">
        <f>'Operating Budget'!M294</f>
        <v>0</v>
      </c>
      <c r="O289" s="12">
        <f>'Operating Budget'!N294</f>
        <v>0</v>
      </c>
      <c r="P289" s="12">
        <f>'Operating Budget'!O294</f>
        <v>0</v>
      </c>
      <c r="Q289" s="12">
        <f>'Operating Budget'!P294</f>
        <v>0</v>
      </c>
      <c r="R289" s="12">
        <f>'Operating Budget'!Q294</f>
        <v>0</v>
      </c>
      <c r="S289" s="12" t="e">
        <f t="shared" si="39"/>
        <v>#REF!</v>
      </c>
    </row>
    <row r="290" spans="1:19">
      <c r="A290" s="11">
        <f>'Operating Budget'!A295</f>
        <v>9005</v>
      </c>
      <c r="B290" s="10" t="str">
        <f>'Operating Budget'!B295</f>
        <v>Issuer Administration Fee</v>
      </c>
      <c r="C290" s="48" t="e">
        <f>#REF!</f>
        <v>#REF!</v>
      </c>
      <c r="D290" s="49" t="e">
        <f>#REF!</f>
        <v>#REF!</v>
      </c>
      <c r="E290" s="49" t="e">
        <f>#REF!</f>
        <v>#REF!</v>
      </c>
      <c r="F290" s="50" t="e">
        <f>#REF!</f>
        <v>#REF!</v>
      </c>
      <c r="G290" s="12" t="e">
        <f>'Operating Budget'!#REF!</f>
        <v>#REF!</v>
      </c>
      <c r="H290" s="12" t="e">
        <f>'Operating Budget'!#REF!</f>
        <v>#REF!</v>
      </c>
      <c r="I290" s="12" t="e">
        <f>'Operating Budget'!#REF!</f>
        <v>#REF!</v>
      </c>
      <c r="J290" s="12">
        <f>'Operating Budget'!F295</f>
        <v>0</v>
      </c>
      <c r="K290" s="12">
        <f>'Operating Budget'!J295</f>
        <v>0</v>
      </c>
      <c r="L290" s="12">
        <f>'Operating Budget'!K295</f>
        <v>0</v>
      </c>
      <c r="M290" s="12">
        <f>'Operating Budget'!L295</f>
        <v>0</v>
      </c>
      <c r="N290" s="12">
        <f>'Operating Budget'!M295</f>
        <v>0</v>
      </c>
      <c r="O290" s="12">
        <f>'Operating Budget'!N295</f>
        <v>0</v>
      </c>
      <c r="P290" s="12">
        <f>'Operating Budget'!O295</f>
        <v>0</v>
      </c>
      <c r="Q290" s="12">
        <f>'Operating Budget'!P295</f>
        <v>0</v>
      </c>
      <c r="R290" s="12">
        <f>'Operating Budget'!Q295</f>
        <v>0</v>
      </c>
      <c r="S290" s="12" t="e">
        <f t="shared" si="39"/>
        <v>#REF!</v>
      </c>
    </row>
    <row r="291" spans="1:19">
      <c r="A291" s="11">
        <f>'Operating Budget'!A296</f>
        <v>8084</v>
      </c>
      <c r="B291" s="10" t="str">
        <f>'Operating Budget'!B296</f>
        <v>Interest Expense - Rate Cap Reimbursement</v>
      </c>
      <c r="C291" s="48" t="e">
        <f>#REF!</f>
        <v>#REF!</v>
      </c>
      <c r="D291" s="49" t="e">
        <f>#REF!</f>
        <v>#REF!</v>
      </c>
      <c r="E291" s="49" t="e">
        <f>#REF!</f>
        <v>#REF!</v>
      </c>
      <c r="F291" s="50" t="e">
        <f>#REF!</f>
        <v>#REF!</v>
      </c>
      <c r="G291" s="12" t="e">
        <f>'Operating Budget'!#REF!</f>
        <v>#REF!</v>
      </c>
      <c r="H291" s="12" t="e">
        <f>'Operating Budget'!#REF!</f>
        <v>#REF!</v>
      </c>
      <c r="I291" s="12" t="e">
        <f>'Operating Budget'!#REF!</f>
        <v>#REF!</v>
      </c>
      <c r="J291" s="12">
        <f>'Operating Budget'!F296</f>
        <v>0</v>
      </c>
      <c r="K291" s="12">
        <f>'Operating Budget'!J296</f>
        <v>0</v>
      </c>
      <c r="L291" s="12">
        <f>'Operating Budget'!K296</f>
        <v>0</v>
      </c>
      <c r="M291" s="12">
        <f>'Operating Budget'!L296</f>
        <v>0</v>
      </c>
      <c r="N291" s="12">
        <f>'Operating Budget'!M296</f>
        <v>0</v>
      </c>
      <c r="O291" s="12">
        <f>'Operating Budget'!N296</f>
        <v>0</v>
      </c>
      <c r="P291" s="12">
        <f>'Operating Budget'!O296</f>
        <v>0</v>
      </c>
      <c r="Q291" s="12">
        <f>'Operating Budget'!P296</f>
        <v>0</v>
      </c>
      <c r="R291" s="12">
        <f>'Operating Budget'!Q296</f>
        <v>0</v>
      </c>
      <c r="S291" s="12" t="e">
        <f t="shared" si="39"/>
        <v>#REF!</v>
      </c>
    </row>
    <row r="292" spans="1:19">
      <c r="A292" s="11">
        <f>'Operating Budget'!A297</f>
        <v>9020</v>
      </c>
      <c r="B292" s="10" t="str">
        <f>'Operating Budget'!B297</f>
        <v>Penalties and Fines</v>
      </c>
      <c r="C292" s="48" t="e">
        <f>#REF!</f>
        <v>#REF!</v>
      </c>
      <c r="D292" s="49" t="e">
        <f>#REF!</f>
        <v>#REF!</v>
      </c>
      <c r="E292" s="49" t="e">
        <f>#REF!</f>
        <v>#REF!</v>
      </c>
      <c r="F292" s="50" t="e">
        <f>#REF!</f>
        <v>#REF!</v>
      </c>
      <c r="G292" s="12" t="e">
        <f>'Operating Budget'!#REF!</f>
        <v>#REF!</v>
      </c>
      <c r="H292" s="12" t="e">
        <f>'Operating Budget'!#REF!</f>
        <v>#REF!</v>
      </c>
      <c r="I292" s="12" t="e">
        <f>'Operating Budget'!#REF!</f>
        <v>#REF!</v>
      </c>
      <c r="J292" s="12">
        <f>'Operating Budget'!F297</f>
        <v>0</v>
      </c>
      <c r="K292" s="12">
        <f>'Operating Budget'!J297</f>
        <v>0</v>
      </c>
      <c r="L292" s="12">
        <f>'Operating Budget'!K297</f>
        <v>0</v>
      </c>
      <c r="M292" s="12">
        <f>'Operating Budget'!L297</f>
        <v>0</v>
      </c>
      <c r="N292" s="12">
        <f>'Operating Budget'!M297</f>
        <v>0</v>
      </c>
      <c r="O292" s="12">
        <f>'Operating Budget'!N297</f>
        <v>0</v>
      </c>
      <c r="P292" s="12">
        <f>'Operating Budget'!O297</f>
        <v>0</v>
      </c>
      <c r="Q292" s="12">
        <f>'Operating Budget'!P297</f>
        <v>0</v>
      </c>
      <c r="R292" s="12">
        <f>'Operating Budget'!Q297</f>
        <v>0</v>
      </c>
      <c r="S292" s="12" t="e">
        <f t="shared" si="39"/>
        <v>#REF!</v>
      </c>
    </row>
    <row r="293" spans="1:19">
      <c r="A293" s="11">
        <f>'Operating Budget'!A298</f>
        <v>9030</v>
      </c>
      <c r="B293" s="10" t="str">
        <f>'Operating Budget'!B298</f>
        <v>Nondeductible Expenses</v>
      </c>
      <c r="C293" s="48" t="e">
        <f>#REF!</f>
        <v>#REF!</v>
      </c>
      <c r="D293" s="49" t="e">
        <f>#REF!</f>
        <v>#REF!</v>
      </c>
      <c r="E293" s="49" t="e">
        <f>#REF!</f>
        <v>#REF!</v>
      </c>
      <c r="F293" s="50" t="e">
        <f>#REF!</f>
        <v>#REF!</v>
      </c>
      <c r="G293" s="12" t="e">
        <f>'Operating Budget'!#REF!</f>
        <v>#REF!</v>
      </c>
      <c r="H293" s="12" t="e">
        <f>'Operating Budget'!#REF!</f>
        <v>#REF!</v>
      </c>
      <c r="I293" s="12" t="e">
        <f>'Operating Budget'!#REF!</f>
        <v>#REF!</v>
      </c>
      <c r="J293" s="12">
        <f>'Operating Budget'!F298</f>
        <v>0</v>
      </c>
      <c r="K293" s="12">
        <f>'Operating Budget'!J298</f>
        <v>0</v>
      </c>
      <c r="L293" s="12">
        <f>'Operating Budget'!K298</f>
        <v>0</v>
      </c>
      <c r="M293" s="12">
        <f>'Operating Budget'!L298</f>
        <v>0</v>
      </c>
      <c r="N293" s="12">
        <f>'Operating Budget'!M298</f>
        <v>0</v>
      </c>
      <c r="O293" s="12">
        <f>'Operating Budget'!N298</f>
        <v>0</v>
      </c>
      <c r="P293" s="12">
        <f>'Operating Budget'!O298</f>
        <v>0</v>
      </c>
      <c r="Q293" s="12">
        <f>'Operating Budget'!P298</f>
        <v>0</v>
      </c>
      <c r="R293" s="12">
        <f>'Operating Budget'!Q298</f>
        <v>0</v>
      </c>
      <c r="S293" s="12" t="e">
        <f t="shared" si="39"/>
        <v>#REF!</v>
      </c>
    </row>
    <row r="294" spans="1:19">
      <c r="A294" s="11">
        <f>'Operating Budget'!A299</f>
        <v>9031</v>
      </c>
      <c r="B294" s="10" t="str">
        <f>'Operating Budget'!B299</f>
        <v>Filing Fees</v>
      </c>
      <c r="C294" s="48" t="e">
        <f>#REF!</f>
        <v>#REF!</v>
      </c>
      <c r="D294" s="49" t="e">
        <f>#REF!</f>
        <v>#REF!</v>
      </c>
      <c r="E294" s="49" t="e">
        <f>#REF!</f>
        <v>#REF!</v>
      </c>
      <c r="F294" s="50" t="e">
        <f>#REF!</f>
        <v>#REF!</v>
      </c>
      <c r="G294" s="12" t="e">
        <f>'Operating Budget'!#REF!</f>
        <v>#REF!</v>
      </c>
      <c r="H294" s="12" t="e">
        <f>'Operating Budget'!#REF!</f>
        <v>#REF!</v>
      </c>
      <c r="I294" s="12" t="e">
        <f>'Operating Budget'!#REF!</f>
        <v>#REF!</v>
      </c>
      <c r="J294" s="12">
        <f>'Operating Budget'!F299</f>
        <v>0</v>
      </c>
      <c r="K294" s="12">
        <f>'Operating Budget'!J299</f>
        <v>0</v>
      </c>
      <c r="L294" s="12">
        <f>'Operating Budget'!K299</f>
        <v>0</v>
      </c>
      <c r="M294" s="12">
        <f>'Operating Budget'!L299</f>
        <v>0</v>
      </c>
      <c r="N294" s="12">
        <f>'Operating Budget'!M299</f>
        <v>0</v>
      </c>
      <c r="O294" s="12">
        <f>'Operating Budget'!N299</f>
        <v>0</v>
      </c>
      <c r="P294" s="12">
        <f>'Operating Budget'!O299</f>
        <v>0</v>
      </c>
      <c r="Q294" s="12">
        <f>'Operating Budget'!P299</f>
        <v>0</v>
      </c>
      <c r="R294" s="12">
        <f>'Operating Budget'!Q299</f>
        <v>0</v>
      </c>
      <c r="S294" s="12" t="e">
        <f t="shared" si="39"/>
        <v>#REF!</v>
      </c>
    </row>
    <row r="295" spans="1:19">
      <c r="A295" s="11">
        <f>'Operating Budget'!A300</f>
        <v>9032</v>
      </c>
      <c r="B295" s="10" t="str">
        <f>'Operating Budget'!B300</f>
        <v>Legal &amp; Professional Fees</v>
      </c>
      <c r="C295" s="48" t="e">
        <f>#REF!</f>
        <v>#REF!</v>
      </c>
      <c r="D295" s="49" t="e">
        <f>#REF!</f>
        <v>#REF!</v>
      </c>
      <c r="E295" s="49" t="e">
        <f>#REF!</f>
        <v>#REF!</v>
      </c>
      <c r="F295" s="50" t="e">
        <f>#REF!</f>
        <v>#REF!</v>
      </c>
      <c r="G295" s="12" t="e">
        <f>'Operating Budget'!#REF!</f>
        <v>#REF!</v>
      </c>
      <c r="H295" s="12" t="e">
        <f>'Operating Budget'!#REF!</f>
        <v>#REF!</v>
      </c>
      <c r="I295" s="12" t="e">
        <f>'Operating Budget'!#REF!</f>
        <v>#REF!</v>
      </c>
      <c r="J295" s="12">
        <f>'Operating Budget'!F300</f>
        <v>0</v>
      </c>
      <c r="K295" s="12">
        <f>'Operating Budget'!J300</f>
        <v>0</v>
      </c>
      <c r="L295" s="12">
        <f>'Operating Budget'!K300</f>
        <v>0</v>
      </c>
      <c r="M295" s="12">
        <f>'Operating Budget'!L300</f>
        <v>0</v>
      </c>
      <c r="N295" s="12">
        <f>'Operating Budget'!M300</f>
        <v>0</v>
      </c>
      <c r="O295" s="12">
        <f>'Operating Budget'!N300</f>
        <v>0</v>
      </c>
      <c r="P295" s="12">
        <f>'Operating Budget'!O300</f>
        <v>0</v>
      </c>
      <c r="Q295" s="12">
        <f>'Operating Budget'!P300</f>
        <v>0</v>
      </c>
      <c r="R295" s="12">
        <f>'Operating Budget'!Q300</f>
        <v>0</v>
      </c>
      <c r="S295" s="12" t="e">
        <f t="shared" si="39"/>
        <v>#REF!</v>
      </c>
    </row>
    <row r="296" spans="1:19">
      <c r="A296" s="11">
        <f>'Operating Budget'!A301</f>
        <v>9033</v>
      </c>
      <c r="B296" s="10" t="str">
        <f>'Operating Budget'!B301</f>
        <v>Acquisition Expenses</v>
      </c>
      <c r="C296" s="48" t="e">
        <f>#REF!</f>
        <v>#REF!</v>
      </c>
      <c r="D296" s="49" t="e">
        <f>#REF!</f>
        <v>#REF!</v>
      </c>
      <c r="E296" s="49" t="e">
        <f>#REF!</f>
        <v>#REF!</v>
      </c>
      <c r="F296" s="50" t="e">
        <f>#REF!</f>
        <v>#REF!</v>
      </c>
      <c r="G296" s="12" t="e">
        <f>'Operating Budget'!#REF!</f>
        <v>#REF!</v>
      </c>
      <c r="H296" s="12" t="e">
        <f>'Operating Budget'!#REF!</f>
        <v>#REF!</v>
      </c>
      <c r="I296" s="12" t="e">
        <f>'Operating Budget'!#REF!</f>
        <v>#REF!</v>
      </c>
      <c r="J296" s="12">
        <f>'Operating Budget'!F301</f>
        <v>0</v>
      </c>
      <c r="K296" s="12">
        <f>'Operating Budget'!J301</f>
        <v>0</v>
      </c>
      <c r="L296" s="12">
        <f>'Operating Budget'!K301</f>
        <v>0</v>
      </c>
      <c r="M296" s="12">
        <f>'Operating Budget'!L301</f>
        <v>0</v>
      </c>
      <c r="N296" s="12">
        <f>'Operating Budget'!M301</f>
        <v>0</v>
      </c>
      <c r="O296" s="12">
        <f>'Operating Budget'!N301</f>
        <v>0</v>
      </c>
      <c r="P296" s="12">
        <f>'Operating Budget'!O301</f>
        <v>0</v>
      </c>
      <c r="Q296" s="12">
        <f>'Operating Budget'!P301</f>
        <v>0</v>
      </c>
      <c r="R296" s="12">
        <f>'Operating Budget'!Q301</f>
        <v>0</v>
      </c>
      <c r="S296" s="12" t="e">
        <f t="shared" si="39"/>
        <v>#REF!</v>
      </c>
    </row>
    <row r="297" spans="1:19">
      <c r="A297" s="11">
        <f>'Operating Budget'!A302</f>
        <v>9034</v>
      </c>
      <c r="B297" s="10" t="str">
        <f>'Operating Budget'!B302</f>
        <v>Owners Exp Reimb. - Rentlytics/Startup Costs</v>
      </c>
      <c r="C297" s="48" t="e">
        <f>#REF!</f>
        <v>#REF!</v>
      </c>
      <c r="D297" s="49" t="e">
        <f>#REF!</f>
        <v>#REF!</v>
      </c>
      <c r="E297" s="49" t="e">
        <f>#REF!</f>
        <v>#REF!</v>
      </c>
      <c r="F297" s="50" t="e">
        <f>#REF!</f>
        <v>#REF!</v>
      </c>
      <c r="G297" s="12" t="e">
        <f>'Operating Budget'!#REF!</f>
        <v>#REF!</v>
      </c>
      <c r="H297" s="12" t="e">
        <f>'Operating Budget'!#REF!</f>
        <v>#REF!</v>
      </c>
      <c r="I297" s="12" t="e">
        <f>'Operating Budget'!#REF!</f>
        <v>#REF!</v>
      </c>
      <c r="J297" s="12">
        <f>'Operating Budget'!F302</f>
        <v>0</v>
      </c>
      <c r="K297" s="12">
        <f>'Operating Budget'!J302</f>
        <v>0</v>
      </c>
      <c r="L297" s="12">
        <f>'Operating Budget'!K302</f>
        <v>0</v>
      </c>
      <c r="M297" s="12">
        <f>'Operating Budget'!L302</f>
        <v>0</v>
      </c>
      <c r="N297" s="12">
        <f>'Operating Budget'!M302</f>
        <v>0</v>
      </c>
      <c r="O297" s="12">
        <f>'Operating Budget'!N302</f>
        <v>0</v>
      </c>
      <c r="P297" s="12">
        <f>'Operating Budget'!O302</f>
        <v>0</v>
      </c>
      <c r="Q297" s="12">
        <f>'Operating Budget'!P302</f>
        <v>0</v>
      </c>
      <c r="R297" s="12">
        <f>'Operating Budget'!Q302</f>
        <v>0</v>
      </c>
      <c r="S297" s="12" t="e">
        <f t="shared" si="39"/>
        <v>#REF!</v>
      </c>
    </row>
    <row r="298" spans="1:19">
      <c r="A298" s="11" t="e">
        <f>'Operating Budget'!#REF!</f>
        <v>#REF!</v>
      </c>
      <c r="B298" s="10" t="e">
        <f>'Operating Budget'!#REF!</f>
        <v>#REF!</v>
      </c>
      <c r="C298" s="48" t="e">
        <f>#REF!</f>
        <v>#REF!</v>
      </c>
      <c r="D298" s="49" t="e">
        <f>#REF!</f>
        <v>#REF!</v>
      </c>
      <c r="E298" s="49" t="e">
        <f>#REF!</f>
        <v>#REF!</v>
      </c>
      <c r="F298" s="50" t="e">
        <f>#REF!</f>
        <v>#REF!</v>
      </c>
      <c r="G298" s="12" t="e">
        <f>'Operating Budget'!#REF!</f>
        <v>#REF!</v>
      </c>
      <c r="H298" s="12" t="e">
        <f>'Operating Budget'!#REF!</f>
        <v>#REF!</v>
      </c>
      <c r="I298" s="12" t="e">
        <f>'Operating Budget'!#REF!</f>
        <v>#REF!</v>
      </c>
      <c r="J298" s="12" t="e">
        <f>'Operating Budget'!#REF!</f>
        <v>#REF!</v>
      </c>
      <c r="K298" s="12" t="e">
        <f>'Operating Budget'!#REF!</f>
        <v>#REF!</v>
      </c>
      <c r="L298" s="12" t="e">
        <f>'Operating Budget'!#REF!</f>
        <v>#REF!</v>
      </c>
      <c r="M298" s="12" t="e">
        <f>'Operating Budget'!#REF!</f>
        <v>#REF!</v>
      </c>
      <c r="N298" s="12" t="e">
        <f>'Operating Budget'!#REF!</f>
        <v>#REF!</v>
      </c>
      <c r="O298" s="12" t="e">
        <f>'Operating Budget'!#REF!</f>
        <v>#REF!</v>
      </c>
      <c r="P298" s="12" t="e">
        <f>'Operating Budget'!#REF!</f>
        <v>#REF!</v>
      </c>
      <c r="Q298" s="12" t="e">
        <f>'Operating Budget'!#REF!</f>
        <v>#REF!</v>
      </c>
      <c r="R298" s="12" t="e">
        <f>'Operating Budget'!#REF!</f>
        <v>#REF!</v>
      </c>
      <c r="S298" s="12" t="e">
        <f t="shared" si="39"/>
        <v>#REF!</v>
      </c>
    </row>
    <row r="299" spans="1:19">
      <c r="A299" s="11" t="e">
        <f>'Operating Budget'!#REF!</f>
        <v>#REF!</v>
      </c>
      <c r="B299" s="10" t="e">
        <f>'Operating Budget'!#REF!</f>
        <v>#REF!</v>
      </c>
      <c r="C299" s="48" t="e">
        <f>#REF!</f>
        <v>#REF!</v>
      </c>
      <c r="D299" s="49" t="e">
        <f>#REF!</f>
        <v>#REF!</v>
      </c>
      <c r="E299" s="49" t="e">
        <f>#REF!</f>
        <v>#REF!</v>
      </c>
      <c r="F299" s="50" t="e">
        <f>#REF!</f>
        <v>#REF!</v>
      </c>
      <c r="G299" s="12" t="e">
        <f>'Operating Budget'!#REF!</f>
        <v>#REF!</v>
      </c>
      <c r="H299" s="12" t="e">
        <f>'Operating Budget'!#REF!</f>
        <v>#REF!</v>
      </c>
      <c r="I299" s="12" t="e">
        <f>'Operating Budget'!#REF!</f>
        <v>#REF!</v>
      </c>
      <c r="J299" s="12" t="e">
        <f>'Operating Budget'!#REF!</f>
        <v>#REF!</v>
      </c>
      <c r="K299" s="12" t="e">
        <f>'Operating Budget'!#REF!</f>
        <v>#REF!</v>
      </c>
      <c r="L299" s="12" t="e">
        <f>'Operating Budget'!#REF!</f>
        <v>#REF!</v>
      </c>
      <c r="M299" s="12" t="e">
        <f>'Operating Budget'!#REF!</f>
        <v>#REF!</v>
      </c>
      <c r="N299" s="12" t="e">
        <f>'Operating Budget'!#REF!</f>
        <v>#REF!</v>
      </c>
      <c r="O299" s="12" t="e">
        <f>'Operating Budget'!#REF!</f>
        <v>#REF!</v>
      </c>
      <c r="P299" s="12" t="e">
        <f>'Operating Budget'!#REF!</f>
        <v>#REF!</v>
      </c>
      <c r="Q299" s="12" t="e">
        <f>'Operating Budget'!#REF!</f>
        <v>#REF!</v>
      </c>
      <c r="R299" s="12" t="e">
        <f>'Operating Budget'!#REF!</f>
        <v>#REF!</v>
      </c>
      <c r="S299" s="12" t="e">
        <f t="shared" si="39"/>
        <v>#REF!</v>
      </c>
    </row>
    <row r="300" spans="1:19">
      <c r="A300" s="11">
        <f>'Operating Budget'!A303</f>
        <v>9041</v>
      </c>
      <c r="B300" s="10" t="str">
        <f>'Operating Budget'!B303</f>
        <v>Gain/Loss on Asset Disposal</v>
      </c>
      <c r="C300" s="48" t="e">
        <f>#REF!</f>
        <v>#REF!</v>
      </c>
      <c r="D300" s="49" t="e">
        <f>#REF!</f>
        <v>#REF!</v>
      </c>
      <c r="E300" s="49" t="e">
        <f>#REF!</f>
        <v>#REF!</v>
      </c>
      <c r="F300" s="50" t="e">
        <f>#REF!</f>
        <v>#REF!</v>
      </c>
      <c r="G300" s="12" t="e">
        <f>'Operating Budget'!#REF!</f>
        <v>#REF!</v>
      </c>
      <c r="H300" s="12" t="e">
        <f>'Operating Budget'!#REF!</f>
        <v>#REF!</v>
      </c>
      <c r="I300" s="12" t="e">
        <f>'Operating Budget'!#REF!</f>
        <v>#REF!</v>
      </c>
      <c r="J300" s="12">
        <f>'Operating Budget'!F303</f>
        <v>0</v>
      </c>
      <c r="K300" s="12">
        <f>'Operating Budget'!J303</f>
        <v>0</v>
      </c>
      <c r="L300" s="12">
        <f>'Operating Budget'!K303</f>
        <v>0</v>
      </c>
      <c r="M300" s="12">
        <f>'Operating Budget'!L303</f>
        <v>0</v>
      </c>
      <c r="N300" s="12">
        <f>'Operating Budget'!M303</f>
        <v>0</v>
      </c>
      <c r="O300" s="12">
        <f>'Operating Budget'!N303</f>
        <v>0</v>
      </c>
      <c r="P300" s="12">
        <f>'Operating Budget'!O303</f>
        <v>0</v>
      </c>
      <c r="Q300" s="12">
        <f>'Operating Budget'!P303</f>
        <v>0</v>
      </c>
      <c r="R300" s="12">
        <f>'Operating Budget'!Q303</f>
        <v>0</v>
      </c>
      <c r="S300" s="12" t="e">
        <f t="shared" si="39"/>
        <v>#REF!</v>
      </c>
    </row>
    <row r="301" spans="1:19">
      <c r="A301" s="11">
        <f>'Operating Budget'!A304</f>
        <v>9042</v>
      </c>
      <c r="B301" s="10" t="str">
        <f>'Operating Budget'!B304</f>
        <v>Gain/Loss on Insurance Proceeds</v>
      </c>
      <c r="C301" s="48" t="e">
        <f>#REF!</f>
        <v>#REF!</v>
      </c>
      <c r="D301" s="49" t="e">
        <f>#REF!</f>
        <v>#REF!</v>
      </c>
      <c r="E301" s="49" t="e">
        <f>#REF!</f>
        <v>#REF!</v>
      </c>
      <c r="F301" s="50" t="e">
        <f>#REF!</f>
        <v>#REF!</v>
      </c>
      <c r="G301" s="12" t="e">
        <f>'Operating Budget'!#REF!</f>
        <v>#REF!</v>
      </c>
      <c r="H301" s="12" t="e">
        <f>'Operating Budget'!#REF!</f>
        <v>#REF!</v>
      </c>
      <c r="I301" s="12" t="e">
        <f>'Operating Budget'!#REF!</f>
        <v>#REF!</v>
      </c>
      <c r="J301" s="12">
        <f>'Operating Budget'!F304</f>
        <v>0</v>
      </c>
      <c r="K301" s="12">
        <f>'Operating Budget'!J304</f>
        <v>0</v>
      </c>
      <c r="L301" s="12">
        <f>'Operating Budget'!K304</f>
        <v>0</v>
      </c>
      <c r="M301" s="12">
        <f>'Operating Budget'!L304</f>
        <v>0</v>
      </c>
      <c r="N301" s="12">
        <f>'Operating Budget'!M304</f>
        <v>0</v>
      </c>
      <c r="O301" s="12">
        <f>'Operating Budget'!N304</f>
        <v>0</v>
      </c>
      <c r="P301" s="12">
        <f>'Operating Budget'!O304</f>
        <v>0</v>
      </c>
      <c r="Q301" s="12">
        <f>'Operating Budget'!P304</f>
        <v>0</v>
      </c>
      <c r="R301" s="12">
        <f>'Operating Budget'!Q304</f>
        <v>0</v>
      </c>
      <c r="S301" s="12" t="e">
        <f t="shared" si="39"/>
        <v>#REF!</v>
      </c>
    </row>
    <row r="302" spans="1:19">
      <c r="A302" s="11">
        <f>'Operating Budget'!A305</f>
        <v>8510</v>
      </c>
      <c r="B302" s="10" t="str">
        <f>'Operating Budget'!B305</f>
        <v>Depreciation Expense</v>
      </c>
      <c r="C302" s="48" t="e">
        <f>#REF!</f>
        <v>#REF!</v>
      </c>
      <c r="D302" s="49" t="e">
        <f>#REF!</f>
        <v>#REF!</v>
      </c>
      <c r="E302" s="49" t="e">
        <f>#REF!</f>
        <v>#REF!</v>
      </c>
      <c r="F302" s="50" t="e">
        <f>#REF!</f>
        <v>#REF!</v>
      </c>
      <c r="G302" s="12" t="e">
        <f>'Operating Budget'!#REF!</f>
        <v>#REF!</v>
      </c>
      <c r="H302" s="12" t="e">
        <f>'Operating Budget'!#REF!</f>
        <v>#REF!</v>
      </c>
      <c r="I302" s="12" t="e">
        <f>'Operating Budget'!#REF!</f>
        <v>#REF!</v>
      </c>
      <c r="J302" s="12">
        <f>'Operating Budget'!F305</f>
        <v>0</v>
      </c>
      <c r="K302" s="12">
        <f>'Operating Budget'!J305</f>
        <v>0</v>
      </c>
      <c r="L302" s="12">
        <f>'Operating Budget'!K305</f>
        <v>0</v>
      </c>
      <c r="M302" s="12">
        <f>'Operating Budget'!L305</f>
        <v>0</v>
      </c>
      <c r="N302" s="12">
        <f>'Operating Budget'!M305</f>
        <v>0</v>
      </c>
      <c r="O302" s="12">
        <f>'Operating Budget'!N305</f>
        <v>0</v>
      </c>
      <c r="P302" s="12">
        <f>'Operating Budget'!O305</f>
        <v>0</v>
      </c>
      <c r="Q302" s="12">
        <f>'Operating Budget'!P305</f>
        <v>0</v>
      </c>
      <c r="R302" s="12">
        <f>'Operating Budget'!Q305</f>
        <v>0</v>
      </c>
      <c r="S302" s="12" t="e">
        <f t="shared" si="39"/>
        <v>#REF!</v>
      </c>
    </row>
    <row r="303" spans="1:19">
      <c r="A303" s="11">
        <f>'Operating Budget'!A306</f>
        <v>8512</v>
      </c>
      <c r="B303" s="10" t="str">
        <f>'Operating Budget'!B306</f>
        <v>Depreciation Exp: Building</v>
      </c>
      <c r="C303" s="48" t="e">
        <f>#REF!</f>
        <v>#REF!</v>
      </c>
      <c r="D303" s="49" t="e">
        <f>#REF!</f>
        <v>#REF!</v>
      </c>
      <c r="E303" s="49" t="e">
        <f>#REF!</f>
        <v>#REF!</v>
      </c>
      <c r="F303" s="50" t="e">
        <f>#REF!</f>
        <v>#REF!</v>
      </c>
      <c r="G303" s="12" t="e">
        <f>'Operating Budget'!#REF!</f>
        <v>#REF!</v>
      </c>
      <c r="H303" s="12" t="e">
        <f>'Operating Budget'!#REF!</f>
        <v>#REF!</v>
      </c>
      <c r="I303" s="12" t="e">
        <f>'Operating Budget'!#REF!</f>
        <v>#REF!</v>
      </c>
      <c r="J303" s="12">
        <f>'Operating Budget'!F306</f>
        <v>0</v>
      </c>
      <c r="K303" s="12">
        <f>'Operating Budget'!J306</f>
        <v>0</v>
      </c>
      <c r="L303" s="12">
        <f>'Operating Budget'!K306</f>
        <v>0</v>
      </c>
      <c r="M303" s="12">
        <f>'Operating Budget'!L306</f>
        <v>0</v>
      </c>
      <c r="N303" s="12">
        <f>'Operating Budget'!M306</f>
        <v>0</v>
      </c>
      <c r="O303" s="12">
        <f>'Operating Budget'!N306</f>
        <v>0</v>
      </c>
      <c r="P303" s="12">
        <f>'Operating Budget'!O306</f>
        <v>0</v>
      </c>
      <c r="Q303" s="12">
        <f>'Operating Budget'!P306</f>
        <v>0</v>
      </c>
      <c r="R303" s="12">
        <f>'Operating Budget'!Q306</f>
        <v>0</v>
      </c>
      <c r="S303" s="12" t="e">
        <f t="shared" si="39"/>
        <v>#REF!</v>
      </c>
    </row>
    <row r="304" spans="1:19">
      <c r="A304" s="11">
        <f>'Operating Budget'!A307</f>
        <v>8513</v>
      </c>
      <c r="B304" s="10" t="str">
        <f>'Operating Budget'!B307</f>
        <v>Depreciation Exp: Building Improvements</v>
      </c>
      <c r="C304" s="48" t="e">
        <f>#REF!</f>
        <v>#REF!</v>
      </c>
      <c r="D304" s="49" t="e">
        <f>#REF!</f>
        <v>#REF!</v>
      </c>
      <c r="E304" s="49" t="e">
        <f>#REF!</f>
        <v>#REF!</v>
      </c>
      <c r="F304" s="50" t="e">
        <f>#REF!</f>
        <v>#REF!</v>
      </c>
      <c r="G304" s="12" t="e">
        <f>'Operating Budget'!#REF!</f>
        <v>#REF!</v>
      </c>
      <c r="H304" s="12" t="e">
        <f>'Operating Budget'!#REF!</f>
        <v>#REF!</v>
      </c>
      <c r="I304" s="12" t="e">
        <f>'Operating Budget'!#REF!</f>
        <v>#REF!</v>
      </c>
      <c r="J304" s="12">
        <f>'Operating Budget'!F307</f>
        <v>0</v>
      </c>
      <c r="K304" s="12">
        <f>'Operating Budget'!J307</f>
        <v>0</v>
      </c>
      <c r="L304" s="12">
        <f>'Operating Budget'!K307</f>
        <v>0</v>
      </c>
      <c r="M304" s="12">
        <f>'Operating Budget'!L307</f>
        <v>0</v>
      </c>
      <c r="N304" s="12">
        <f>'Operating Budget'!M307</f>
        <v>0</v>
      </c>
      <c r="O304" s="12">
        <f>'Operating Budget'!N307</f>
        <v>0</v>
      </c>
      <c r="P304" s="12">
        <f>'Operating Budget'!O307</f>
        <v>0</v>
      </c>
      <c r="Q304" s="12">
        <f>'Operating Budget'!P307</f>
        <v>0</v>
      </c>
      <c r="R304" s="12">
        <f>'Operating Budget'!Q307</f>
        <v>0</v>
      </c>
      <c r="S304" s="12" t="e">
        <f t="shared" si="39"/>
        <v>#REF!</v>
      </c>
    </row>
    <row r="305" spans="1:19">
      <c r="A305" s="11">
        <f>'Operating Budget'!A308</f>
        <v>8514</v>
      </c>
      <c r="B305" s="10" t="str">
        <f>'Operating Budget'!B308</f>
        <v>Depreciation Exp: FFE</v>
      </c>
      <c r="C305" s="48" t="e">
        <f>#REF!</f>
        <v>#REF!</v>
      </c>
      <c r="D305" s="49" t="e">
        <f>#REF!</f>
        <v>#REF!</v>
      </c>
      <c r="E305" s="49" t="e">
        <f>#REF!</f>
        <v>#REF!</v>
      </c>
      <c r="F305" s="50" t="e">
        <f>#REF!</f>
        <v>#REF!</v>
      </c>
      <c r="G305" s="12" t="e">
        <f>'Operating Budget'!#REF!</f>
        <v>#REF!</v>
      </c>
      <c r="H305" s="12" t="e">
        <f>'Operating Budget'!#REF!</f>
        <v>#REF!</v>
      </c>
      <c r="I305" s="12" t="e">
        <f>'Operating Budget'!#REF!</f>
        <v>#REF!</v>
      </c>
      <c r="J305" s="12">
        <f>'Operating Budget'!F308</f>
        <v>0</v>
      </c>
      <c r="K305" s="12">
        <f>'Operating Budget'!J308</f>
        <v>0</v>
      </c>
      <c r="L305" s="12">
        <f>'Operating Budget'!K308</f>
        <v>0</v>
      </c>
      <c r="M305" s="12">
        <f>'Operating Budget'!L308</f>
        <v>0</v>
      </c>
      <c r="N305" s="12">
        <f>'Operating Budget'!M308</f>
        <v>0</v>
      </c>
      <c r="O305" s="12">
        <f>'Operating Budget'!N308</f>
        <v>0</v>
      </c>
      <c r="P305" s="12">
        <f>'Operating Budget'!O308</f>
        <v>0</v>
      </c>
      <c r="Q305" s="12">
        <f>'Operating Budget'!P308</f>
        <v>0</v>
      </c>
      <c r="R305" s="12">
        <f>'Operating Budget'!Q308</f>
        <v>0</v>
      </c>
      <c r="S305" s="12" t="e">
        <f t="shared" si="39"/>
        <v>#REF!</v>
      </c>
    </row>
    <row r="306" spans="1:19">
      <c r="A306" s="11">
        <f>'Operating Budget'!A309</f>
        <v>8515</v>
      </c>
      <c r="B306" s="10" t="str">
        <f>'Operating Budget'!B309</f>
        <v>Depreciation Exp: Land Improvements</v>
      </c>
      <c r="C306" s="48" t="e">
        <f>#REF!</f>
        <v>#REF!</v>
      </c>
      <c r="D306" s="49" t="e">
        <f>#REF!</f>
        <v>#REF!</v>
      </c>
      <c r="E306" s="49" t="e">
        <f>#REF!</f>
        <v>#REF!</v>
      </c>
      <c r="F306" s="50" t="e">
        <f>#REF!</f>
        <v>#REF!</v>
      </c>
      <c r="G306" s="12" t="e">
        <f>'Operating Budget'!#REF!</f>
        <v>#REF!</v>
      </c>
      <c r="H306" s="12" t="e">
        <f>'Operating Budget'!#REF!</f>
        <v>#REF!</v>
      </c>
      <c r="I306" s="12" t="e">
        <f>'Operating Budget'!#REF!</f>
        <v>#REF!</v>
      </c>
      <c r="J306" s="12">
        <f>'Operating Budget'!F309</f>
        <v>0</v>
      </c>
      <c r="K306" s="12">
        <f>'Operating Budget'!J309</f>
        <v>0</v>
      </c>
      <c r="L306" s="12">
        <f>'Operating Budget'!K309</f>
        <v>0</v>
      </c>
      <c r="M306" s="12">
        <f>'Operating Budget'!L309</f>
        <v>0</v>
      </c>
      <c r="N306" s="12">
        <f>'Operating Budget'!M309</f>
        <v>0</v>
      </c>
      <c r="O306" s="12">
        <f>'Operating Budget'!N309</f>
        <v>0</v>
      </c>
      <c r="P306" s="12">
        <f>'Operating Budget'!O309</f>
        <v>0</v>
      </c>
      <c r="Q306" s="12">
        <f>'Operating Budget'!P309</f>
        <v>0</v>
      </c>
      <c r="R306" s="12">
        <f>'Operating Budget'!Q309</f>
        <v>0</v>
      </c>
      <c r="S306" s="12" t="e">
        <f t="shared" si="39"/>
        <v>#REF!</v>
      </c>
    </row>
    <row r="307" spans="1:19">
      <c r="A307" s="11">
        <f>'Operating Budget'!A310</f>
        <v>8516</v>
      </c>
      <c r="B307" s="10" t="str">
        <f>'Operating Budget'!B310</f>
        <v>Depreciation Exp: Distributive Trades and Services</v>
      </c>
      <c r="C307" s="48" t="e">
        <f>#REF!</f>
        <v>#REF!</v>
      </c>
      <c r="D307" s="49" t="e">
        <f>#REF!</f>
        <v>#REF!</v>
      </c>
      <c r="E307" s="49" t="e">
        <f>#REF!</f>
        <v>#REF!</v>
      </c>
      <c r="F307" s="50" t="e">
        <f>#REF!</f>
        <v>#REF!</v>
      </c>
      <c r="G307" s="12" t="e">
        <f>'Operating Budget'!#REF!</f>
        <v>#REF!</v>
      </c>
      <c r="H307" s="12" t="e">
        <f>'Operating Budget'!#REF!</f>
        <v>#REF!</v>
      </c>
      <c r="I307" s="12" t="e">
        <f>'Operating Budget'!#REF!</f>
        <v>#REF!</v>
      </c>
      <c r="J307" s="12">
        <f>'Operating Budget'!F310</f>
        <v>0</v>
      </c>
      <c r="K307" s="12">
        <f>'Operating Budget'!J310</f>
        <v>0</v>
      </c>
      <c r="L307" s="12">
        <f>'Operating Budget'!K310</f>
        <v>0</v>
      </c>
      <c r="M307" s="12">
        <f>'Operating Budget'!L310</f>
        <v>0</v>
      </c>
      <c r="N307" s="12">
        <f>'Operating Budget'!M310</f>
        <v>0</v>
      </c>
      <c r="O307" s="12">
        <f>'Operating Budget'!N310</f>
        <v>0</v>
      </c>
      <c r="P307" s="12">
        <f>'Operating Budget'!O310</f>
        <v>0</v>
      </c>
      <c r="Q307" s="12">
        <f>'Operating Budget'!P310</f>
        <v>0</v>
      </c>
      <c r="R307" s="12">
        <f>'Operating Budget'!Q310</f>
        <v>0</v>
      </c>
      <c r="S307" s="12" t="e">
        <f t="shared" si="39"/>
        <v>#REF!</v>
      </c>
    </row>
    <row r="308" spans="1:19">
      <c r="A308" s="11">
        <f>'Operating Budget'!A311</f>
        <v>8520</v>
      </c>
      <c r="B308" s="10" t="str">
        <f>'Operating Budget'!B311</f>
        <v>Amortization Expense</v>
      </c>
      <c r="C308" s="48" t="e">
        <f>#REF!</f>
        <v>#REF!</v>
      </c>
      <c r="D308" s="49" t="e">
        <f>#REF!</f>
        <v>#REF!</v>
      </c>
      <c r="E308" s="49" t="e">
        <f>#REF!</f>
        <v>#REF!</v>
      </c>
      <c r="F308" s="50" t="e">
        <f>#REF!</f>
        <v>#REF!</v>
      </c>
      <c r="G308" s="12" t="e">
        <f>'Operating Budget'!#REF!</f>
        <v>#REF!</v>
      </c>
      <c r="H308" s="12" t="e">
        <f>'Operating Budget'!#REF!</f>
        <v>#REF!</v>
      </c>
      <c r="I308" s="12" t="e">
        <f>'Operating Budget'!#REF!</f>
        <v>#REF!</v>
      </c>
      <c r="J308" s="12">
        <f>'Operating Budget'!F311</f>
        <v>0</v>
      </c>
      <c r="K308" s="12">
        <f>'Operating Budget'!J311</f>
        <v>0</v>
      </c>
      <c r="L308" s="12">
        <f>'Operating Budget'!K311</f>
        <v>0</v>
      </c>
      <c r="M308" s="12">
        <f>'Operating Budget'!L311</f>
        <v>0</v>
      </c>
      <c r="N308" s="12">
        <f>'Operating Budget'!M311</f>
        <v>0</v>
      </c>
      <c r="O308" s="12">
        <f>'Operating Budget'!N311</f>
        <v>0</v>
      </c>
      <c r="P308" s="12">
        <f>'Operating Budget'!O311</f>
        <v>0</v>
      </c>
      <c r="Q308" s="12">
        <f>'Operating Budget'!P311</f>
        <v>0</v>
      </c>
      <c r="R308" s="12">
        <f>'Operating Budget'!Q311</f>
        <v>0</v>
      </c>
      <c r="S308" s="12" t="e">
        <f t="shared" si="39"/>
        <v>#REF!</v>
      </c>
    </row>
    <row r="309" spans="1:19">
      <c r="A309" s="11">
        <f>'Operating Budget'!A312</f>
        <v>8525</v>
      </c>
      <c r="B309" s="10" t="str">
        <f>'Operating Budget'!B312</f>
        <v>Amortization Exp: Loan Acq Costs</v>
      </c>
      <c r="C309" s="48" t="e">
        <f>#REF!</f>
        <v>#REF!</v>
      </c>
      <c r="D309" s="49" t="e">
        <f>#REF!</f>
        <v>#REF!</v>
      </c>
      <c r="E309" s="49" t="e">
        <f>#REF!</f>
        <v>#REF!</v>
      </c>
      <c r="F309" s="50" t="e">
        <f>#REF!</f>
        <v>#REF!</v>
      </c>
      <c r="G309" s="12" t="e">
        <f>'Operating Budget'!#REF!</f>
        <v>#REF!</v>
      </c>
      <c r="H309" s="12" t="e">
        <f>'Operating Budget'!#REF!</f>
        <v>#REF!</v>
      </c>
      <c r="I309" s="12" t="e">
        <f>'Operating Budget'!#REF!</f>
        <v>#REF!</v>
      </c>
      <c r="J309" s="12">
        <f>'Operating Budget'!F312</f>
        <v>0</v>
      </c>
      <c r="K309" s="12">
        <f>'Operating Budget'!J312</f>
        <v>0</v>
      </c>
      <c r="L309" s="12">
        <f>'Operating Budget'!K312</f>
        <v>0</v>
      </c>
      <c r="M309" s="12">
        <f>'Operating Budget'!L312</f>
        <v>0</v>
      </c>
      <c r="N309" s="12">
        <f>'Operating Budget'!M312</f>
        <v>0</v>
      </c>
      <c r="O309" s="12">
        <f>'Operating Budget'!N312</f>
        <v>0</v>
      </c>
      <c r="P309" s="12">
        <f>'Operating Budget'!O312</f>
        <v>0</v>
      </c>
      <c r="Q309" s="12">
        <f>'Operating Budget'!P312</f>
        <v>0</v>
      </c>
      <c r="R309" s="12">
        <f>'Operating Budget'!Q312</f>
        <v>0</v>
      </c>
      <c r="S309" s="12" t="e">
        <f t="shared" si="39"/>
        <v>#REF!</v>
      </c>
    </row>
    <row r="310" spans="1:19">
      <c r="C310" s="23"/>
      <c r="D310" s="17"/>
      <c r="E310" s="17"/>
      <c r="F310" s="24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</row>
    <row r="311" spans="1:19">
      <c r="B311" s="13" t="s">
        <v>58</v>
      </c>
      <c r="C311" s="30" t="e">
        <f t="shared" ref="C311:E311" si="40">SUM(C278:C309)</f>
        <v>#REF!</v>
      </c>
      <c r="D311" s="31" t="e">
        <f t="shared" si="40"/>
        <v>#REF!</v>
      </c>
      <c r="E311" s="31" t="e">
        <f t="shared" si="40"/>
        <v>#REF!</v>
      </c>
      <c r="F311" s="32" t="e">
        <f t="shared" ref="F311:R311" si="41">SUM(F278:F309)</f>
        <v>#REF!</v>
      </c>
      <c r="G311" s="39" t="e">
        <f t="shared" si="41"/>
        <v>#REF!</v>
      </c>
      <c r="H311" s="39" t="e">
        <f t="shared" si="41"/>
        <v>#REF!</v>
      </c>
      <c r="I311" s="39" t="e">
        <f t="shared" si="41"/>
        <v>#REF!</v>
      </c>
      <c r="J311" s="39" t="e">
        <f t="shared" si="41"/>
        <v>#REF!</v>
      </c>
      <c r="K311" s="39" t="e">
        <f t="shared" si="41"/>
        <v>#REF!</v>
      </c>
      <c r="L311" s="39" t="e">
        <f t="shared" si="41"/>
        <v>#REF!</v>
      </c>
      <c r="M311" s="39" t="e">
        <f t="shared" si="41"/>
        <v>#REF!</v>
      </c>
      <c r="N311" s="39" t="e">
        <f t="shared" si="41"/>
        <v>#REF!</v>
      </c>
      <c r="O311" s="39" t="e">
        <f t="shared" si="41"/>
        <v>#REF!</v>
      </c>
      <c r="P311" s="39" t="e">
        <f t="shared" si="41"/>
        <v>#REF!</v>
      </c>
      <c r="Q311" s="39" t="e">
        <f t="shared" si="41"/>
        <v>#REF!</v>
      </c>
      <c r="R311" s="39" t="e">
        <f t="shared" si="41"/>
        <v>#REF!</v>
      </c>
      <c r="S311" s="39" t="e">
        <f>SUM(G311:R311)</f>
        <v>#REF!</v>
      </c>
    </row>
    <row r="312" spans="1:19">
      <c r="C312" s="21"/>
      <c r="F312" s="2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</row>
    <row r="313" spans="1:19">
      <c r="B313" s="13" t="s">
        <v>55</v>
      </c>
      <c r="C313" s="25"/>
      <c r="D313" s="13"/>
      <c r="E313" s="13"/>
      <c r="F313" s="26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</row>
    <row r="314" spans="1:19">
      <c r="C314" s="21"/>
      <c r="F314" s="2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</row>
    <row r="315" spans="1:19">
      <c r="A315" s="11">
        <f>'Operating Budget'!A318</f>
        <v>9085</v>
      </c>
      <c r="B315" s="10" t="str">
        <f>'Operating Budget'!B318</f>
        <v>CAPEX-Building-Common Area</v>
      </c>
      <c r="C315" s="57" t="e">
        <f>#REF!</f>
        <v>#REF!</v>
      </c>
      <c r="D315" s="58" t="e">
        <f>#REF!</f>
        <v>#REF!</v>
      </c>
      <c r="E315" s="58" t="e">
        <f>#REF!</f>
        <v>#REF!</v>
      </c>
      <c r="F315" s="59" t="e">
        <f>#REF!</f>
        <v>#REF!</v>
      </c>
      <c r="G315" s="12" t="e">
        <f>'Operating Budget'!#REF!</f>
        <v>#REF!</v>
      </c>
      <c r="H315" s="12" t="e">
        <f>'Operating Budget'!#REF!</f>
        <v>#REF!</v>
      </c>
      <c r="I315" s="12" t="e">
        <f>'Operating Budget'!#REF!</f>
        <v>#REF!</v>
      </c>
      <c r="J315" s="12">
        <f>'Operating Budget'!F318</f>
        <v>0</v>
      </c>
      <c r="K315" s="12">
        <f>'Operating Budget'!J318</f>
        <v>0</v>
      </c>
      <c r="L315" s="12">
        <f>'Operating Budget'!K318</f>
        <v>0</v>
      </c>
      <c r="M315" s="12">
        <f>'Operating Budget'!L318</f>
        <v>0</v>
      </c>
      <c r="N315" s="12">
        <f>'Operating Budget'!M318</f>
        <v>0</v>
      </c>
      <c r="O315" s="12">
        <f>'Operating Budget'!N318</f>
        <v>0</v>
      </c>
      <c r="P315" s="12">
        <f>'Operating Budget'!O318</f>
        <v>0</v>
      </c>
      <c r="Q315" s="12">
        <f>'Operating Budget'!P318</f>
        <v>0</v>
      </c>
      <c r="R315" s="12">
        <f>'Operating Budget'!Q318</f>
        <v>0</v>
      </c>
      <c r="S315" s="12" t="e">
        <f>SUM(G315:R315)</f>
        <v>#REF!</v>
      </c>
    </row>
    <row r="316" spans="1:19">
      <c r="A316" s="11">
        <f>'Operating Budget'!A319</f>
        <v>9087</v>
      </c>
      <c r="B316" s="10" t="str">
        <f>'Operating Budget'!B319</f>
        <v>CAPEX-Building-Exterior</v>
      </c>
      <c r="C316" s="48" t="e">
        <f>#REF!</f>
        <v>#REF!</v>
      </c>
      <c r="D316" s="49" t="e">
        <f>#REF!</f>
        <v>#REF!</v>
      </c>
      <c r="E316" s="49" t="e">
        <f>#REF!</f>
        <v>#REF!</v>
      </c>
      <c r="F316" s="50" t="e">
        <f>#REF!</f>
        <v>#REF!</v>
      </c>
      <c r="G316" s="12" t="e">
        <f>'Operating Budget'!#REF!</f>
        <v>#REF!</v>
      </c>
      <c r="H316" s="12" t="e">
        <f>'Operating Budget'!#REF!</f>
        <v>#REF!</v>
      </c>
      <c r="I316" s="12" t="e">
        <f>'Operating Budget'!#REF!</f>
        <v>#REF!</v>
      </c>
      <c r="J316" s="12">
        <f>'Operating Budget'!F319</f>
        <v>0</v>
      </c>
      <c r="K316" s="12">
        <f>'Operating Budget'!J319</f>
        <v>0</v>
      </c>
      <c r="L316" s="12">
        <f>'Operating Budget'!K319</f>
        <v>0</v>
      </c>
      <c r="M316" s="12">
        <f>'Operating Budget'!L319</f>
        <v>0</v>
      </c>
      <c r="N316" s="12">
        <f>'Operating Budget'!M319</f>
        <v>0</v>
      </c>
      <c r="O316" s="12">
        <f>'Operating Budget'!N319</f>
        <v>0</v>
      </c>
      <c r="P316" s="12">
        <f>'Operating Budget'!O319</f>
        <v>0</v>
      </c>
      <c r="Q316" s="12">
        <f>'Operating Budget'!P319</f>
        <v>0</v>
      </c>
      <c r="R316" s="12">
        <f>'Operating Budget'!Q319</f>
        <v>0</v>
      </c>
      <c r="S316" s="12" t="e">
        <f t="shared" ref="S316:S350" si="42">SUM(G316:R316)</f>
        <v>#REF!</v>
      </c>
    </row>
    <row r="317" spans="1:19">
      <c r="A317" s="11">
        <f>'Operating Budget'!A320</f>
        <v>9100</v>
      </c>
      <c r="B317" s="10" t="str">
        <f>'Operating Budget'!B320</f>
        <v>CAPEX-Carpet Replacement</v>
      </c>
      <c r="C317" s="48" t="e">
        <f>#REF!</f>
        <v>#REF!</v>
      </c>
      <c r="D317" s="49" t="e">
        <f>#REF!</f>
        <v>#REF!</v>
      </c>
      <c r="E317" s="49" t="e">
        <f>#REF!</f>
        <v>#REF!</v>
      </c>
      <c r="F317" s="50" t="e">
        <f>#REF!</f>
        <v>#REF!</v>
      </c>
      <c r="G317" s="12" t="e">
        <f>'Operating Budget'!#REF!</f>
        <v>#REF!</v>
      </c>
      <c r="H317" s="12" t="e">
        <f>'Operating Budget'!#REF!</f>
        <v>#REF!</v>
      </c>
      <c r="I317" s="12" t="e">
        <f>'Operating Budget'!#REF!</f>
        <v>#REF!</v>
      </c>
      <c r="J317" s="12">
        <f>'Operating Budget'!F320</f>
        <v>0</v>
      </c>
      <c r="K317" s="12">
        <f>'Operating Budget'!J320</f>
        <v>0</v>
      </c>
      <c r="L317" s="12">
        <f>'Operating Budget'!K320</f>
        <v>0</v>
      </c>
      <c r="M317" s="12">
        <f>'Operating Budget'!L320</f>
        <v>0</v>
      </c>
      <c r="N317" s="12">
        <f>'Operating Budget'!M320</f>
        <v>0</v>
      </c>
      <c r="O317" s="12">
        <f>'Operating Budget'!N320</f>
        <v>0</v>
      </c>
      <c r="P317" s="12">
        <f>'Operating Budget'!O320</f>
        <v>0</v>
      </c>
      <c r="Q317" s="12">
        <f>'Operating Budget'!P320</f>
        <v>0</v>
      </c>
      <c r="R317" s="12">
        <f>'Operating Budget'!Q320</f>
        <v>0</v>
      </c>
      <c r="S317" s="12" t="e">
        <f t="shared" si="42"/>
        <v>#REF!</v>
      </c>
    </row>
    <row r="318" spans="1:19">
      <c r="A318" s="11">
        <f>'Operating Budget'!A321</f>
        <v>9102</v>
      </c>
      <c r="B318" s="10" t="str">
        <f>'Operating Budget'!B321</f>
        <v>CAPEX-Ceiling Fans/Fixtures</v>
      </c>
      <c r="C318" s="48" t="e">
        <f>#REF!</f>
        <v>#REF!</v>
      </c>
      <c r="D318" s="49" t="e">
        <f>#REF!</f>
        <v>#REF!</v>
      </c>
      <c r="E318" s="49" t="e">
        <f>#REF!</f>
        <v>#REF!</v>
      </c>
      <c r="F318" s="50" t="e">
        <f>#REF!</f>
        <v>#REF!</v>
      </c>
      <c r="G318" s="12" t="e">
        <f>'Operating Budget'!#REF!</f>
        <v>#REF!</v>
      </c>
      <c r="H318" s="12" t="e">
        <f>'Operating Budget'!#REF!</f>
        <v>#REF!</v>
      </c>
      <c r="I318" s="12" t="e">
        <f>'Operating Budget'!#REF!</f>
        <v>#REF!</v>
      </c>
      <c r="J318" s="12">
        <f>'Operating Budget'!F321</f>
        <v>0</v>
      </c>
      <c r="K318" s="12">
        <f>'Operating Budget'!J321</f>
        <v>0</v>
      </c>
      <c r="L318" s="12">
        <f>'Operating Budget'!K321</f>
        <v>0</v>
      </c>
      <c r="M318" s="12">
        <f>'Operating Budget'!L321</f>
        <v>0</v>
      </c>
      <c r="N318" s="12">
        <f>'Operating Budget'!M321</f>
        <v>0</v>
      </c>
      <c r="O318" s="12">
        <f>'Operating Budget'!N321</f>
        <v>0</v>
      </c>
      <c r="P318" s="12">
        <f>'Operating Budget'!O321</f>
        <v>0</v>
      </c>
      <c r="Q318" s="12">
        <f>'Operating Budget'!P321</f>
        <v>0</v>
      </c>
      <c r="R318" s="12">
        <f>'Operating Budget'!Q321</f>
        <v>0</v>
      </c>
      <c r="S318" s="12" t="e">
        <f t="shared" si="42"/>
        <v>#REF!</v>
      </c>
    </row>
    <row r="319" spans="1:19">
      <c r="A319" s="11">
        <f>'Operating Budget'!A322</f>
        <v>9103</v>
      </c>
      <c r="B319" s="10" t="str">
        <f>'Operating Budget'!B322</f>
        <v>CAPEX-Clubhouse</v>
      </c>
      <c r="C319" s="48" t="e">
        <f>#REF!</f>
        <v>#REF!</v>
      </c>
      <c r="D319" s="49" t="e">
        <f>#REF!</f>
        <v>#REF!</v>
      </c>
      <c r="E319" s="49" t="e">
        <f>#REF!</f>
        <v>#REF!</v>
      </c>
      <c r="F319" s="50" t="e">
        <f>#REF!</f>
        <v>#REF!</v>
      </c>
      <c r="G319" s="12" t="e">
        <f>'Operating Budget'!#REF!</f>
        <v>#REF!</v>
      </c>
      <c r="H319" s="12" t="e">
        <f>'Operating Budget'!#REF!</f>
        <v>#REF!</v>
      </c>
      <c r="I319" s="12" t="e">
        <f>'Operating Budget'!#REF!</f>
        <v>#REF!</v>
      </c>
      <c r="J319" s="12">
        <f>'Operating Budget'!F322</f>
        <v>0</v>
      </c>
      <c r="K319" s="12">
        <f>'Operating Budget'!J322</f>
        <v>0</v>
      </c>
      <c r="L319" s="12">
        <f>'Operating Budget'!K322</f>
        <v>0</v>
      </c>
      <c r="M319" s="12">
        <f>'Operating Budget'!L322</f>
        <v>0</v>
      </c>
      <c r="N319" s="12">
        <f>'Operating Budget'!M322</f>
        <v>0</v>
      </c>
      <c r="O319" s="12">
        <f>'Operating Budget'!N322</f>
        <v>0</v>
      </c>
      <c r="P319" s="12">
        <f>'Operating Budget'!O322</f>
        <v>0</v>
      </c>
      <c r="Q319" s="12">
        <f>'Operating Budget'!P322</f>
        <v>0</v>
      </c>
      <c r="R319" s="12">
        <f>'Operating Budget'!Q322</f>
        <v>0</v>
      </c>
      <c r="S319" s="12" t="e">
        <f t="shared" si="42"/>
        <v>#REF!</v>
      </c>
    </row>
    <row r="320" spans="1:19">
      <c r="A320" s="11">
        <f>'Operating Budget'!A323</f>
        <v>9105</v>
      </c>
      <c r="B320" s="10" t="str">
        <f>'Operating Budget'!B323</f>
        <v>CAPEX-Dishwashers</v>
      </c>
      <c r="C320" s="48" t="e">
        <f>#REF!</f>
        <v>#REF!</v>
      </c>
      <c r="D320" s="49" t="e">
        <f>#REF!</f>
        <v>#REF!</v>
      </c>
      <c r="E320" s="49" t="e">
        <f>#REF!</f>
        <v>#REF!</v>
      </c>
      <c r="F320" s="50" t="e">
        <f>#REF!</f>
        <v>#REF!</v>
      </c>
      <c r="G320" s="12" t="e">
        <f>'Operating Budget'!#REF!</f>
        <v>#REF!</v>
      </c>
      <c r="H320" s="12" t="e">
        <f>'Operating Budget'!#REF!</f>
        <v>#REF!</v>
      </c>
      <c r="I320" s="12" t="e">
        <f>'Operating Budget'!#REF!</f>
        <v>#REF!</v>
      </c>
      <c r="J320" s="12">
        <f>'Operating Budget'!F323</f>
        <v>0</v>
      </c>
      <c r="K320" s="12">
        <f>'Operating Budget'!J323</f>
        <v>0</v>
      </c>
      <c r="L320" s="12">
        <f>'Operating Budget'!K323</f>
        <v>0</v>
      </c>
      <c r="M320" s="12">
        <f>'Operating Budget'!L323</f>
        <v>0</v>
      </c>
      <c r="N320" s="12">
        <f>'Operating Budget'!M323</f>
        <v>0</v>
      </c>
      <c r="O320" s="12">
        <f>'Operating Budget'!N323</f>
        <v>0</v>
      </c>
      <c r="P320" s="12">
        <f>'Operating Budget'!O323</f>
        <v>0</v>
      </c>
      <c r="Q320" s="12">
        <f>'Operating Budget'!P323</f>
        <v>0</v>
      </c>
      <c r="R320" s="12">
        <f>'Operating Budget'!Q323</f>
        <v>0</v>
      </c>
      <c r="S320" s="12" t="e">
        <f t="shared" si="42"/>
        <v>#REF!</v>
      </c>
    </row>
    <row r="321" spans="1:19">
      <c r="A321" s="11">
        <f>'Operating Budget'!A324</f>
        <v>9110</v>
      </c>
      <c r="B321" s="10" t="str">
        <f>'Operating Budget'!B324</f>
        <v>CAPEX-Disposals</v>
      </c>
      <c r="C321" s="48" t="e">
        <f>#REF!</f>
        <v>#REF!</v>
      </c>
      <c r="D321" s="49" t="e">
        <f>#REF!</f>
        <v>#REF!</v>
      </c>
      <c r="E321" s="49" t="e">
        <f>#REF!</f>
        <v>#REF!</v>
      </c>
      <c r="F321" s="50" t="e">
        <f>#REF!</f>
        <v>#REF!</v>
      </c>
      <c r="G321" s="12" t="e">
        <f>'Operating Budget'!#REF!</f>
        <v>#REF!</v>
      </c>
      <c r="H321" s="12" t="e">
        <f>'Operating Budget'!#REF!</f>
        <v>#REF!</v>
      </c>
      <c r="I321" s="12" t="e">
        <f>'Operating Budget'!#REF!</f>
        <v>#REF!</v>
      </c>
      <c r="J321" s="12">
        <f>'Operating Budget'!F324</f>
        <v>0</v>
      </c>
      <c r="K321" s="12">
        <f>'Operating Budget'!J324</f>
        <v>0</v>
      </c>
      <c r="L321" s="12">
        <f>'Operating Budget'!K324</f>
        <v>0</v>
      </c>
      <c r="M321" s="12">
        <f>'Operating Budget'!L324</f>
        <v>0</v>
      </c>
      <c r="N321" s="12">
        <f>'Operating Budget'!M324</f>
        <v>0</v>
      </c>
      <c r="O321" s="12">
        <f>'Operating Budget'!N324</f>
        <v>0</v>
      </c>
      <c r="P321" s="12">
        <f>'Operating Budget'!O324</f>
        <v>0</v>
      </c>
      <c r="Q321" s="12">
        <f>'Operating Budget'!P324</f>
        <v>0</v>
      </c>
      <c r="R321" s="12">
        <f>'Operating Budget'!Q324</f>
        <v>0</v>
      </c>
      <c r="S321" s="12" t="e">
        <f t="shared" si="42"/>
        <v>#REF!</v>
      </c>
    </row>
    <row r="322" spans="1:19">
      <c r="A322" s="11">
        <f>'Operating Budget'!A325</f>
        <v>9111</v>
      </c>
      <c r="B322" s="10" t="str">
        <f>'Operating Budget'!B325</f>
        <v>CAPEX-Microwaves</v>
      </c>
      <c r="C322" s="48" t="e">
        <f>#REF!</f>
        <v>#REF!</v>
      </c>
      <c r="D322" s="49" t="e">
        <f>#REF!</f>
        <v>#REF!</v>
      </c>
      <c r="E322" s="49" t="e">
        <f>#REF!</f>
        <v>#REF!</v>
      </c>
      <c r="F322" s="50" t="e">
        <f>#REF!</f>
        <v>#REF!</v>
      </c>
      <c r="G322" s="12" t="e">
        <f>'Operating Budget'!#REF!</f>
        <v>#REF!</v>
      </c>
      <c r="H322" s="12" t="e">
        <f>'Operating Budget'!#REF!</f>
        <v>#REF!</v>
      </c>
      <c r="I322" s="12" t="e">
        <f>'Operating Budget'!#REF!</f>
        <v>#REF!</v>
      </c>
      <c r="J322" s="12">
        <f>'Operating Budget'!F325</f>
        <v>0</v>
      </c>
      <c r="K322" s="12">
        <f>'Operating Budget'!J325</f>
        <v>0</v>
      </c>
      <c r="L322" s="12">
        <f>'Operating Budget'!K325</f>
        <v>0</v>
      </c>
      <c r="M322" s="12">
        <f>'Operating Budget'!L325</f>
        <v>0</v>
      </c>
      <c r="N322" s="12">
        <f>'Operating Budget'!M325</f>
        <v>0</v>
      </c>
      <c r="O322" s="12">
        <f>'Operating Budget'!N325</f>
        <v>0</v>
      </c>
      <c r="P322" s="12">
        <f>'Operating Budget'!O325</f>
        <v>0</v>
      </c>
      <c r="Q322" s="12">
        <f>'Operating Budget'!P325</f>
        <v>0</v>
      </c>
      <c r="R322" s="12">
        <f>'Operating Budget'!Q325</f>
        <v>0</v>
      </c>
      <c r="S322" s="12" t="e">
        <f t="shared" si="42"/>
        <v>#REF!</v>
      </c>
    </row>
    <row r="323" spans="1:19">
      <c r="A323" s="11">
        <f>'Operating Budget'!A326</f>
        <v>9112</v>
      </c>
      <c r="B323" s="10" t="str">
        <f>'Operating Budget'!B326</f>
        <v>CAPEX-Equipment</v>
      </c>
      <c r="C323" s="48" t="e">
        <f>#REF!</f>
        <v>#REF!</v>
      </c>
      <c r="D323" s="49" t="e">
        <f>#REF!</f>
        <v>#REF!</v>
      </c>
      <c r="E323" s="49" t="e">
        <f>#REF!</f>
        <v>#REF!</v>
      </c>
      <c r="F323" s="50" t="e">
        <f>#REF!</f>
        <v>#REF!</v>
      </c>
      <c r="G323" s="12" t="e">
        <f>'Operating Budget'!#REF!</f>
        <v>#REF!</v>
      </c>
      <c r="H323" s="12" t="e">
        <f>'Operating Budget'!#REF!</f>
        <v>#REF!</v>
      </c>
      <c r="I323" s="12" t="e">
        <f>'Operating Budget'!#REF!</f>
        <v>#REF!</v>
      </c>
      <c r="J323" s="12">
        <f>'Operating Budget'!F326</f>
        <v>0</v>
      </c>
      <c r="K323" s="12">
        <f>'Operating Budget'!J326</f>
        <v>0</v>
      </c>
      <c r="L323" s="12">
        <f>'Operating Budget'!K326</f>
        <v>0</v>
      </c>
      <c r="M323" s="12">
        <f>'Operating Budget'!L326</f>
        <v>0</v>
      </c>
      <c r="N323" s="12">
        <f>'Operating Budget'!M326</f>
        <v>0</v>
      </c>
      <c r="O323" s="12">
        <f>'Operating Budget'!N326</f>
        <v>0</v>
      </c>
      <c r="P323" s="12">
        <f>'Operating Budget'!O326</f>
        <v>0</v>
      </c>
      <c r="Q323" s="12">
        <f>'Operating Budget'!P326</f>
        <v>0</v>
      </c>
      <c r="R323" s="12">
        <f>'Operating Budget'!Q326</f>
        <v>0</v>
      </c>
      <c r="S323" s="12" t="e">
        <f t="shared" si="42"/>
        <v>#REF!</v>
      </c>
    </row>
    <row r="324" spans="1:19">
      <c r="A324" s="11">
        <f>'Operating Budget'!A327</f>
        <v>9115</v>
      </c>
      <c r="B324" s="10" t="str">
        <f>'Operating Budget'!B327</f>
        <v>CAPEX-Fire Protection/Life Safety</v>
      </c>
      <c r="C324" s="48" t="e">
        <f>#REF!</f>
        <v>#REF!</v>
      </c>
      <c r="D324" s="49" t="e">
        <f>#REF!</f>
        <v>#REF!</v>
      </c>
      <c r="E324" s="49" t="e">
        <f>#REF!</f>
        <v>#REF!</v>
      </c>
      <c r="F324" s="50" t="e">
        <f>#REF!</f>
        <v>#REF!</v>
      </c>
      <c r="G324" s="12" t="e">
        <f>'Operating Budget'!#REF!</f>
        <v>#REF!</v>
      </c>
      <c r="H324" s="12" t="e">
        <f>'Operating Budget'!#REF!</f>
        <v>#REF!</v>
      </c>
      <c r="I324" s="12" t="e">
        <f>'Operating Budget'!#REF!</f>
        <v>#REF!</v>
      </c>
      <c r="J324" s="12">
        <f>'Operating Budget'!F327</f>
        <v>0</v>
      </c>
      <c r="K324" s="12">
        <f>'Operating Budget'!J327</f>
        <v>0</v>
      </c>
      <c r="L324" s="12">
        <f>'Operating Budget'!K327</f>
        <v>0</v>
      </c>
      <c r="M324" s="12">
        <f>'Operating Budget'!L327</f>
        <v>0</v>
      </c>
      <c r="N324" s="12">
        <f>'Operating Budget'!M327</f>
        <v>0</v>
      </c>
      <c r="O324" s="12">
        <f>'Operating Budget'!N327</f>
        <v>0</v>
      </c>
      <c r="P324" s="12">
        <f>'Operating Budget'!O327</f>
        <v>0</v>
      </c>
      <c r="Q324" s="12">
        <f>'Operating Budget'!P327</f>
        <v>0</v>
      </c>
      <c r="R324" s="12">
        <f>'Operating Budget'!Q327</f>
        <v>0</v>
      </c>
      <c r="S324" s="12" t="e">
        <f t="shared" si="42"/>
        <v>#REF!</v>
      </c>
    </row>
    <row r="325" spans="1:19">
      <c r="A325" s="11">
        <f>'Operating Budget'!A328</f>
        <v>9120</v>
      </c>
      <c r="B325" s="10" t="str">
        <f>'Operating Budget'!B328</f>
        <v>CAPEX-Furniture &amp; Fixtures</v>
      </c>
      <c r="C325" s="48" t="e">
        <f>#REF!</f>
        <v>#REF!</v>
      </c>
      <c r="D325" s="49" t="e">
        <f>#REF!</f>
        <v>#REF!</v>
      </c>
      <c r="E325" s="49" t="e">
        <f>#REF!</f>
        <v>#REF!</v>
      </c>
      <c r="F325" s="50" t="e">
        <f>#REF!</f>
        <v>#REF!</v>
      </c>
      <c r="G325" s="12" t="e">
        <f>'Operating Budget'!#REF!</f>
        <v>#REF!</v>
      </c>
      <c r="H325" s="12" t="e">
        <f>'Operating Budget'!#REF!</f>
        <v>#REF!</v>
      </c>
      <c r="I325" s="12" t="e">
        <f>'Operating Budget'!#REF!</f>
        <v>#REF!</v>
      </c>
      <c r="J325" s="12">
        <f>'Operating Budget'!F328</f>
        <v>0</v>
      </c>
      <c r="K325" s="12">
        <f>'Operating Budget'!J328</f>
        <v>0</v>
      </c>
      <c r="L325" s="12">
        <f>'Operating Budget'!K328</f>
        <v>0</v>
      </c>
      <c r="M325" s="12">
        <f>'Operating Budget'!L328</f>
        <v>0</v>
      </c>
      <c r="N325" s="12">
        <f>'Operating Budget'!M328</f>
        <v>0</v>
      </c>
      <c r="O325" s="12">
        <f>'Operating Budget'!N328</f>
        <v>0</v>
      </c>
      <c r="P325" s="12">
        <f>'Operating Budget'!O328</f>
        <v>0</v>
      </c>
      <c r="Q325" s="12">
        <f>'Operating Budget'!P328</f>
        <v>0</v>
      </c>
      <c r="R325" s="12">
        <f>'Operating Budget'!Q328</f>
        <v>0</v>
      </c>
      <c r="S325" s="12" t="e">
        <f t="shared" si="42"/>
        <v>#REF!</v>
      </c>
    </row>
    <row r="326" spans="1:19">
      <c r="A326" s="11">
        <f>'Operating Budget'!A329</f>
        <v>9123</v>
      </c>
      <c r="B326" s="10" t="str">
        <f>'Operating Budget'!B329</f>
        <v>CAPEX-Gates/Fencing</v>
      </c>
      <c r="C326" s="48" t="e">
        <f>#REF!</f>
        <v>#REF!</v>
      </c>
      <c r="D326" s="49" t="e">
        <f>#REF!</f>
        <v>#REF!</v>
      </c>
      <c r="E326" s="49" t="e">
        <f>#REF!</f>
        <v>#REF!</v>
      </c>
      <c r="F326" s="50" t="e">
        <f>#REF!</f>
        <v>#REF!</v>
      </c>
      <c r="G326" s="12" t="e">
        <f>'Operating Budget'!#REF!</f>
        <v>#REF!</v>
      </c>
      <c r="H326" s="12" t="e">
        <f>'Operating Budget'!#REF!</f>
        <v>#REF!</v>
      </c>
      <c r="I326" s="12" t="e">
        <f>'Operating Budget'!#REF!</f>
        <v>#REF!</v>
      </c>
      <c r="J326" s="12">
        <f>'Operating Budget'!F329</f>
        <v>0</v>
      </c>
      <c r="K326" s="12">
        <f>'Operating Budget'!J329</f>
        <v>0</v>
      </c>
      <c r="L326" s="12">
        <f>'Operating Budget'!K329</f>
        <v>0</v>
      </c>
      <c r="M326" s="12">
        <f>'Operating Budget'!L329</f>
        <v>0</v>
      </c>
      <c r="N326" s="12">
        <f>'Operating Budget'!M329</f>
        <v>0</v>
      </c>
      <c r="O326" s="12">
        <f>'Operating Budget'!N329</f>
        <v>0</v>
      </c>
      <c r="P326" s="12">
        <f>'Operating Budget'!O329</f>
        <v>0</v>
      </c>
      <c r="Q326" s="12">
        <f>'Operating Budget'!P329</f>
        <v>0</v>
      </c>
      <c r="R326" s="12">
        <f>'Operating Budget'!Q329</f>
        <v>0</v>
      </c>
      <c r="S326" s="12" t="e">
        <f t="shared" si="42"/>
        <v>#REF!</v>
      </c>
    </row>
    <row r="327" spans="1:19">
      <c r="A327" s="11">
        <f>'Operating Budget'!A330</f>
        <v>9125</v>
      </c>
      <c r="B327" s="10" t="str">
        <f>'Operating Budget'!B330</f>
        <v>CAPEX-HVAC</v>
      </c>
      <c r="C327" s="48" t="e">
        <f>#REF!</f>
        <v>#REF!</v>
      </c>
      <c r="D327" s="49" t="e">
        <f>#REF!</f>
        <v>#REF!</v>
      </c>
      <c r="E327" s="49" t="e">
        <f>#REF!</f>
        <v>#REF!</v>
      </c>
      <c r="F327" s="50" t="e">
        <f>#REF!</f>
        <v>#REF!</v>
      </c>
      <c r="G327" s="12" t="e">
        <f>'Operating Budget'!#REF!</f>
        <v>#REF!</v>
      </c>
      <c r="H327" s="12" t="e">
        <f>'Operating Budget'!#REF!</f>
        <v>#REF!</v>
      </c>
      <c r="I327" s="12" t="e">
        <f>'Operating Budget'!#REF!</f>
        <v>#REF!</v>
      </c>
      <c r="J327" s="12">
        <f>'Operating Budget'!F330</f>
        <v>0</v>
      </c>
      <c r="K327" s="12">
        <f>'Operating Budget'!J330</f>
        <v>0</v>
      </c>
      <c r="L327" s="12">
        <f>'Operating Budget'!K330</f>
        <v>0</v>
      </c>
      <c r="M327" s="12">
        <f>'Operating Budget'!L330</f>
        <v>0</v>
      </c>
      <c r="N327" s="12">
        <f>'Operating Budget'!M330</f>
        <v>0</v>
      </c>
      <c r="O327" s="12">
        <f>'Operating Budget'!N330</f>
        <v>0</v>
      </c>
      <c r="P327" s="12">
        <f>'Operating Budget'!O330</f>
        <v>0</v>
      </c>
      <c r="Q327" s="12">
        <f>'Operating Budget'!P330</f>
        <v>0</v>
      </c>
      <c r="R327" s="12">
        <f>'Operating Budget'!Q330</f>
        <v>0</v>
      </c>
      <c r="S327" s="12" t="e">
        <f t="shared" si="42"/>
        <v>#REF!</v>
      </c>
    </row>
    <row r="328" spans="1:19">
      <c r="A328" s="11">
        <f>'Operating Budget'!A331</f>
        <v>9126</v>
      </c>
      <c r="B328" s="10" t="str">
        <f>'Operating Budget'!B331</f>
        <v>CAPEX-Water Heaters</v>
      </c>
      <c r="C328" s="48" t="e">
        <f>#REF!</f>
        <v>#REF!</v>
      </c>
      <c r="D328" s="49" t="e">
        <f>#REF!</f>
        <v>#REF!</v>
      </c>
      <c r="E328" s="49" t="e">
        <f>#REF!</f>
        <v>#REF!</v>
      </c>
      <c r="F328" s="50" t="e">
        <f>#REF!</f>
        <v>#REF!</v>
      </c>
      <c r="G328" s="12" t="e">
        <f>'Operating Budget'!#REF!</f>
        <v>#REF!</v>
      </c>
      <c r="H328" s="12" t="e">
        <f>'Operating Budget'!#REF!</f>
        <v>#REF!</v>
      </c>
      <c r="I328" s="12" t="e">
        <f>'Operating Budget'!#REF!</f>
        <v>#REF!</v>
      </c>
      <c r="J328" s="12">
        <f>'Operating Budget'!F331</f>
        <v>0</v>
      </c>
      <c r="K328" s="12">
        <f>'Operating Budget'!J331</f>
        <v>0</v>
      </c>
      <c r="L328" s="12">
        <f>'Operating Budget'!K331</f>
        <v>0</v>
      </c>
      <c r="M328" s="12">
        <f>'Operating Budget'!L331</f>
        <v>0</v>
      </c>
      <c r="N328" s="12">
        <f>'Operating Budget'!M331</f>
        <v>0</v>
      </c>
      <c r="O328" s="12">
        <f>'Operating Budget'!N331</f>
        <v>0</v>
      </c>
      <c r="P328" s="12">
        <f>'Operating Budget'!O331</f>
        <v>0</v>
      </c>
      <c r="Q328" s="12">
        <f>'Operating Budget'!P331</f>
        <v>0</v>
      </c>
      <c r="R328" s="12">
        <f>'Operating Budget'!Q331</f>
        <v>0</v>
      </c>
      <c r="S328" s="12" t="e">
        <f t="shared" si="42"/>
        <v>#REF!</v>
      </c>
    </row>
    <row r="329" spans="1:19">
      <c r="A329" s="11">
        <f>'Operating Budget'!A332</f>
        <v>9127</v>
      </c>
      <c r="B329" s="10" t="str">
        <f>'Operating Budget'!B332</f>
        <v>CAPEX-Interior Improvements</v>
      </c>
      <c r="C329" s="48" t="e">
        <f>#REF!</f>
        <v>#REF!</v>
      </c>
      <c r="D329" s="49" t="e">
        <f>#REF!</f>
        <v>#REF!</v>
      </c>
      <c r="E329" s="49" t="e">
        <f>#REF!</f>
        <v>#REF!</v>
      </c>
      <c r="F329" s="50" t="e">
        <f>#REF!</f>
        <v>#REF!</v>
      </c>
      <c r="G329" s="12" t="e">
        <f>'Operating Budget'!#REF!</f>
        <v>#REF!</v>
      </c>
      <c r="H329" s="12" t="e">
        <f>'Operating Budget'!#REF!</f>
        <v>#REF!</v>
      </c>
      <c r="I329" s="12" t="e">
        <f>'Operating Budget'!#REF!</f>
        <v>#REF!</v>
      </c>
      <c r="J329" s="12">
        <f>'Operating Budget'!F332</f>
        <v>0</v>
      </c>
      <c r="K329" s="12">
        <f>'Operating Budget'!J332</f>
        <v>0</v>
      </c>
      <c r="L329" s="12">
        <f>'Operating Budget'!K332</f>
        <v>0</v>
      </c>
      <c r="M329" s="12">
        <f>'Operating Budget'!L332</f>
        <v>0</v>
      </c>
      <c r="N329" s="12">
        <f>'Operating Budget'!M332</f>
        <v>0</v>
      </c>
      <c r="O329" s="12">
        <f>'Operating Budget'!N332</f>
        <v>0</v>
      </c>
      <c r="P329" s="12">
        <f>'Operating Budget'!O332</f>
        <v>0</v>
      </c>
      <c r="Q329" s="12">
        <f>'Operating Budget'!P332</f>
        <v>0</v>
      </c>
      <c r="R329" s="12">
        <f>'Operating Budget'!Q332</f>
        <v>0</v>
      </c>
      <c r="S329" s="12" t="e">
        <f t="shared" si="42"/>
        <v>#REF!</v>
      </c>
    </row>
    <row r="330" spans="1:19">
      <c r="A330" s="11">
        <f>'Operating Budget'!A333</f>
        <v>9128</v>
      </c>
      <c r="B330" s="10" t="str">
        <f>'Operating Budget'!B333</f>
        <v>CAPEX-Site Improvements</v>
      </c>
      <c r="C330" s="48" t="e">
        <f>#REF!</f>
        <v>#REF!</v>
      </c>
      <c r="D330" s="49" t="e">
        <f>#REF!</f>
        <v>#REF!</v>
      </c>
      <c r="E330" s="49" t="e">
        <f>#REF!</f>
        <v>#REF!</v>
      </c>
      <c r="F330" s="50" t="e">
        <f>#REF!</f>
        <v>#REF!</v>
      </c>
      <c r="G330" s="12" t="e">
        <f>'Operating Budget'!#REF!</f>
        <v>#REF!</v>
      </c>
      <c r="H330" s="12" t="e">
        <f>'Operating Budget'!#REF!</f>
        <v>#REF!</v>
      </c>
      <c r="I330" s="12" t="e">
        <f>'Operating Budget'!#REF!</f>
        <v>#REF!</v>
      </c>
      <c r="J330" s="12">
        <f>'Operating Budget'!F333</f>
        <v>0</v>
      </c>
      <c r="K330" s="12">
        <f>'Operating Budget'!J333</f>
        <v>0</v>
      </c>
      <c r="L330" s="12">
        <f>'Operating Budget'!K333</f>
        <v>0</v>
      </c>
      <c r="M330" s="12">
        <f>'Operating Budget'!L333</f>
        <v>0</v>
      </c>
      <c r="N330" s="12">
        <f>'Operating Budget'!M333</f>
        <v>0</v>
      </c>
      <c r="O330" s="12">
        <f>'Operating Budget'!N333</f>
        <v>0</v>
      </c>
      <c r="P330" s="12">
        <f>'Operating Budget'!O333</f>
        <v>0</v>
      </c>
      <c r="Q330" s="12">
        <f>'Operating Budget'!P333</f>
        <v>0</v>
      </c>
      <c r="R330" s="12">
        <f>'Operating Budget'!Q333</f>
        <v>0</v>
      </c>
      <c r="S330" s="12" t="e">
        <f t="shared" si="42"/>
        <v>#REF!</v>
      </c>
    </row>
    <row r="331" spans="1:19">
      <c r="A331" s="11">
        <f>'Operating Budget'!A334</f>
        <v>9129</v>
      </c>
      <c r="B331" s="10" t="str">
        <f>'Operating Budget'!B334</f>
        <v>CAPEX-Signage</v>
      </c>
      <c r="C331" s="48" t="e">
        <f>#REF!</f>
        <v>#REF!</v>
      </c>
      <c r="D331" s="49" t="e">
        <f>#REF!</f>
        <v>#REF!</v>
      </c>
      <c r="E331" s="49" t="e">
        <f>#REF!</f>
        <v>#REF!</v>
      </c>
      <c r="F331" s="50" t="e">
        <f>#REF!</f>
        <v>#REF!</v>
      </c>
      <c r="G331" s="12" t="e">
        <f>'Operating Budget'!#REF!</f>
        <v>#REF!</v>
      </c>
      <c r="H331" s="12" t="e">
        <f>'Operating Budget'!#REF!</f>
        <v>#REF!</v>
      </c>
      <c r="I331" s="12" t="e">
        <f>'Operating Budget'!#REF!</f>
        <v>#REF!</v>
      </c>
      <c r="J331" s="12">
        <f>'Operating Budget'!F334</f>
        <v>0</v>
      </c>
      <c r="K331" s="12">
        <f>'Operating Budget'!J334</f>
        <v>0</v>
      </c>
      <c r="L331" s="12">
        <f>'Operating Budget'!K334</f>
        <v>0</v>
      </c>
      <c r="M331" s="12">
        <f>'Operating Budget'!L334</f>
        <v>0</v>
      </c>
      <c r="N331" s="12">
        <f>'Operating Budget'!M334</f>
        <v>0</v>
      </c>
      <c r="O331" s="12">
        <f>'Operating Budget'!N334</f>
        <v>0</v>
      </c>
      <c r="P331" s="12">
        <f>'Operating Budget'!O334</f>
        <v>0</v>
      </c>
      <c r="Q331" s="12">
        <f>'Operating Budget'!P334</f>
        <v>0</v>
      </c>
      <c r="R331" s="12">
        <f>'Operating Budget'!Q334</f>
        <v>0</v>
      </c>
      <c r="S331" s="12" t="e">
        <f t="shared" si="42"/>
        <v>#REF!</v>
      </c>
    </row>
    <row r="332" spans="1:19">
      <c r="A332" s="11">
        <f>'Operating Budget'!A335</f>
        <v>9130</v>
      </c>
      <c r="B332" s="10" t="str">
        <f>'Operating Budget'!B335</f>
        <v>CAPEX-Landscaping</v>
      </c>
      <c r="C332" s="48" t="e">
        <f>#REF!</f>
        <v>#REF!</v>
      </c>
      <c r="D332" s="49" t="e">
        <f>#REF!</f>
        <v>#REF!</v>
      </c>
      <c r="E332" s="49" t="e">
        <f>#REF!</f>
        <v>#REF!</v>
      </c>
      <c r="F332" s="50" t="e">
        <f>#REF!</f>
        <v>#REF!</v>
      </c>
      <c r="G332" s="12" t="e">
        <f>'Operating Budget'!#REF!</f>
        <v>#REF!</v>
      </c>
      <c r="H332" s="12" t="e">
        <f>'Operating Budget'!#REF!</f>
        <v>#REF!</v>
      </c>
      <c r="I332" s="12" t="e">
        <f>'Operating Budget'!#REF!</f>
        <v>#REF!</v>
      </c>
      <c r="J332" s="12">
        <f>'Operating Budget'!F335</f>
        <v>0</v>
      </c>
      <c r="K332" s="12">
        <f>'Operating Budget'!J335</f>
        <v>0</v>
      </c>
      <c r="L332" s="12">
        <f>'Operating Budget'!K335</f>
        <v>0</v>
      </c>
      <c r="M332" s="12">
        <f>'Operating Budget'!L335</f>
        <v>0</v>
      </c>
      <c r="N332" s="12">
        <f>'Operating Budget'!M335</f>
        <v>0</v>
      </c>
      <c r="O332" s="12">
        <f>'Operating Budget'!N335</f>
        <v>0</v>
      </c>
      <c r="P332" s="12">
        <f>'Operating Budget'!O335</f>
        <v>0</v>
      </c>
      <c r="Q332" s="12">
        <f>'Operating Budget'!P335</f>
        <v>0</v>
      </c>
      <c r="R332" s="12">
        <f>'Operating Budget'!Q335</f>
        <v>0</v>
      </c>
      <c r="S332" s="12" t="e">
        <f t="shared" si="42"/>
        <v>#REF!</v>
      </c>
    </row>
    <row r="333" spans="1:19">
      <c r="A333" s="11">
        <f>'Operating Budget'!A336</f>
        <v>9131</v>
      </c>
      <c r="B333" s="10" t="str">
        <f>'Operating Budget'!B336</f>
        <v>CAPEX-Storm Damage</v>
      </c>
      <c r="C333" s="48" t="e">
        <f>#REF!</f>
        <v>#REF!</v>
      </c>
      <c r="D333" s="49" t="e">
        <f>#REF!</f>
        <v>#REF!</v>
      </c>
      <c r="E333" s="49" t="e">
        <f>#REF!</f>
        <v>#REF!</v>
      </c>
      <c r="F333" s="50" t="e">
        <f>#REF!</f>
        <v>#REF!</v>
      </c>
      <c r="G333" s="12" t="e">
        <f>'Operating Budget'!#REF!</f>
        <v>#REF!</v>
      </c>
      <c r="H333" s="12" t="e">
        <f>'Operating Budget'!#REF!</f>
        <v>#REF!</v>
      </c>
      <c r="I333" s="12" t="e">
        <f>'Operating Budget'!#REF!</f>
        <v>#REF!</v>
      </c>
      <c r="J333" s="12">
        <f>'Operating Budget'!F336</f>
        <v>0</v>
      </c>
      <c r="K333" s="12">
        <f>'Operating Budget'!J336</f>
        <v>0</v>
      </c>
      <c r="L333" s="12">
        <f>'Operating Budget'!K336</f>
        <v>0</v>
      </c>
      <c r="M333" s="12">
        <f>'Operating Budget'!L336</f>
        <v>0</v>
      </c>
      <c r="N333" s="12">
        <f>'Operating Budget'!M336</f>
        <v>0</v>
      </c>
      <c r="O333" s="12">
        <f>'Operating Budget'!N336</f>
        <v>0</v>
      </c>
      <c r="P333" s="12">
        <f>'Operating Budget'!O336</f>
        <v>0</v>
      </c>
      <c r="Q333" s="12">
        <f>'Operating Budget'!P336</f>
        <v>0</v>
      </c>
      <c r="R333" s="12">
        <f>'Operating Budget'!Q336</f>
        <v>0</v>
      </c>
      <c r="S333" s="12" t="e">
        <f t="shared" si="42"/>
        <v>#REF!</v>
      </c>
    </row>
    <row r="334" spans="1:19">
      <c r="A334" s="11">
        <f>'Operating Budget'!A337</f>
        <v>9135</v>
      </c>
      <c r="B334" s="10" t="str">
        <f>'Operating Budget'!B337</f>
        <v>CAPEX-Lighting</v>
      </c>
      <c r="C334" s="48" t="e">
        <f>#REF!</f>
        <v>#REF!</v>
      </c>
      <c r="D334" s="49" t="e">
        <f>#REF!</f>
        <v>#REF!</v>
      </c>
      <c r="E334" s="49" t="e">
        <f>#REF!</f>
        <v>#REF!</v>
      </c>
      <c r="F334" s="50" t="e">
        <f>#REF!</f>
        <v>#REF!</v>
      </c>
      <c r="G334" s="12" t="e">
        <f>'Operating Budget'!#REF!</f>
        <v>#REF!</v>
      </c>
      <c r="H334" s="12" t="e">
        <f>'Operating Budget'!#REF!</f>
        <v>#REF!</v>
      </c>
      <c r="I334" s="12" t="e">
        <f>'Operating Budget'!#REF!</f>
        <v>#REF!</v>
      </c>
      <c r="J334" s="12">
        <f>'Operating Budget'!F337</f>
        <v>0</v>
      </c>
      <c r="K334" s="12">
        <f>'Operating Budget'!J337</f>
        <v>0</v>
      </c>
      <c r="L334" s="12">
        <f>'Operating Budget'!K337</f>
        <v>0</v>
      </c>
      <c r="M334" s="12">
        <f>'Operating Budget'!L337</f>
        <v>0</v>
      </c>
      <c r="N334" s="12">
        <f>'Operating Budget'!M337</f>
        <v>0</v>
      </c>
      <c r="O334" s="12">
        <f>'Operating Budget'!N337</f>
        <v>0</v>
      </c>
      <c r="P334" s="12">
        <f>'Operating Budget'!O337</f>
        <v>0</v>
      </c>
      <c r="Q334" s="12">
        <f>'Operating Budget'!P337</f>
        <v>0</v>
      </c>
      <c r="R334" s="12">
        <f>'Operating Budget'!Q337</f>
        <v>0</v>
      </c>
      <c r="S334" s="12" t="e">
        <f t="shared" si="42"/>
        <v>#REF!</v>
      </c>
    </row>
    <row r="335" spans="1:19">
      <c r="A335" s="11">
        <f>'Operating Budget'!A338</f>
        <v>9136</v>
      </c>
      <c r="B335" s="10" t="str">
        <f>'Operating Budget'!B338</f>
        <v>CAPEX-Marketing</v>
      </c>
      <c r="C335" s="48" t="e">
        <f>#REF!</f>
        <v>#REF!</v>
      </c>
      <c r="D335" s="49" t="e">
        <f>#REF!</f>
        <v>#REF!</v>
      </c>
      <c r="E335" s="49" t="e">
        <f>#REF!</f>
        <v>#REF!</v>
      </c>
      <c r="F335" s="50" t="e">
        <f>#REF!</f>
        <v>#REF!</v>
      </c>
      <c r="G335" s="12" t="e">
        <f>'Operating Budget'!#REF!</f>
        <v>#REF!</v>
      </c>
      <c r="H335" s="12" t="e">
        <f>'Operating Budget'!#REF!</f>
        <v>#REF!</v>
      </c>
      <c r="I335" s="12" t="e">
        <f>'Operating Budget'!#REF!</f>
        <v>#REF!</v>
      </c>
      <c r="J335" s="12">
        <f>'Operating Budget'!F338</f>
        <v>0</v>
      </c>
      <c r="K335" s="12">
        <f>'Operating Budget'!J338</f>
        <v>0</v>
      </c>
      <c r="L335" s="12">
        <f>'Operating Budget'!K338</f>
        <v>0</v>
      </c>
      <c r="M335" s="12">
        <f>'Operating Budget'!L338</f>
        <v>0</v>
      </c>
      <c r="N335" s="12">
        <f>'Operating Budget'!M338</f>
        <v>0</v>
      </c>
      <c r="O335" s="12">
        <f>'Operating Budget'!N338</f>
        <v>0</v>
      </c>
      <c r="P335" s="12">
        <f>'Operating Budget'!O338</f>
        <v>0</v>
      </c>
      <c r="Q335" s="12">
        <f>'Operating Budget'!P338</f>
        <v>0</v>
      </c>
      <c r="R335" s="12">
        <f>'Operating Budget'!Q338</f>
        <v>0</v>
      </c>
      <c r="S335" s="12" t="e">
        <f t="shared" si="42"/>
        <v>#REF!</v>
      </c>
    </row>
    <row r="336" spans="1:19">
      <c r="A336" s="11">
        <f>'Operating Budget'!A339</f>
        <v>9137</v>
      </c>
      <c r="B336" s="10" t="str">
        <f>'Operating Budget'!B339</f>
        <v>CAPEX-Mini-Blinds/Drapes</v>
      </c>
      <c r="C336" s="48" t="e">
        <f>#REF!</f>
        <v>#REF!</v>
      </c>
      <c r="D336" s="49" t="e">
        <f>#REF!</f>
        <v>#REF!</v>
      </c>
      <c r="E336" s="49" t="e">
        <f>#REF!</f>
        <v>#REF!</v>
      </c>
      <c r="F336" s="50" t="e">
        <f>#REF!</f>
        <v>#REF!</v>
      </c>
      <c r="G336" s="12" t="e">
        <f>'Operating Budget'!#REF!</f>
        <v>#REF!</v>
      </c>
      <c r="H336" s="12" t="e">
        <f>'Operating Budget'!#REF!</f>
        <v>#REF!</v>
      </c>
      <c r="I336" s="12" t="e">
        <f>'Operating Budget'!#REF!</f>
        <v>#REF!</v>
      </c>
      <c r="J336" s="12">
        <f>'Operating Budget'!F339</f>
        <v>0</v>
      </c>
      <c r="K336" s="12">
        <f>'Operating Budget'!J339</f>
        <v>0</v>
      </c>
      <c r="L336" s="12">
        <f>'Operating Budget'!K339</f>
        <v>0</v>
      </c>
      <c r="M336" s="12">
        <f>'Operating Budget'!L339</f>
        <v>0</v>
      </c>
      <c r="N336" s="12">
        <f>'Operating Budget'!M339</f>
        <v>0</v>
      </c>
      <c r="O336" s="12">
        <f>'Operating Budget'!N339</f>
        <v>0</v>
      </c>
      <c r="P336" s="12">
        <f>'Operating Budget'!O339</f>
        <v>0</v>
      </c>
      <c r="Q336" s="12">
        <f>'Operating Budget'!P339</f>
        <v>0</v>
      </c>
      <c r="R336" s="12">
        <f>'Operating Budget'!Q339</f>
        <v>0</v>
      </c>
      <c r="S336" s="12" t="e">
        <f t="shared" si="42"/>
        <v>#REF!</v>
      </c>
    </row>
    <row r="337" spans="1:19">
      <c r="A337" s="11">
        <f>'Operating Budget'!A340</f>
        <v>9140</v>
      </c>
      <c r="B337" s="10" t="str">
        <f>'Operating Budget'!B340</f>
        <v>CAPEX-Other</v>
      </c>
      <c r="C337" s="48" t="e">
        <f>#REF!</f>
        <v>#REF!</v>
      </c>
      <c r="D337" s="49" t="e">
        <f>#REF!</f>
        <v>#REF!</v>
      </c>
      <c r="E337" s="49" t="e">
        <f>#REF!</f>
        <v>#REF!</v>
      </c>
      <c r="F337" s="50" t="e">
        <f>#REF!</f>
        <v>#REF!</v>
      </c>
      <c r="G337" s="12" t="e">
        <f>'Operating Budget'!#REF!</f>
        <v>#REF!</v>
      </c>
      <c r="H337" s="12" t="e">
        <f>'Operating Budget'!#REF!</f>
        <v>#REF!</v>
      </c>
      <c r="I337" s="12" t="e">
        <f>'Operating Budget'!#REF!</f>
        <v>#REF!</v>
      </c>
      <c r="J337" s="12">
        <f>'Operating Budget'!F340</f>
        <v>0</v>
      </c>
      <c r="K337" s="12">
        <f>'Operating Budget'!J340</f>
        <v>0</v>
      </c>
      <c r="L337" s="12">
        <f>'Operating Budget'!K340</f>
        <v>0</v>
      </c>
      <c r="M337" s="12">
        <f>'Operating Budget'!L340</f>
        <v>0</v>
      </c>
      <c r="N337" s="12">
        <f>'Operating Budget'!M340</f>
        <v>0</v>
      </c>
      <c r="O337" s="12">
        <f>'Operating Budget'!N340</f>
        <v>0</v>
      </c>
      <c r="P337" s="12">
        <f>'Operating Budget'!O340</f>
        <v>0</v>
      </c>
      <c r="Q337" s="12">
        <f>'Operating Budget'!P340</f>
        <v>0</v>
      </c>
      <c r="R337" s="12">
        <f>'Operating Budget'!Q340</f>
        <v>0</v>
      </c>
      <c r="S337" s="12" t="e">
        <f t="shared" si="42"/>
        <v>#REF!</v>
      </c>
    </row>
    <row r="338" spans="1:19">
      <c r="A338" s="11">
        <f>'Operating Budget'!A341</f>
        <v>9145</v>
      </c>
      <c r="B338" s="10" t="str">
        <f>'Operating Budget'!B341</f>
        <v>CAPEX-Painting</v>
      </c>
      <c r="C338" s="48" t="e">
        <f>#REF!</f>
        <v>#REF!</v>
      </c>
      <c r="D338" s="49" t="e">
        <f>#REF!</f>
        <v>#REF!</v>
      </c>
      <c r="E338" s="49" t="e">
        <f>#REF!</f>
        <v>#REF!</v>
      </c>
      <c r="F338" s="50" t="e">
        <f>#REF!</f>
        <v>#REF!</v>
      </c>
      <c r="G338" s="12" t="e">
        <f>'Operating Budget'!#REF!</f>
        <v>#REF!</v>
      </c>
      <c r="H338" s="12" t="e">
        <f>'Operating Budget'!#REF!</f>
        <v>#REF!</v>
      </c>
      <c r="I338" s="12" t="e">
        <f>'Operating Budget'!#REF!</f>
        <v>#REF!</v>
      </c>
      <c r="J338" s="12">
        <f>'Operating Budget'!F341</f>
        <v>0</v>
      </c>
      <c r="K338" s="12">
        <f>'Operating Budget'!J341</f>
        <v>0</v>
      </c>
      <c r="L338" s="12">
        <f>'Operating Budget'!K341</f>
        <v>0</v>
      </c>
      <c r="M338" s="12">
        <f>'Operating Budget'!L341</f>
        <v>0</v>
      </c>
      <c r="N338" s="12">
        <f>'Operating Budget'!M341</f>
        <v>0</v>
      </c>
      <c r="O338" s="12">
        <f>'Operating Budget'!N341</f>
        <v>0</v>
      </c>
      <c r="P338" s="12">
        <f>'Operating Budget'!O341</f>
        <v>0</v>
      </c>
      <c r="Q338" s="12">
        <f>'Operating Budget'!P341</f>
        <v>0</v>
      </c>
      <c r="R338" s="12">
        <f>'Operating Budget'!Q341</f>
        <v>0</v>
      </c>
      <c r="S338" s="12" t="e">
        <f t="shared" si="42"/>
        <v>#REF!</v>
      </c>
    </row>
    <row r="339" spans="1:19">
      <c r="A339" s="11">
        <f>'Operating Budget'!A342</f>
        <v>9150</v>
      </c>
      <c r="B339" s="10" t="str">
        <f>'Operating Budget'!B342</f>
        <v>CAPEX-Parking Lot</v>
      </c>
      <c r="C339" s="48" t="e">
        <f>#REF!</f>
        <v>#REF!</v>
      </c>
      <c r="D339" s="49" t="e">
        <f>#REF!</f>
        <v>#REF!</v>
      </c>
      <c r="E339" s="49" t="e">
        <f>#REF!</f>
        <v>#REF!</v>
      </c>
      <c r="F339" s="50" t="e">
        <f>#REF!</f>
        <v>#REF!</v>
      </c>
      <c r="G339" s="12" t="e">
        <f>'Operating Budget'!#REF!</f>
        <v>#REF!</v>
      </c>
      <c r="H339" s="12" t="e">
        <f>'Operating Budget'!#REF!</f>
        <v>#REF!</v>
      </c>
      <c r="I339" s="12" t="e">
        <f>'Operating Budget'!#REF!</f>
        <v>#REF!</v>
      </c>
      <c r="J339" s="12">
        <f>'Operating Budget'!F342</f>
        <v>0</v>
      </c>
      <c r="K339" s="12">
        <f>'Operating Budget'!J342</f>
        <v>0</v>
      </c>
      <c r="L339" s="12">
        <f>'Operating Budget'!K342</f>
        <v>0</v>
      </c>
      <c r="M339" s="12">
        <f>'Operating Budget'!L342</f>
        <v>0</v>
      </c>
      <c r="N339" s="12">
        <f>'Operating Budget'!M342</f>
        <v>0</v>
      </c>
      <c r="O339" s="12">
        <f>'Operating Budget'!N342</f>
        <v>0</v>
      </c>
      <c r="P339" s="12">
        <f>'Operating Budget'!O342</f>
        <v>0</v>
      </c>
      <c r="Q339" s="12">
        <f>'Operating Budget'!P342</f>
        <v>0</v>
      </c>
      <c r="R339" s="12">
        <f>'Operating Budget'!Q342</f>
        <v>0</v>
      </c>
      <c r="S339" s="12" t="e">
        <f t="shared" si="42"/>
        <v>#REF!</v>
      </c>
    </row>
    <row r="340" spans="1:19">
      <c r="A340" s="11">
        <f>'Operating Budget'!A343</f>
        <v>9155</v>
      </c>
      <c r="B340" s="10" t="str">
        <f>'Operating Budget'!B343</f>
        <v>CAPEX-Pest Control</v>
      </c>
      <c r="C340" s="48" t="e">
        <f>#REF!</f>
        <v>#REF!</v>
      </c>
      <c r="D340" s="49" t="e">
        <f>#REF!</f>
        <v>#REF!</v>
      </c>
      <c r="E340" s="49" t="e">
        <f>#REF!</f>
        <v>#REF!</v>
      </c>
      <c r="F340" s="50" t="e">
        <f>#REF!</f>
        <v>#REF!</v>
      </c>
      <c r="G340" s="12" t="e">
        <f>'Operating Budget'!#REF!</f>
        <v>#REF!</v>
      </c>
      <c r="H340" s="12" t="e">
        <f>'Operating Budget'!#REF!</f>
        <v>#REF!</v>
      </c>
      <c r="I340" s="12" t="e">
        <f>'Operating Budget'!#REF!</f>
        <v>#REF!</v>
      </c>
      <c r="J340" s="12">
        <f>'Operating Budget'!F343</f>
        <v>0</v>
      </c>
      <c r="K340" s="12">
        <f>'Operating Budget'!J343</f>
        <v>0</v>
      </c>
      <c r="L340" s="12">
        <f>'Operating Budget'!K343</f>
        <v>0</v>
      </c>
      <c r="M340" s="12">
        <f>'Operating Budget'!L343</f>
        <v>0</v>
      </c>
      <c r="N340" s="12">
        <f>'Operating Budget'!M343</f>
        <v>0</v>
      </c>
      <c r="O340" s="12">
        <f>'Operating Budget'!N343</f>
        <v>0</v>
      </c>
      <c r="P340" s="12">
        <f>'Operating Budget'!O343</f>
        <v>0</v>
      </c>
      <c r="Q340" s="12">
        <f>'Operating Budget'!P343</f>
        <v>0</v>
      </c>
      <c r="R340" s="12">
        <f>'Operating Budget'!Q343</f>
        <v>0</v>
      </c>
      <c r="S340" s="12" t="e">
        <f t="shared" si="42"/>
        <v>#REF!</v>
      </c>
    </row>
    <row r="341" spans="1:19">
      <c r="A341" s="11">
        <f>'Operating Budget'!A344</f>
        <v>9160</v>
      </c>
      <c r="B341" s="10" t="str">
        <f>'Operating Budget'!B344</f>
        <v>CAPEX-Ranges</v>
      </c>
      <c r="C341" s="48" t="e">
        <f>#REF!</f>
        <v>#REF!</v>
      </c>
      <c r="D341" s="49" t="e">
        <f>#REF!</f>
        <v>#REF!</v>
      </c>
      <c r="E341" s="49" t="e">
        <f>#REF!</f>
        <v>#REF!</v>
      </c>
      <c r="F341" s="50" t="e">
        <f>#REF!</f>
        <v>#REF!</v>
      </c>
      <c r="G341" s="12" t="e">
        <f>'Operating Budget'!#REF!</f>
        <v>#REF!</v>
      </c>
      <c r="H341" s="12" t="e">
        <f>'Operating Budget'!#REF!</f>
        <v>#REF!</v>
      </c>
      <c r="I341" s="12" t="e">
        <f>'Operating Budget'!#REF!</f>
        <v>#REF!</v>
      </c>
      <c r="J341" s="12">
        <f>'Operating Budget'!F344</f>
        <v>0</v>
      </c>
      <c r="K341" s="12">
        <f>'Operating Budget'!J344</f>
        <v>0</v>
      </c>
      <c r="L341" s="12">
        <f>'Operating Budget'!K344</f>
        <v>0</v>
      </c>
      <c r="M341" s="12">
        <f>'Operating Budget'!L344</f>
        <v>0</v>
      </c>
      <c r="N341" s="12">
        <f>'Operating Budget'!M344</f>
        <v>0</v>
      </c>
      <c r="O341" s="12">
        <f>'Operating Budget'!N344</f>
        <v>0</v>
      </c>
      <c r="P341" s="12">
        <f>'Operating Budget'!O344</f>
        <v>0</v>
      </c>
      <c r="Q341" s="12">
        <f>'Operating Budget'!P344</f>
        <v>0</v>
      </c>
      <c r="R341" s="12">
        <f>'Operating Budget'!Q344</f>
        <v>0</v>
      </c>
      <c r="S341" s="12" t="e">
        <f t="shared" si="42"/>
        <v>#REF!</v>
      </c>
    </row>
    <row r="342" spans="1:19">
      <c r="A342" s="11">
        <f>'Operating Budget'!A345</f>
        <v>9165</v>
      </c>
      <c r="B342" s="10" t="str">
        <f>'Operating Budget'!B345</f>
        <v>CAPEX-Refrigerators</v>
      </c>
      <c r="C342" s="48" t="e">
        <f>#REF!</f>
        <v>#REF!</v>
      </c>
      <c r="D342" s="49" t="e">
        <f>#REF!</f>
        <v>#REF!</v>
      </c>
      <c r="E342" s="49" t="e">
        <f>#REF!</f>
        <v>#REF!</v>
      </c>
      <c r="F342" s="50" t="e">
        <f>#REF!</f>
        <v>#REF!</v>
      </c>
      <c r="G342" s="12" t="e">
        <f>'Operating Budget'!#REF!</f>
        <v>#REF!</v>
      </c>
      <c r="H342" s="12" t="e">
        <f>'Operating Budget'!#REF!</f>
        <v>#REF!</v>
      </c>
      <c r="I342" s="12" t="e">
        <f>'Operating Budget'!#REF!</f>
        <v>#REF!</v>
      </c>
      <c r="J342" s="12">
        <f>'Operating Budget'!F345</f>
        <v>0</v>
      </c>
      <c r="K342" s="12">
        <f>'Operating Budget'!J345</f>
        <v>0</v>
      </c>
      <c r="L342" s="12">
        <f>'Operating Budget'!K345</f>
        <v>0</v>
      </c>
      <c r="M342" s="12">
        <f>'Operating Budget'!L345</f>
        <v>0</v>
      </c>
      <c r="N342" s="12">
        <f>'Operating Budget'!M345</f>
        <v>0</v>
      </c>
      <c r="O342" s="12">
        <f>'Operating Budget'!N345</f>
        <v>0</v>
      </c>
      <c r="P342" s="12">
        <f>'Operating Budget'!O345</f>
        <v>0</v>
      </c>
      <c r="Q342" s="12">
        <f>'Operating Budget'!P345</f>
        <v>0</v>
      </c>
      <c r="R342" s="12">
        <f>'Operating Budget'!Q345</f>
        <v>0</v>
      </c>
      <c r="S342" s="12" t="e">
        <f t="shared" si="42"/>
        <v>#REF!</v>
      </c>
    </row>
    <row r="343" spans="1:19">
      <c r="A343" s="11">
        <f>'Operating Budget'!A346</f>
        <v>9166</v>
      </c>
      <c r="B343" s="10" t="str">
        <f>'Operating Budget'!B346</f>
        <v>CAPEX-Roof Repairs-Major</v>
      </c>
      <c r="C343" s="48" t="e">
        <f>#REF!</f>
        <v>#REF!</v>
      </c>
      <c r="D343" s="49" t="e">
        <f>#REF!</f>
        <v>#REF!</v>
      </c>
      <c r="E343" s="49" t="e">
        <f>#REF!</f>
        <v>#REF!</v>
      </c>
      <c r="F343" s="50" t="e">
        <f>#REF!</f>
        <v>#REF!</v>
      </c>
      <c r="G343" s="12" t="e">
        <f>'Operating Budget'!#REF!</f>
        <v>#REF!</v>
      </c>
      <c r="H343" s="12" t="e">
        <f>'Operating Budget'!#REF!</f>
        <v>#REF!</v>
      </c>
      <c r="I343" s="12" t="e">
        <f>'Operating Budget'!#REF!</f>
        <v>#REF!</v>
      </c>
      <c r="J343" s="12">
        <f>'Operating Budget'!F346</f>
        <v>0</v>
      </c>
      <c r="K343" s="12">
        <f>'Operating Budget'!J346</f>
        <v>0</v>
      </c>
      <c r="L343" s="12">
        <f>'Operating Budget'!K346</f>
        <v>0</v>
      </c>
      <c r="M343" s="12">
        <f>'Operating Budget'!L346</f>
        <v>0</v>
      </c>
      <c r="N343" s="12">
        <f>'Operating Budget'!M346</f>
        <v>0</v>
      </c>
      <c r="O343" s="12">
        <f>'Operating Budget'!N346</f>
        <v>0</v>
      </c>
      <c r="P343" s="12">
        <f>'Operating Budget'!O346</f>
        <v>0</v>
      </c>
      <c r="Q343" s="12">
        <f>'Operating Budget'!P346</f>
        <v>0</v>
      </c>
      <c r="R343" s="12">
        <f>'Operating Budget'!Q346</f>
        <v>0</v>
      </c>
      <c r="S343" s="12" t="e">
        <f t="shared" si="42"/>
        <v>#REF!</v>
      </c>
    </row>
    <row r="344" spans="1:19">
      <c r="A344" s="11">
        <f>'Operating Budget'!A347</f>
        <v>9167</v>
      </c>
      <c r="B344" s="10" t="str">
        <f>'Operating Budget'!B347</f>
        <v>CAPEX-Startup Costs</v>
      </c>
      <c r="C344" s="48" t="e">
        <f>#REF!</f>
        <v>#REF!</v>
      </c>
      <c r="D344" s="49" t="e">
        <f>#REF!</f>
        <v>#REF!</v>
      </c>
      <c r="E344" s="49" t="e">
        <f>#REF!</f>
        <v>#REF!</v>
      </c>
      <c r="F344" s="50" t="e">
        <f>#REF!</f>
        <v>#REF!</v>
      </c>
      <c r="G344" s="12" t="e">
        <f>'Operating Budget'!#REF!</f>
        <v>#REF!</v>
      </c>
      <c r="H344" s="12" t="e">
        <f>'Operating Budget'!#REF!</f>
        <v>#REF!</v>
      </c>
      <c r="I344" s="12" t="e">
        <f>'Operating Budget'!#REF!</f>
        <v>#REF!</v>
      </c>
      <c r="J344" s="12">
        <f>'Operating Budget'!F347</f>
        <v>0</v>
      </c>
      <c r="K344" s="12">
        <f>'Operating Budget'!J347</f>
        <v>0</v>
      </c>
      <c r="L344" s="12">
        <f>'Operating Budget'!K347</f>
        <v>0</v>
      </c>
      <c r="M344" s="12">
        <f>'Operating Budget'!L347</f>
        <v>0</v>
      </c>
      <c r="N344" s="12">
        <f>'Operating Budget'!M347</f>
        <v>0</v>
      </c>
      <c r="O344" s="12">
        <f>'Operating Budget'!N347</f>
        <v>0</v>
      </c>
      <c r="P344" s="12">
        <f>'Operating Budget'!O347</f>
        <v>0</v>
      </c>
      <c r="Q344" s="12">
        <f>'Operating Budget'!P347</f>
        <v>0</v>
      </c>
      <c r="R344" s="12">
        <f>'Operating Budget'!Q347</f>
        <v>0</v>
      </c>
      <c r="S344" s="12" t="e">
        <f t="shared" si="42"/>
        <v>#REF!</v>
      </c>
    </row>
    <row r="345" spans="1:19">
      <c r="A345" s="11">
        <f>'Operating Budget'!A348</f>
        <v>9167.1</v>
      </c>
      <c r="B345" s="10" t="str">
        <f>'Operating Budget'!B348</f>
        <v xml:space="preserve">CAPEX-Startup Costs - Marketing </v>
      </c>
      <c r="C345" s="48" t="e">
        <f>#REF!</f>
        <v>#REF!</v>
      </c>
      <c r="D345" s="49" t="e">
        <f>#REF!</f>
        <v>#REF!</v>
      </c>
      <c r="E345" s="49" t="e">
        <f>#REF!</f>
        <v>#REF!</v>
      </c>
      <c r="F345" s="50" t="e">
        <f>#REF!</f>
        <v>#REF!</v>
      </c>
      <c r="G345" s="12" t="e">
        <f>'Operating Budget'!#REF!</f>
        <v>#REF!</v>
      </c>
      <c r="H345" s="12" t="e">
        <f>'Operating Budget'!#REF!</f>
        <v>#REF!</v>
      </c>
      <c r="I345" s="12" t="e">
        <f>'Operating Budget'!#REF!</f>
        <v>#REF!</v>
      </c>
      <c r="J345" s="12">
        <f>'Operating Budget'!F348</f>
        <v>0</v>
      </c>
      <c r="K345" s="12">
        <f>'Operating Budget'!J348</f>
        <v>0</v>
      </c>
      <c r="L345" s="12">
        <f>'Operating Budget'!K348</f>
        <v>0</v>
      </c>
      <c r="M345" s="12">
        <f>'Operating Budget'!L348</f>
        <v>0</v>
      </c>
      <c r="N345" s="12">
        <f>'Operating Budget'!M348</f>
        <v>0</v>
      </c>
      <c r="O345" s="12">
        <f>'Operating Budget'!N348</f>
        <v>0</v>
      </c>
      <c r="P345" s="12">
        <f>'Operating Budget'!O348</f>
        <v>0</v>
      </c>
      <c r="Q345" s="12">
        <f>'Operating Budget'!P348</f>
        <v>0</v>
      </c>
      <c r="R345" s="12">
        <f>'Operating Budget'!Q348</f>
        <v>0</v>
      </c>
      <c r="S345" s="12" t="e">
        <f t="shared" si="42"/>
        <v>#REF!</v>
      </c>
    </row>
    <row r="346" spans="1:19">
      <c r="A346" s="11">
        <f>'Operating Budget'!A349</f>
        <v>9167.2000000000007</v>
      </c>
      <c r="B346" s="10" t="str">
        <f>'Operating Budget'!B349</f>
        <v>CAPEX-Startup Costs - Preleasing</v>
      </c>
      <c r="C346" s="48" t="e">
        <f>#REF!</f>
        <v>#REF!</v>
      </c>
      <c r="D346" s="49" t="e">
        <f>#REF!</f>
        <v>#REF!</v>
      </c>
      <c r="E346" s="49" t="e">
        <f>#REF!</f>
        <v>#REF!</v>
      </c>
      <c r="F346" s="50" t="e">
        <f>#REF!</f>
        <v>#REF!</v>
      </c>
      <c r="G346" s="12" t="e">
        <f>'Operating Budget'!#REF!</f>
        <v>#REF!</v>
      </c>
      <c r="H346" s="12" t="e">
        <f>'Operating Budget'!#REF!</f>
        <v>#REF!</v>
      </c>
      <c r="I346" s="12" t="e">
        <f>'Operating Budget'!#REF!</f>
        <v>#REF!</v>
      </c>
      <c r="J346" s="12">
        <f>'Operating Budget'!F349</f>
        <v>0</v>
      </c>
      <c r="K346" s="12">
        <f>'Operating Budget'!J349</f>
        <v>0</v>
      </c>
      <c r="L346" s="12">
        <f>'Operating Budget'!K349</f>
        <v>0</v>
      </c>
      <c r="M346" s="12">
        <f>'Operating Budget'!L349</f>
        <v>0</v>
      </c>
      <c r="N346" s="12">
        <f>'Operating Budget'!M349</f>
        <v>0</v>
      </c>
      <c r="O346" s="12">
        <f>'Operating Budget'!N349</f>
        <v>0</v>
      </c>
      <c r="P346" s="12">
        <f>'Operating Budget'!O349</f>
        <v>0</v>
      </c>
      <c r="Q346" s="12">
        <f>'Operating Budget'!P349</f>
        <v>0</v>
      </c>
      <c r="R346" s="12">
        <f>'Operating Budget'!Q349</f>
        <v>0</v>
      </c>
      <c r="S346" s="12" t="e">
        <f t="shared" si="42"/>
        <v>#REF!</v>
      </c>
    </row>
    <row r="347" spans="1:19">
      <c r="A347" s="11">
        <f>'Operating Budget'!A350</f>
        <v>9167.2999999999993</v>
      </c>
      <c r="B347" s="10" t="str">
        <f>'Operating Budget'!B350</f>
        <v>CAPEX-Startup Costs - Operating Deficit</v>
      </c>
      <c r="C347" s="48" t="e">
        <f>#REF!</f>
        <v>#REF!</v>
      </c>
      <c r="D347" s="49" t="e">
        <f>#REF!</f>
        <v>#REF!</v>
      </c>
      <c r="E347" s="49" t="e">
        <f>#REF!</f>
        <v>#REF!</v>
      </c>
      <c r="F347" s="50" t="e">
        <f>#REF!</f>
        <v>#REF!</v>
      </c>
      <c r="G347" s="12" t="e">
        <f>'Operating Budget'!#REF!</f>
        <v>#REF!</v>
      </c>
      <c r="H347" s="12" t="e">
        <f>'Operating Budget'!#REF!</f>
        <v>#REF!</v>
      </c>
      <c r="I347" s="12" t="e">
        <f>'Operating Budget'!#REF!</f>
        <v>#REF!</v>
      </c>
      <c r="J347" s="12">
        <f>'Operating Budget'!F350</f>
        <v>0</v>
      </c>
      <c r="K347" s="12">
        <f>'Operating Budget'!J350</f>
        <v>0</v>
      </c>
      <c r="L347" s="12">
        <f>'Operating Budget'!K350</f>
        <v>0</v>
      </c>
      <c r="M347" s="12">
        <f>'Operating Budget'!L350</f>
        <v>0</v>
      </c>
      <c r="N347" s="12">
        <f>'Operating Budget'!M350</f>
        <v>0</v>
      </c>
      <c r="O347" s="12">
        <f>'Operating Budget'!N350</f>
        <v>0</v>
      </c>
      <c r="P347" s="12">
        <f>'Operating Budget'!O350</f>
        <v>0</v>
      </c>
      <c r="Q347" s="12">
        <f>'Operating Budget'!P350</f>
        <v>0</v>
      </c>
      <c r="R347" s="12">
        <f>'Operating Budget'!Q350</f>
        <v>0</v>
      </c>
      <c r="S347" s="12" t="e">
        <f t="shared" si="42"/>
        <v>#REF!</v>
      </c>
    </row>
    <row r="348" spans="1:19">
      <c r="A348" s="11">
        <f>'Operating Budget'!A351</f>
        <v>9169</v>
      </c>
      <c r="B348" s="10" t="str">
        <f>'Operating Budget'!B351</f>
        <v>CAPEX-Vinyl/Tile</v>
      </c>
      <c r="C348" s="48" t="e">
        <f>#REF!</f>
        <v>#REF!</v>
      </c>
      <c r="D348" s="49" t="e">
        <f>#REF!</f>
        <v>#REF!</v>
      </c>
      <c r="E348" s="49" t="e">
        <f>#REF!</f>
        <v>#REF!</v>
      </c>
      <c r="F348" s="50" t="e">
        <f>#REF!</f>
        <v>#REF!</v>
      </c>
      <c r="G348" s="12" t="e">
        <f>'Operating Budget'!#REF!</f>
        <v>#REF!</v>
      </c>
      <c r="H348" s="12" t="e">
        <f>'Operating Budget'!#REF!</f>
        <v>#REF!</v>
      </c>
      <c r="I348" s="12" t="e">
        <f>'Operating Budget'!#REF!</f>
        <v>#REF!</v>
      </c>
      <c r="J348" s="12">
        <f>'Operating Budget'!F351</f>
        <v>0</v>
      </c>
      <c r="K348" s="12">
        <f>'Operating Budget'!J351</f>
        <v>0</v>
      </c>
      <c r="L348" s="12">
        <f>'Operating Budget'!K351</f>
        <v>0</v>
      </c>
      <c r="M348" s="12">
        <f>'Operating Budget'!L351</f>
        <v>0</v>
      </c>
      <c r="N348" s="12">
        <f>'Operating Budget'!M351</f>
        <v>0</v>
      </c>
      <c r="O348" s="12">
        <f>'Operating Budget'!N351</f>
        <v>0</v>
      </c>
      <c r="P348" s="12">
        <f>'Operating Budget'!O351</f>
        <v>0</v>
      </c>
      <c r="Q348" s="12">
        <f>'Operating Budget'!P351</f>
        <v>0</v>
      </c>
      <c r="R348" s="12">
        <f>'Operating Budget'!Q351</f>
        <v>0</v>
      </c>
      <c r="S348" s="12" t="e">
        <f t="shared" si="42"/>
        <v>#REF!</v>
      </c>
    </row>
    <row r="349" spans="1:19">
      <c r="A349" s="11">
        <f>'Operating Budget'!A352</f>
        <v>9170</v>
      </c>
      <c r="B349" s="10" t="str">
        <f>'Operating Budget'!B352</f>
        <v>CAPEX-Washers/Dryers</v>
      </c>
      <c r="C349" s="48" t="e">
        <f>#REF!</f>
        <v>#REF!</v>
      </c>
      <c r="D349" s="49" t="e">
        <f>#REF!</f>
        <v>#REF!</v>
      </c>
      <c r="E349" s="49" t="e">
        <f>#REF!</f>
        <v>#REF!</v>
      </c>
      <c r="F349" s="50" t="e">
        <f>#REF!</f>
        <v>#REF!</v>
      </c>
      <c r="G349" s="12" t="e">
        <f>'Operating Budget'!#REF!</f>
        <v>#REF!</v>
      </c>
      <c r="H349" s="12" t="e">
        <f>'Operating Budget'!#REF!</f>
        <v>#REF!</v>
      </c>
      <c r="I349" s="12" t="e">
        <f>'Operating Budget'!#REF!</f>
        <v>#REF!</v>
      </c>
      <c r="J349" s="12">
        <f>'Operating Budget'!F352</f>
        <v>0</v>
      </c>
      <c r="K349" s="12">
        <f>'Operating Budget'!J352</f>
        <v>0</v>
      </c>
      <c r="L349" s="12">
        <f>'Operating Budget'!K352</f>
        <v>0</v>
      </c>
      <c r="M349" s="12">
        <f>'Operating Budget'!L352</f>
        <v>0</v>
      </c>
      <c r="N349" s="12">
        <f>'Operating Budget'!M352</f>
        <v>0</v>
      </c>
      <c r="O349" s="12">
        <f>'Operating Budget'!N352</f>
        <v>0</v>
      </c>
      <c r="P349" s="12">
        <f>'Operating Budget'!O352</f>
        <v>0</v>
      </c>
      <c r="Q349" s="12">
        <f>'Operating Budget'!P352</f>
        <v>0</v>
      </c>
      <c r="R349" s="12">
        <f>'Operating Budget'!Q352</f>
        <v>0</v>
      </c>
      <c r="S349" s="12"/>
    </row>
    <row r="350" spans="1:19">
      <c r="A350" s="11">
        <f>'Operating Budget'!A353</f>
        <v>9200</v>
      </c>
      <c r="B350" s="10" t="str">
        <f>'Operating Budget'!B353</f>
        <v>CAPEX-Assets Capitalized</v>
      </c>
      <c r="C350" s="48" t="e">
        <f>#REF!</f>
        <v>#REF!</v>
      </c>
      <c r="D350" s="49" t="e">
        <f>#REF!</f>
        <v>#REF!</v>
      </c>
      <c r="E350" s="49" t="e">
        <f>#REF!</f>
        <v>#REF!</v>
      </c>
      <c r="F350" s="50" t="e">
        <f>#REF!</f>
        <v>#REF!</v>
      </c>
      <c r="G350" s="12" t="e">
        <f>'Operating Budget'!#REF!</f>
        <v>#REF!</v>
      </c>
      <c r="H350" s="12" t="e">
        <f>'Operating Budget'!#REF!</f>
        <v>#REF!</v>
      </c>
      <c r="I350" s="12" t="e">
        <f>'Operating Budget'!#REF!</f>
        <v>#REF!</v>
      </c>
      <c r="J350" s="12">
        <f>'Operating Budget'!F353</f>
        <v>0</v>
      </c>
      <c r="K350" s="12">
        <f>'Operating Budget'!J353</f>
        <v>0</v>
      </c>
      <c r="L350" s="12">
        <f>'Operating Budget'!K353</f>
        <v>0</v>
      </c>
      <c r="M350" s="12">
        <f>'Operating Budget'!L353</f>
        <v>0</v>
      </c>
      <c r="N350" s="12">
        <f>'Operating Budget'!M353</f>
        <v>0</v>
      </c>
      <c r="O350" s="12">
        <f>'Operating Budget'!N353</f>
        <v>0</v>
      </c>
      <c r="P350" s="12">
        <f>'Operating Budget'!O353</f>
        <v>0</v>
      </c>
      <c r="Q350" s="12">
        <f>'Operating Budget'!P353</f>
        <v>0</v>
      </c>
      <c r="R350" s="12">
        <f>'Operating Budget'!Q353</f>
        <v>0</v>
      </c>
      <c r="S350" s="12" t="e">
        <f t="shared" si="42"/>
        <v>#REF!</v>
      </c>
    </row>
    <row r="351" spans="1:19">
      <c r="C351" s="23"/>
      <c r="D351" s="17"/>
      <c r="E351" s="17"/>
      <c r="F351" s="24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</row>
    <row r="352" spans="1:19">
      <c r="B352" s="13" t="s">
        <v>56</v>
      </c>
      <c r="C352" s="30" t="e">
        <f t="shared" ref="C352:F352" si="43">SUM(C315:C350)</f>
        <v>#REF!</v>
      </c>
      <c r="D352" s="31" t="e">
        <f t="shared" si="43"/>
        <v>#REF!</v>
      </c>
      <c r="E352" s="31" t="e">
        <f t="shared" si="43"/>
        <v>#REF!</v>
      </c>
      <c r="F352" s="32" t="e">
        <f t="shared" si="43"/>
        <v>#REF!</v>
      </c>
      <c r="G352" s="39" t="e">
        <f>SUM(G315:G350)</f>
        <v>#REF!</v>
      </c>
      <c r="H352" s="39" t="e">
        <f t="shared" ref="H352:R352" si="44">SUM(H315:H350)</f>
        <v>#REF!</v>
      </c>
      <c r="I352" s="39" t="e">
        <f t="shared" si="44"/>
        <v>#REF!</v>
      </c>
      <c r="J352" s="39">
        <f t="shared" si="44"/>
        <v>0</v>
      </c>
      <c r="K352" s="39">
        <f t="shared" si="44"/>
        <v>0</v>
      </c>
      <c r="L352" s="39">
        <f t="shared" si="44"/>
        <v>0</v>
      </c>
      <c r="M352" s="39">
        <f t="shared" si="44"/>
        <v>0</v>
      </c>
      <c r="N352" s="39">
        <f t="shared" si="44"/>
        <v>0</v>
      </c>
      <c r="O352" s="39">
        <f t="shared" si="44"/>
        <v>0</v>
      </c>
      <c r="P352" s="39">
        <f t="shared" si="44"/>
        <v>0</v>
      </c>
      <c r="Q352" s="39">
        <f t="shared" si="44"/>
        <v>0</v>
      </c>
      <c r="R352" s="39">
        <f t="shared" si="44"/>
        <v>0</v>
      </c>
      <c r="S352" s="39" t="e">
        <f>SUM(G352:R352)</f>
        <v>#REF!</v>
      </c>
    </row>
    <row r="353" spans="2:19">
      <c r="C353" s="21"/>
      <c r="F353" s="2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</row>
    <row r="354" spans="2:19" ht="15" thickBot="1">
      <c r="B354" s="13" t="s">
        <v>57</v>
      </c>
      <c r="C354" s="33" t="e">
        <f t="shared" ref="C354:E354" si="45">C274-SUM(C311,C352)</f>
        <v>#REF!</v>
      </c>
      <c r="D354" s="34" t="e">
        <f t="shared" si="45"/>
        <v>#REF!</v>
      </c>
      <c r="E354" s="34" t="e">
        <f t="shared" si="45"/>
        <v>#REF!</v>
      </c>
      <c r="F354" s="35" t="e">
        <f t="shared" ref="F354:R354" si="46">F274-SUM(F311,F352)</f>
        <v>#REF!</v>
      </c>
      <c r="G354" s="14" t="e">
        <f t="shared" si="46"/>
        <v>#REF!</v>
      </c>
      <c r="H354" s="14" t="e">
        <f t="shared" si="46"/>
        <v>#REF!</v>
      </c>
      <c r="I354" s="14" t="e">
        <f t="shared" si="46"/>
        <v>#REF!</v>
      </c>
      <c r="J354" s="14" t="e">
        <f t="shared" si="46"/>
        <v>#REF!</v>
      </c>
      <c r="K354" s="14" t="e">
        <f t="shared" si="46"/>
        <v>#REF!</v>
      </c>
      <c r="L354" s="14" t="e">
        <f t="shared" si="46"/>
        <v>#REF!</v>
      </c>
      <c r="M354" s="14" t="e">
        <f t="shared" si="46"/>
        <v>#REF!</v>
      </c>
      <c r="N354" s="14" t="e">
        <f t="shared" si="46"/>
        <v>#REF!</v>
      </c>
      <c r="O354" s="14" t="e">
        <f t="shared" si="46"/>
        <v>#REF!</v>
      </c>
      <c r="P354" s="14" t="e">
        <f t="shared" si="46"/>
        <v>#REF!</v>
      </c>
      <c r="Q354" s="14" t="e">
        <f t="shared" si="46"/>
        <v>#REF!</v>
      </c>
      <c r="R354" s="14" t="e">
        <f t="shared" si="46"/>
        <v>#REF!</v>
      </c>
      <c r="S354" s="14" t="e">
        <f>SUM(G354:R354)</f>
        <v>#REF!</v>
      </c>
    </row>
    <row r="355" spans="2:19" ht="16" thickTop="1" thickBot="1">
      <c r="C355" s="27"/>
      <c r="D355" s="28"/>
      <c r="E355" s="28"/>
      <c r="F355" s="29"/>
    </row>
  </sheetData>
  <mergeCells count="2">
    <mergeCell ref="A1:P1"/>
    <mergeCell ref="A2:P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W78"/>
  <sheetViews>
    <sheetView showGridLines="0" zoomScale="80" zoomScaleNormal="80" workbookViewId="0">
      <selection activeCell="D7" sqref="D7"/>
    </sheetView>
  </sheetViews>
  <sheetFormatPr baseColWidth="10" defaultColWidth="9.1640625" defaultRowHeight="13" outlineLevelRow="1"/>
  <cols>
    <col min="1" max="1" width="13.1640625" style="108" customWidth="1"/>
    <col min="2" max="2" width="36.6640625" style="108" customWidth="1"/>
    <col min="3" max="3" width="11" style="108" customWidth="1"/>
    <col min="4" max="4" width="12" style="108" bestFit="1" customWidth="1"/>
    <col min="5" max="7" width="12" style="108" customWidth="1"/>
    <col min="8" max="15" width="12" style="108" bestFit="1" customWidth="1"/>
    <col min="16" max="16" width="11.33203125" style="128" customWidth="1"/>
    <col min="17" max="17" width="4.33203125" style="128" customWidth="1"/>
    <col min="18" max="18" width="29.1640625" style="108" customWidth="1"/>
    <col min="19" max="20" width="13.5" style="108" bestFit="1" customWidth="1"/>
    <col min="21" max="21" width="6.5" style="108" bestFit="1" customWidth="1"/>
    <col min="22" max="22" width="10.5" style="108" bestFit="1" customWidth="1"/>
    <col min="23" max="16384" width="9.1640625" style="108"/>
  </cols>
  <sheetData>
    <row r="1" spans="1:21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Revenue Worksheet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511"/>
    </row>
    <row r="3" spans="1:21">
      <c r="B3" s="512" t="str">
        <f>Summary!C6</f>
        <v>NOVA RTP 2680</v>
      </c>
      <c r="C3" s="513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5"/>
      <c r="O3" s="515"/>
      <c r="P3" s="129"/>
      <c r="Q3" s="129"/>
    </row>
    <row r="4" spans="1:21">
      <c r="B4" s="516" t="s">
        <v>101</v>
      </c>
      <c r="C4" s="517">
        <f>Summary!C8</f>
        <v>83</v>
      </c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518"/>
      <c r="O4" s="518"/>
      <c r="P4" s="519"/>
      <c r="Q4" s="519"/>
    </row>
    <row r="5" spans="1:21">
      <c r="B5" s="520" t="s">
        <v>102</v>
      </c>
      <c r="C5" s="521">
        <f>Summary!C9</f>
        <v>90054</v>
      </c>
      <c r="D5" s="515"/>
      <c r="E5" s="515"/>
      <c r="F5" s="515"/>
      <c r="G5" s="515"/>
      <c r="H5" s="515"/>
      <c r="I5" s="515"/>
      <c r="J5" s="515"/>
      <c r="K5" s="515"/>
      <c r="L5" s="515"/>
      <c r="M5" s="515"/>
      <c r="N5" s="515"/>
      <c r="O5" s="515"/>
      <c r="P5" s="522"/>
      <c r="Q5" s="522"/>
    </row>
    <row r="6" spans="1:21">
      <c r="D6" s="523"/>
      <c r="E6" s="523"/>
      <c r="F6" s="523"/>
      <c r="G6" s="523"/>
      <c r="H6" s="523"/>
      <c r="I6" s="523"/>
      <c r="J6" s="523"/>
      <c r="K6" s="523"/>
      <c r="L6" s="523"/>
      <c r="M6" s="523"/>
      <c r="N6" s="523"/>
      <c r="O6" s="523"/>
      <c r="P6" s="524" t="s">
        <v>103</v>
      </c>
      <c r="Q6" s="533"/>
      <c r="R6" s="482"/>
      <c r="S6" s="482"/>
    </row>
    <row r="7" spans="1:21" ht="12.75" customHeight="1">
      <c r="B7" s="529" t="s">
        <v>104</v>
      </c>
      <c r="C7" s="530"/>
      <c r="D7" s="531">
        <f>+'Operating Budget'!F4</f>
        <v>45901</v>
      </c>
      <c r="E7" s="531">
        <f>+'Operating Budget'!G4</f>
        <v>45961</v>
      </c>
      <c r="F7" s="531">
        <f>+'Operating Budget'!H4</f>
        <v>45991</v>
      </c>
      <c r="G7" s="531">
        <f>+'Operating Budget'!I4</f>
        <v>46022</v>
      </c>
      <c r="H7" s="531">
        <f>+'Operating Budget'!J4</f>
        <v>46053</v>
      </c>
      <c r="I7" s="531">
        <f>+'Operating Budget'!K4</f>
        <v>46081</v>
      </c>
      <c r="J7" s="531">
        <f>+'Operating Budget'!L4</f>
        <v>46112</v>
      </c>
      <c r="K7" s="531">
        <f>+'Operating Budget'!M4</f>
        <v>46142</v>
      </c>
      <c r="L7" s="531">
        <f>+'Operating Budget'!N4</f>
        <v>46173</v>
      </c>
      <c r="M7" s="531">
        <f>+'Operating Budget'!O4</f>
        <v>46203</v>
      </c>
      <c r="N7" s="531">
        <f>+'Operating Budget'!P4</f>
        <v>46234</v>
      </c>
      <c r="O7" s="531">
        <f>+'Operating Budget'!Q4</f>
        <v>46265</v>
      </c>
      <c r="P7" s="532" t="s">
        <v>41</v>
      </c>
      <c r="Q7" s="533"/>
      <c r="R7" s="482"/>
    </row>
    <row r="8" spans="1:21" ht="12.75" customHeight="1">
      <c r="B8" s="115" t="s">
        <v>943</v>
      </c>
      <c r="C8" s="534"/>
      <c r="D8" s="535">
        <v>23</v>
      </c>
      <c r="E8" s="535">
        <v>0</v>
      </c>
      <c r="F8" s="535">
        <v>0</v>
      </c>
      <c r="G8" s="535">
        <v>0</v>
      </c>
      <c r="H8" s="535">
        <v>24</v>
      </c>
      <c r="I8" s="535">
        <v>36</v>
      </c>
      <c r="J8" s="535">
        <v>0</v>
      </c>
      <c r="K8" s="535">
        <v>0</v>
      </c>
      <c r="L8" s="535">
        <v>0</v>
      </c>
      <c r="M8" s="535">
        <v>0</v>
      </c>
      <c r="N8" s="535">
        <v>0</v>
      </c>
      <c r="O8" s="535">
        <v>0</v>
      </c>
      <c r="P8" s="536">
        <f>+SUBTOTAL(9,D8:O8)</f>
        <v>83</v>
      </c>
      <c r="Q8" s="537"/>
      <c r="R8" s="482"/>
    </row>
    <row r="9" spans="1:21" ht="15.75" customHeight="1">
      <c r="B9" s="115" t="s">
        <v>48</v>
      </c>
      <c r="C9" s="120"/>
      <c r="D9" s="535">
        <v>0</v>
      </c>
      <c r="E9" s="535">
        <v>0</v>
      </c>
      <c r="F9" s="535">
        <v>0</v>
      </c>
      <c r="G9" s="535">
        <v>0</v>
      </c>
      <c r="H9" s="535">
        <v>0</v>
      </c>
      <c r="I9" s="535">
        <v>0</v>
      </c>
      <c r="J9" s="535">
        <v>0</v>
      </c>
      <c r="K9" s="535">
        <v>0</v>
      </c>
      <c r="L9" s="535">
        <v>0</v>
      </c>
      <c r="M9" s="535">
        <v>0</v>
      </c>
      <c r="N9" s="535">
        <v>0</v>
      </c>
      <c r="O9" s="535">
        <v>0</v>
      </c>
      <c r="P9" s="538">
        <f>+SUBTOTAL(9,D9:O9)</f>
        <v>0</v>
      </c>
      <c r="Q9" s="537"/>
      <c r="R9" s="482"/>
    </row>
    <row r="10" spans="1:21" ht="15.75" customHeight="1">
      <c r="B10" s="111" t="s">
        <v>105</v>
      </c>
      <c r="D10" s="993">
        <v>0.6</v>
      </c>
      <c r="E10" s="993">
        <v>0.6</v>
      </c>
      <c r="F10" s="993">
        <v>0.6</v>
      </c>
      <c r="G10" s="993">
        <v>0.6</v>
      </c>
      <c r="H10" s="993">
        <v>0.6</v>
      </c>
      <c r="I10" s="993">
        <v>0.6</v>
      </c>
      <c r="J10" s="993">
        <v>0.6</v>
      </c>
      <c r="K10" s="993">
        <v>0.6</v>
      </c>
      <c r="L10" s="993">
        <v>0.6</v>
      </c>
      <c r="M10" s="993">
        <v>0.6</v>
      </c>
      <c r="N10" s="993">
        <v>0.6</v>
      </c>
      <c r="O10" s="994">
        <v>0.6</v>
      </c>
      <c r="P10" s="538">
        <v>0</v>
      </c>
      <c r="Q10" s="539"/>
      <c r="R10" s="482"/>
    </row>
    <row r="11" spans="1:21" ht="15.75" customHeight="1">
      <c r="B11" s="115" t="s">
        <v>106</v>
      </c>
      <c r="C11" s="120"/>
      <c r="D11" s="995">
        <f>+D9*D10</f>
        <v>0</v>
      </c>
      <c r="E11" s="995">
        <f t="shared" ref="E11:O11" si="0">+E9*E10</f>
        <v>0</v>
      </c>
      <c r="F11" s="995">
        <f t="shared" si="0"/>
        <v>0</v>
      </c>
      <c r="G11" s="995">
        <f t="shared" si="0"/>
        <v>0</v>
      </c>
      <c r="H11" s="995">
        <f t="shared" si="0"/>
        <v>0</v>
      </c>
      <c r="I11" s="995">
        <f t="shared" si="0"/>
        <v>0</v>
      </c>
      <c r="J11" s="995">
        <f t="shared" si="0"/>
        <v>0</v>
      </c>
      <c r="K11" s="995">
        <f t="shared" si="0"/>
        <v>0</v>
      </c>
      <c r="L11" s="995">
        <f t="shared" si="0"/>
        <v>0</v>
      </c>
      <c r="M11" s="995">
        <f t="shared" si="0"/>
        <v>0</v>
      </c>
      <c r="N11" s="995">
        <f t="shared" si="0"/>
        <v>0</v>
      </c>
      <c r="O11" s="996">
        <f t="shared" si="0"/>
        <v>0</v>
      </c>
      <c r="P11" s="538">
        <f>+SUBTOTAL(9,D11:O11)</f>
        <v>0</v>
      </c>
      <c r="Q11" s="537"/>
      <c r="R11" s="482"/>
    </row>
    <row r="12" spans="1:21" ht="15.75" customHeight="1">
      <c r="B12" s="527" t="s">
        <v>107</v>
      </c>
      <c r="C12" s="158"/>
      <c r="D12" s="540">
        <v>0</v>
      </c>
      <c r="E12" s="540">
        <v>0</v>
      </c>
      <c r="F12" s="540">
        <v>0</v>
      </c>
      <c r="G12" s="540">
        <v>0</v>
      </c>
      <c r="H12" s="540">
        <v>0</v>
      </c>
      <c r="I12" s="540">
        <v>0</v>
      </c>
      <c r="J12" s="540">
        <v>0</v>
      </c>
      <c r="K12" s="540">
        <v>0</v>
      </c>
      <c r="L12" s="540">
        <v>0</v>
      </c>
      <c r="M12" s="540">
        <v>0</v>
      </c>
      <c r="N12" s="540">
        <v>0</v>
      </c>
      <c r="O12" s="540">
        <v>0</v>
      </c>
      <c r="P12" s="541">
        <f>+SUBTOTAL(9,D12:O12)</f>
        <v>0</v>
      </c>
      <c r="Q12" s="537"/>
      <c r="R12" s="482"/>
      <c r="S12" s="482"/>
    </row>
    <row r="13" spans="1:21" ht="15.75" customHeight="1">
      <c r="B13" s="160"/>
      <c r="C13" s="120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537"/>
      <c r="Q13" s="537"/>
      <c r="R13" s="482"/>
      <c r="S13" s="482"/>
    </row>
    <row r="14" spans="1:21" ht="15.75" customHeight="1">
      <c r="B14" s="528"/>
      <c r="C14" s="120"/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  <c r="O14" s="542"/>
      <c r="P14" s="543"/>
      <c r="Q14" s="543"/>
      <c r="R14" s="482"/>
      <c r="S14" s="482"/>
    </row>
    <row r="15" spans="1:21" ht="15.75" customHeight="1">
      <c r="B15" s="544" t="s">
        <v>108</v>
      </c>
      <c r="C15" s="526"/>
      <c r="D15" s="545">
        <v>0</v>
      </c>
      <c r="E15" s="546">
        <f t="shared" ref="E15" si="1">+D18</f>
        <v>20</v>
      </c>
      <c r="F15" s="546">
        <f t="shared" ref="F15" si="2">+E18</f>
        <v>23</v>
      </c>
      <c r="G15" s="546">
        <f t="shared" ref="G15" si="3">+F18</f>
        <v>23</v>
      </c>
      <c r="H15" s="546">
        <f t="shared" ref="H15" si="4">+G18</f>
        <v>23</v>
      </c>
      <c r="I15" s="546">
        <f t="shared" ref="I15:O15" si="5">+H18</f>
        <v>43</v>
      </c>
      <c r="J15" s="546">
        <f t="shared" si="5"/>
        <v>68</v>
      </c>
      <c r="K15" s="546">
        <f t="shared" si="5"/>
        <v>82</v>
      </c>
      <c r="L15" s="546">
        <f t="shared" si="5"/>
        <v>82</v>
      </c>
      <c r="M15" s="546">
        <f t="shared" si="5"/>
        <v>82</v>
      </c>
      <c r="N15" s="546">
        <f t="shared" si="5"/>
        <v>82</v>
      </c>
      <c r="O15" s="546">
        <f t="shared" si="5"/>
        <v>82</v>
      </c>
      <c r="P15" s="547" t="s">
        <v>81</v>
      </c>
      <c r="Q15" s="548"/>
      <c r="R15" s="482"/>
      <c r="S15" s="482"/>
      <c r="U15" s="311"/>
    </row>
    <row r="16" spans="1:21" ht="15.75" customHeight="1">
      <c r="B16" s="115" t="s">
        <v>109</v>
      </c>
      <c r="C16" s="120"/>
      <c r="D16" s="535">
        <v>20</v>
      </c>
      <c r="E16" s="535">
        <v>3</v>
      </c>
      <c r="F16" s="535">
        <v>0</v>
      </c>
      <c r="G16" s="535">
        <v>0</v>
      </c>
      <c r="H16" s="535">
        <v>20</v>
      </c>
      <c r="I16" s="535">
        <v>25</v>
      </c>
      <c r="J16" s="535">
        <v>14</v>
      </c>
      <c r="K16" s="535">
        <v>0</v>
      </c>
      <c r="L16" s="535">
        <v>0</v>
      </c>
      <c r="M16" s="535">
        <v>0</v>
      </c>
      <c r="N16" s="535">
        <v>0</v>
      </c>
      <c r="O16" s="535">
        <v>0</v>
      </c>
      <c r="P16" s="538">
        <f>+SUM(D16:O16)</f>
        <v>82</v>
      </c>
      <c r="Q16" s="537"/>
      <c r="R16" s="482"/>
      <c r="S16" s="482"/>
    </row>
    <row r="17" spans="1:23" ht="15.75" customHeight="1">
      <c r="B17" s="116" t="s">
        <v>110</v>
      </c>
      <c r="C17" s="120"/>
      <c r="D17" s="549">
        <f t="shared" ref="D17:O17" si="6">MIN(MAX(D9-D11+D12,0),$C$4)</f>
        <v>0</v>
      </c>
      <c r="E17" s="549">
        <f t="shared" ref="E17:G17" si="7">MIN(MAX(E9-E11+E12,0),$C$4)</f>
        <v>0</v>
      </c>
      <c r="F17" s="549">
        <f t="shared" si="7"/>
        <v>0</v>
      </c>
      <c r="G17" s="549">
        <f t="shared" si="7"/>
        <v>0</v>
      </c>
      <c r="H17" s="549">
        <f t="shared" ref="H17" si="8">MIN(MAX(H9-H11+H12,0),$C$4)</f>
        <v>0</v>
      </c>
      <c r="I17" s="549">
        <f t="shared" si="6"/>
        <v>0</v>
      </c>
      <c r="J17" s="549">
        <f t="shared" si="6"/>
        <v>0</v>
      </c>
      <c r="K17" s="549">
        <f t="shared" si="6"/>
        <v>0</v>
      </c>
      <c r="L17" s="549">
        <f t="shared" si="6"/>
        <v>0</v>
      </c>
      <c r="M17" s="549">
        <f t="shared" si="6"/>
        <v>0</v>
      </c>
      <c r="N17" s="549">
        <f t="shared" si="6"/>
        <v>0</v>
      </c>
      <c r="O17" s="549">
        <f t="shared" si="6"/>
        <v>0</v>
      </c>
      <c r="P17" s="538">
        <f>+SUM(D17:O17)</f>
        <v>0</v>
      </c>
      <c r="Q17" s="537"/>
      <c r="R17" s="482"/>
      <c r="S17" s="482"/>
    </row>
    <row r="18" spans="1:23" ht="18.75" customHeight="1">
      <c r="B18" s="115" t="s">
        <v>111</v>
      </c>
      <c r="C18" s="120"/>
      <c r="D18" s="550">
        <f>MIN(MAX(+D15-D17,0)+D16,$C$4)</f>
        <v>20</v>
      </c>
      <c r="E18" s="550">
        <f t="shared" ref="E18:G18" si="9">MIN(MAX(+E15-E17,0)+E16,$C$4)</f>
        <v>23</v>
      </c>
      <c r="F18" s="550">
        <f t="shared" si="9"/>
        <v>23</v>
      </c>
      <c r="G18" s="550">
        <f t="shared" si="9"/>
        <v>23</v>
      </c>
      <c r="H18" s="550">
        <f>MIN(MAX(+H15-H17,0)+H16,$C$4)</f>
        <v>43</v>
      </c>
      <c r="I18" s="550">
        <f t="shared" ref="I18:O18" si="10">MIN(MAX(+I15-I17,0)+I16,$C$4)</f>
        <v>68</v>
      </c>
      <c r="J18" s="550">
        <f t="shared" si="10"/>
        <v>82</v>
      </c>
      <c r="K18" s="550">
        <f t="shared" si="10"/>
        <v>82</v>
      </c>
      <c r="L18" s="550">
        <f t="shared" si="10"/>
        <v>82</v>
      </c>
      <c r="M18" s="550">
        <f t="shared" si="10"/>
        <v>82</v>
      </c>
      <c r="N18" s="550">
        <f t="shared" si="10"/>
        <v>82</v>
      </c>
      <c r="O18" s="550">
        <f t="shared" si="10"/>
        <v>82</v>
      </c>
      <c r="P18" s="538">
        <f>+SUM(D18:O18)</f>
        <v>692</v>
      </c>
      <c r="Q18" s="537"/>
      <c r="R18" s="482"/>
      <c r="S18" s="482"/>
    </row>
    <row r="19" spans="1:23" ht="15.75" customHeight="1">
      <c r="B19" s="527" t="s">
        <v>112</v>
      </c>
      <c r="C19" s="101"/>
      <c r="D19" s="551">
        <f t="shared" ref="D19:O19" si="11">IF($C$4=0,0,D18/$C$4)</f>
        <v>0.24096385542168675</v>
      </c>
      <c r="E19" s="551">
        <f t="shared" ref="E19:G19" si="12">IF($C$4=0,0,E18/$C$4)</f>
        <v>0.27710843373493976</v>
      </c>
      <c r="F19" s="551">
        <f t="shared" si="12"/>
        <v>0.27710843373493976</v>
      </c>
      <c r="G19" s="551">
        <f t="shared" si="12"/>
        <v>0.27710843373493976</v>
      </c>
      <c r="H19" s="551">
        <f t="shared" ref="H19" si="13">IF($C$4=0,0,H18/$C$4)</f>
        <v>0.51807228915662651</v>
      </c>
      <c r="I19" s="551">
        <f t="shared" si="11"/>
        <v>0.81927710843373491</v>
      </c>
      <c r="J19" s="551">
        <f t="shared" si="11"/>
        <v>0.98795180722891562</v>
      </c>
      <c r="K19" s="551">
        <f t="shared" si="11"/>
        <v>0.98795180722891562</v>
      </c>
      <c r="L19" s="551">
        <f t="shared" si="11"/>
        <v>0.98795180722891562</v>
      </c>
      <c r="M19" s="551">
        <f t="shared" si="11"/>
        <v>0.98795180722891562</v>
      </c>
      <c r="N19" s="551">
        <f t="shared" si="11"/>
        <v>0.98795180722891562</v>
      </c>
      <c r="O19" s="551">
        <f t="shared" si="11"/>
        <v>0.98795180722891562</v>
      </c>
      <c r="P19" s="552" t="s">
        <v>81</v>
      </c>
      <c r="Q19" s="548"/>
      <c r="R19" s="482"/>
      <c r="S19" s="482"/>
    </row>
    <row r="20" spans="1:23">
      <c r="B20" s="554"/>
      <c r="D20" s="553"/>
      <c r="E20" s="553"/>
      <c r="F20" s="553"/>
      <c r="G20" s="553"/>
      <c r="H20" s="553"/>
      <c r="I20" s="553"/>
      <c r="J20" s="553"/>
      <c r="K20" s="553"/>
      <c r="L20" s="553"/>
      <c r="M20" s="553"/>
      <c r="N20" s="553"/>
      <c r="O20" s="553"/>
      <c r="P20" s="555"/>
      <c r="Q20" s="555"/>
      <c r="R20" s="482"/>
      <c r="S20" s="482"/>
    </row>
    <row r="21" spans="1:23">
      <c r="O21" s="515"/>
      <c r="P21" s="557" t="s">
        <v>103</v>
      </c>
      <c r="Q21" s="533"/>
      <c r="R21" s="482"/>
      <c r="S21" s="482"/>
    </row>
    <row r="22" spans="1:23">
      <c r="B22" s="529" t="s">
        <v>113</v>
      </c>
      <c r="C22" s="530"/>
      <c r="D22" s="531">
        <f t="shared" ref="D22:O22" si="14">D7</f>
        <v>45901</v>
      </c>
      <c r="E22" s="531">
        <f t="shared" si="14"/>
        <v>45961</v>
      </c>
      <c r="F22" s="531">
        <f t="shared" si="14"/>
        <v>45991</v>
      </c>
      <c r="G22" s="531">
        <f t="shared" si="14"/>
        <v>46022</v>
      </c>
      <c r="H22" s="531">
        <f t="shared" si="14"/>
        <v>46053</v>
      </c>
      <c r="I22" s="531">
        <f t="shared" si="14"/>
        <v>46081</v>
      </c>
      <c r="J22" s="531">
        <f t="shared" si="14"/>
        <v>46112</v>
      </c>
      <c r="K22" s="531">
        <f t="shared" si="14"/>
        <v>46142</v>
      </c>
      <c r="L22" s="531">
        <f t="shared" si="14"/>
        <v>46173</v>
      </c>
      <c r="M22" s="531">
        <f t="shared" si="14"/>
        <v>46203</v>
      </c>
      <c r="N22" s="531">
        <f t="shared" si="14"/>
        <v>46234</v>
      </c>
      <c r="O22" s="531">
        <f t="shared" si="14"/>
        <v>46265</v>
      </c>
      <c r="P22" s="532" t="s">
        <v>41</v>
      </c>
      <c r="Q22" s="533"/>
      <c r="R22" s="558" t="s">
        <v>23</v>
      </c>
      <c r="S22" s="482"/>
      <c r="T22" s="1076" t="s">
        <v>924</v>
      </c>
      <c r="U22" s="1077"/>
      <c r="V22" s="1077"/>
      <c r="W22" s="1078"/>
    </row>
    <row r="23" spans="1:23">
      <c r="B23" s="430" t="s">
        <v>223</v>
      </c>
      <c r="D23" s="559">
        <v>0</v>
      </c>
      <c r="E23" s="559">
        <v>0</v>
      </c>
      <c r="F23" s="559">
        <v>0</v>
      </c>
      <c r="G23" s="559">
        <v>0</v>
      </c>
      <c r="H23" s="559">
        <v>0</v>
      </c>
      <c r="I23" s="559">
        <v>0</v>
      </c>
      <c r="J23" s="559">
        <v>0</v>
      </c>
      <c r="K23" s="559">
        <v>0</v>
      </c>
      <c r="L23" s="559">
        <v>0</v>
      </c>
      <c r="M23" s="559">
        <v>0</v>
      </c>
      <c r="N23" s="559">
        <v>0</v>
      </c>
      <c r="O23" s="559">
        <v>0</v>
      </c>
      <c r="P23" s="560" t="s">
        <v>81</v>
      </c>
      <c r="Q23" s="560"/>
      <c r="R23" s="252"/>
      <c r="S23" s="482"/>
      <c r="T23" s="131"/>
      <c r="W23" s="132"/>
    </row>
    <row r="24" spans="1:23">
      <c r="A24" s="319">
        <f>INDEX(QS_Chart_Of_Accounts_Upload!$C:$O,MATCH(B24,QS_Chart_Of_Accounts_Upload!$E:$E,0),MATCH("ACCT_NO",QS_Chart_Of_Accounts_Upload!$C$1:$O$1,0))</f>
        <v>4010</v>
      </c>
      <c r="B24" s="108" t="s">
        <v>70</v>
      </c>
      <c r="C24" s="561"/>
      <c r="D24" s="562">
        <f>+'GPR Worksheet'!$F$22*(1+D23)</f>
        <v>152646</v>
      </c>
      <c r="E24" s="562">
        <f>+D24*(1+E23)</f>
        <v>152646</v>
      </c>
      <c r="F24" s="562">
        <f>+E24*(1+F23)</f>
        <v>152646</v>
      </c>
      <c r="G24" s="562">
        <f>+F24*(1+G23)</f>
        <v>152646</v>
      </c>
      <c r="H24" s="562">
        <f t="shared" ref="H24:O24" si="15">+G24*(1+H23)</f>
        <v>152646</v>
      </c>
      <c r="I24" s="562">
        <f t="shared" si="15"/>
        <v>152646</v>
      </c>
      <c r="J24" s="562">
        <f t="shared" si="15"/>
        <v>152646</v>
      </c>
      <c r="K24" s="562">
        <f t="shared" si="15"/>
        <v>152646</v>
      </c>
      <c r="L24" s="562">
        <f t="shared" si="15"/>
        <v>152646</v>
      </c>
      <c r="M24" s="562">
        <f t="shared" si="15"/>
        <v>152646</v>
      </c>
      <c r="N24" s="562">
        <f t="shared" si="15"/>
        <v>152646</v>
      </c>
      <c r="O24" s="562">
        <f t="shared" si="15"/>
        <v>152646</v>
      </c>
      <c r="P24" s="563">
        <f>+SUBTOTAL(9,D24:O24)</f>
        <v>1831752</v>
      </c>
      <c r="Q24" s="564"/>
      <c r="R24" s="252"/>
      <c r="S24" s="482"/>
      <c r="T24" s="131"/>
      <c r="W24" s="132"/>
    </row>
    <row r="25" spans="1:23">
      <c r="B25" s="565" t="s">
        <v>1161</v>
      </c>
      <c r="C25" s="566"/>
      <c r="D25" s="562">
        <f>+(D$24*$U$25)</f>
        <v>0</v>
      </c>
      <c r="E25" s="562">
        <f t="shared" ref="E25:O25" si="16">+(E$24*$U$25)</f>
        <v>0</v>
      </c>
      <c r="F25" s="562">
        <f t="shared" si="16"/>
        <v>0</v>
      </c>
      <c r="G25" s="562">
        <f t="shared" si="16"/>
        <v>0</v>
      </c>
      <c r="H25" s="562">
        <f t="shared" si="16"/>
        <v>0</v>
      </c>
      <c r="I25" s="562">
        <f t="shared" si="16"/>
        <v>0</v>
      </c>
      <c r="J25" s="562">
        <f t="shared" si="16"/>
        <v>0</v>
      </c>
      <c r="K25" s="562">
        <f t="shared" si="16"/>
        <v>0</v>
      </c>
      <c r="L25" s="562">
        <f t="shared" si="16"/>
        <v>0</v>
      </c>
      <c r="M25" s="562">
        <f t="shared" si="16"/>
        <v>0</v>
      </c>
      <c r="N25" s="562">
        <f t="shared" si="16"/>
        <v>0</v>
      </c>
      <c r="O25" s="562">
        <f t="shared" si="16"/>
        <v>0</v>
      </c>
      <c r="P25" s="563">
        <f>+SUBTOTAL(9,D25:O25)</f>
        <v>0</v>
      </c>
      <c r="Q25" s="560"/>
      <c r="R25" s="252"/>
      <c r="S25" s="482"/>
      <c r="T25" s="131" t="s">
        <v>1162</v>
      </c>
      <c r="U25" s="623">
        <v>0</v>
      </c>
      <c r="W25" s="132"/>
    </row>
    <row r="26" spans="1:23" outlineLevel="1">
      <c r="B26" s="565" t="s">
        <v>221</v>
      </c>
      <c r="C26" s="566"/>
      <c r="D26" s="568"/>
      <c r="E26" s="568"/>
      <c r="F26" s="568"/>
      <c r="G26" s="568"/>
      <c r="H26" s="568"/>
      <c r="I26" s="568"/>
      <c r="J26" s="568"/>
      <c r="K26" s="568"/>
      <c r="L26" s="568"/>
      <c r="M26" s="568"/>
      <c r="N26" s="568"/>
      <c r="O26" s="568"/>
      <c r="P26" s="569"/>
      <c r="Q26" s="569"/>
      <c r="R26" s="252"/>
      <c r="S26" s="482"/>
      <c r="T26" s="131"/>
      <c r="W26" s="132"/>
    </row>
    <row r="27" spans="1:23" ht="14" outlineLevel="1">
      <c r="B27" s="570" t="s">
        <v>49</v>
      </c>
      <c r="C27" s="566"/>
      <c r="D27" s="550">
        <f>'Revenue Worksheet'!D11</f>
        <v>0</v>
      </c>
      <c r="E27" s="550">
        <f>'Revenue Worksheet'!E11</f>
        <v>0</v>
      </c>
      <c r="F27" s="550">
        <f>'Revenue Worksheet'!F11</f>
        <v>0</v>
      </c>
      <c r="G27" s="550">
        <f>'Revenue Worksheet'!G11</f>
        <v>0</v>
      </c>
      <c r="H27" s="550">
        <f>'Revenue Worksheet'!H11</f>
        <v>0</v>
      </c>
      <c r="I27" s="550">
        <f>'Revenue Worksheet'!I11</f>
        <v>0</v>
      </c>
      <c r="J27" s="550">
        <f>'Revenue Worksheet'!J11</f>
        <v>0</v>
      </c>
      <c r="K27" s="550">
        <f>'Revenue Worksheet'!K11</f>
        <v>0</v>
      </c>
      <c r="L27" s="550">
        <f>'Revenue Worksheet'!L11</f>
        <v>0</v>
      </c>
      <c r="M27" s="550">
        <f>'Revenue Worksheet'!M11</f>
        <v>0</v>
      </c>
      <c r="N27" s="550">
        <f>'Revenue Worksheet'!N11</f>
        <v>0</v>
      </c>
      <c r="O27" s="550">
        <f>'Revenue Worksheet'!O11</f>
        <v>0</v>
      </c>
      <c r="P27" s="571"/>
      <c r="Q27" s="571"/>
      <c r="R27" s="252"/>
      <c r="S27" s="482"/>
      <c r="T27" s="131"/>
      <c r="W27" s="132"/>
    </row>
    <row r="28" spans="1:23" ht="14" outlineLevel="1">
      <c r="B28" s="572" t="s">
        <v>195</v>
      </c>
      <c r="C28" s="566"/>
      <c r="D28" s="573">
        <v>0</v>
      </c>
      <c r="E28" s="573">
        <v>0</v>
      </c>
      <c r="F28" s="573">
        <v>0</v>
      </c>
      <c r="G28" s="573">
        <v>0</v>
      </c>
      <c r="H28" s="573">
        <v>0</v>
      </c>
      <c r="I28" s="573">
        <v>0</v>
      </c>
      <c r="J28" s="573">
        <v>0</v>
      </c>
      <c r="K28" s="573">
        <v>0</v>
      </c>
      <c r="L28" s="573">
        <v>0</v>
      </c>
      <c r="M28" s="573">
        <v>0</v>
      </c>
      <c r="N28" s="573">
        <v>0</v>
      </c>
      <c r="O28" s="573">
        <v>0</v>
      </c>
      <c r="P28" s="571"/>
      <c r="Q28" s="571"/>
      <c r="R28" s="252"/>
      <c r="S28" s="482"/>
      <c r="T28" s="131"/>
      <c r="W28" s="132"/>
    </row>
    <row r="29" spans="1:23" ht="14" outlineLevel="1">
      <c r="B29" s="572" t="s">
        <v>222</v>
      </c>
      <c r="C29" s="566"/>
      <c r="D29" s="574">
        <f t="shared" ref="D29" si="17">D28*D27</f>
        <v>0</v>
      </c>
      <c r="E29" s="574">
        <f t="shared" ref="E29:G29" si="18">E28*E27</f>
        <v>0</v>
      </c>
      <c r="F29" s="574">
        <f t="shared" si="18"/>
        <v>0</v>
      </c>
      <c r="G29" s="574">
        <f t="shared" si="18"/>
        <v>0</v>
      </c>
      <c r="H29" s="574">
        <f t="shared" ref="H29:O29" si="19">H28*H27</f>
        <v>0</v>
      </c>
      <c r="I29" s="574">
        <f t="shared" si="19"/>
        <v>0</v>
      </c>
      <c r="J29" s="574">
        <f t="shared" si="19"/>
        <v>0</v>
      </c>
      <c r="K29" s="574">
        <f t="shared" si="19"/>
        <v>0</v>
      </c>
      <c r="L29" s="574">
        <f t="shared" si="19"/>
        <v>0</v>
      </c>
      <c r="M29" s="574">
        <f t="shared" si="19"/>
        <v>0</v>
      </c>
      <c r="N29" s="574">
        <f t="shared" si="19"/>
        <v>0</v>
      </c>
      <c r="O29" s="574">
        <f t="shared" si="19"/>
        <v>0</v>
      </c>
      <c r="P29" s="575"/>
      <c r="Q29" s="575"/>
      <c r="R29" s="252"/>
      <c r="S29" s="482"/>
      <c r="T29" s="131"/>
      <c r="W29" s="132"/>
    </row>
    <row r="30" spans="1:23" outlineLevel="1">
      <c r="B30" s="570"/>
      <c r="C30" s="566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571"/>
      <c r="Q30" s="571"/>
      <c r="R30" s="252"/>
      <c r="S30" s="482"/>
      <c r="T30" s="131"/>
      <c r="W30" s="132"/>
    </row>
    <row r="31" spans="1:23" ht="14" outlineLevel="1">
      <c r="B31" s="570" t="s">
        <v>196</v>
      </c>
      <c r="C31" s="566"/>
      <c r="D31" s="550">
        <f>'Revenue Worksheet'!D16</f>
        <v>20</v>
      </c>
      <c r="E31" s="550">
        <f>'Revenue Worksheet'!E16</f>
        <v>3</v>
      </c>
      <c r="F31" s="550">
        <f>'Revenue Worksheet'!F16</f>
        <v>0</v>
      </c>
      <c r="G31" s="550">
        <f>'Revenue Worksheet'!G16</f>
        <v>0</v>
      </c>
      <c r="H31" s="550">
        <f>'Revenue Worksheet'!H16</f>
        <v>20</v>
      </c>
      <c r="I31" s="550">
        <f>'Revenue Worksheet'!I16</f>
        <v>25</v>
      </c>
      <c r="J31" s="550">
        <f>'Revenue Worksheet'!J16</f>
        <v>14</v>
      </c>
      <c r="K31" s="550">
        <f>'Revenue Worksheet'!K16</f>
        <v>0</v>
      </c>
      <c r="L31" s="550">
        <f>'Revenue Worksheet'!L16</f>
        <v>0</v>
      </c>
      <c r="M31" s="550">
        <f>'Revenue Worksheet'!M16</f>
        <v>0</v>
      </c>
      <c r="N31" s="550">
        <f>'Revenue Worksheet'!N16</f>
        <v>0</v>
      </c>
      <c r="O31" s="550">
        <f>'Revenue Worksheet'!O16</f>
        <v>0</v>
      </c>
      <c r="P31" s="571"/>
      <c r="Q31" s="571"/>
      <c r="R31" s="252"/>
      <c r="S31" s="482"/>
      <c r="T31" s="131"/>
      <c r="W31" s="132"/>
    </row>
    <row r="32" spans="1:23" ht="14" outlineLevel="1">
      <c r="B32" s="572" t="s">
        <v>197</v>
      </c>
      <c r="C32" s="566"/>
      <c r="D32" s="573">
        <v>0</v>
      </c>
      <c r="E32" s="573">
        <v>0</v>
      </c>
      <c r="F32" s="573">
        <v>0</v>
      </c>
      <c r="G32" s="573">
        <v>0</v>
      </c>
      <c r="H32" s="573">
        <v>0</v>
      </c>
      <c r="I32" s="573">
        <v>0</v>
      </c>
      <c r="J32" s="573">
        <v>0</v>
      </c>
      <c r="K32" s="573">
        <v>0</v>
      </c>
      <c r="L32" s="573">
        <v>0</v>
      </c>
      <c r="M32" s="573">
        <v>0</v>
      </c>
      <c r="N32" s="573">
        <v>0</v>
      </c>
      <c r="O32" s="573">
        <v>0</v>
      </c>
      <c r="P32" s="575"/>
      <c r="Q32" s="575"/>
      <c r="R32" s="252"/>
      <c r="S32" s="482"/>
      <c r="T32" s="131"/>
      <c r="W32" s="132"/>
    </row>
    <row r="33" spans="1:23" outlineLevel="1">
      <c r="B33" s="572"/>
      <c r="C33" s="566"/>
      <c r="D33" s="574">
        <f t="shared" ref="D33" si="20">D32*D31</f>
        <v>0</v>
      </c>
      <c r="E33" s="574">
        <f t="shared" ref="E33:G33" si="21">E32*E31</f>
        <v>0</v>
      </c>
      <c r="F33" s="574">
        <f t="shared" si="21"/>
        <v>0</v>
      </c>
      <c r="G33" s="574">
        <f t="shared" si="21"/>
        <v>0</v>
      </c>
      <c r="H33" s="574">
        <f t="shared" ref="H33:O33" si="22">H32*H31</f>
        <v>0</v>
      </c>
      <c r="I33" s="574">
        <f t="shared" si="22"/>
        <v>0</v>
      </c>
      <c r="J33" s="574">
        <f t="shared" si="22"/>
        <v>0</v>
      </c>
      <c r="K33" s="574">
        <f t="shared" si="22"/>
        <v>0</v>
      </c>
      <c r="L33" s="574">
        <f t="shared" si="22"/>
        <v>0</v>
      </c>
      <c r="M33" s="574">
        <f t="shared" si="22"/>
        <v>0</v>
      </c>
      <c r="N33" s="574">
        <f t="shared" si="22"/>
        <v>0</v>
      </c>
      <c r="O33" s="574">
        <f t="shared" si="22"/>
        <v>0</v>
      </c>
      <c r="P33" s="575"/>
      <c r="Q33" s="575"/>
      <c r="R33" s="252"/>
      <c r="S33" s="482"/>
      <c r="T33" s="131"/>
      <c r="W33" s="132"/>
    </row>
    <row r="34" spans="1:23" outlineLevel="1">
      <c r="B34" s="570"/>
      <c r="C34" s="566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571"/>
      <c r="Q34" s="571"/>
      <c r="R34" s="252"/>
      <c r="S34" s="482"/>
      <c r="T34" s="131"/>
      <c r="W34" s="132"/>
    </row>
    <row r="35" spans="1:23" ht="14" outlineLevel="1">
      <c r="B35" s="572" t="s">
        <v>498</v>
      </c>
      <c r="C35" s="566"/>
      <c r="D35" s="576">
        <f t="shared" ref="D35:O35" si="23">D29+D33</f>
        <v>0</v>
      </c>
      <c r="E35" s="577">
        <f t="shared" ref="E35:G35" si="24">E29+E33</f>
        <v>0</v>
      </c>
      <c r="F35" s="577">
        <f t="shared" si="24"/>
        <v>0</v>
      </c>
      <c r="G35" s="577">
        <f t="shared" si="24"/>
        <v>0</v>
      </c>
      <c r="H35" s="577">
        <f t="shared" si="23"/>
        <v>0</v>
      </c>
      <c r="I35" s="577">
        <f t="shared" si="23"/>
        <v>0</v>
      </c>
      <c r="J35" s="577">
        <f t="shared" si="23"/>
        <v>0</v>
      </c>
      <c r="K35" s="577">
        <f t="shared" si="23"/>
        <v>0</v>
      </c>
      <c r="L35" s="577">
        <f t="shared" si="23"/>
        <v>0</v>
      </c>
      <c r="M35" s="577">
        <f t="shared" si="23"/>
        <v>0</v>
      </c>
      <c r="N35" s="577">
        <f t="shared" si="23"/>
        <v>0</v>
      </c>
      <c r="O35" s="577">
        <f t="shared" si="23"/>
        <v>0</v>
      </c>
      <c r="P35" s="578"/>
      <c r="Q35" s="579"/>
      <c r="R35" s="252"/>
      <c r="S35" s="482"/>
      <c r="T35" s="131"/>
      <c r="W35" s="132"/>
    </row>
    <row r="36" spans="1:23" outlineLevel="1">
      <c r="B36" s="572"/>
      <c r="C36" s="566"/>
      <c r="D36" s="580"/>
      <c r="E36" s="580"/>
      <c r="F36" s="580"/>
      <c r="G36" s="580"/>
      <c r="H36" s="580"/>
      <c r="I36" s="580"/>
      <c r="J36" s="580"/>
      <c r="K36" s="580"/>
      <c r="L36" s="580"/>
      <c r="M36" s="580"/>
      <c r="N36" s="580"/>
      <c r="O36" s="580"/>
      <c r="P36" s="575"/>
      <c r="Q36" s="575"/>
      <c r="R36" s="252"/>
      <c r="S36" s="482"/>
      <c r="T36" s="131"/>
      <c r="W36" s="132"/>
    </row>
    <row r="37" spans="1:23" outlineLevel="1">
      <c r="B37" s="572"/>
      <c r="C37" s="566"/>
      <c r="P37" s="571"/>
      <c r="Q37" s="571"/>
      <c r="R37" s="252"/>
      <c r="S37" s="482"/>
      <c r="T37" s="131"/>
      <c r="W37" s="132"/>
    </row>
    <row r="38" spans="1:23">
      <c r="A38" s="319">
        <f>INDEX(QS_Chart_Of_Accounts_Upload!$C:$O,MATCH(B38,QS_Chart_Of_Accounts_Upload!$E:$E,0),MATCH("ACCT_NO",QS_Chart_Of_Accounts_Upload!$C$1:$O$1,0))</f>
        <v>4410</v>
      </c>
      <c r="B38" s="565" t="s">
        <v>240</v>
      </c>
      <c r="C38" s="581">
        <v>0</v>
      </c>
      <c r="D38" s="309">
        <f>+C38+D35</f>
        <v>0</v>
      </c>
      <c r="E38" s="309">
        <f t="shared" ref="E38" si="25">-SUM(E$24-D$24)+(D$38+E$35)</f>
        <v>0</v>
      </c>
      <c r="F38" s="309">
        <f t="shared" ref="F38" si="26">-SUM(F$24-E$24)+(E$38+F$35)</f>
        <v>0</v>
      </c>
      <c r="G38" s="309">
        <f t="shared" ref="G38" si="27">-SUM(G$24-F$24)+(F$38+G$35)</f>
        <v>0</v>
      </c>
      <c r="H38" s="309">
        <f t="shared" ref="H38" si="28">-SUM(H$24-G$24)+(G$38+H$35)</f>
        <v>0</v>
      </c>
      <c r="I38" s="309">
        <f t="shared" ref="I38" si="29">-SUM(I$24-H$24)+(H$38+I$35)</f>
        <v>0</v>
      </c>
      <c r="J38" s="309">
        <f t="shared" ref="J38" si="30">-SUM(J$24-I$24)+(I$38+J$35)</f>
        <v>0</v>
      </c>
      <c r="K38" s="309">
        <f t="shared" ref="K38" si="31">-SUM(K$24-J$24)+(J$38+K$35)</f>
        <v>0</v>
      </c>
      <c r="L38" s="309">
        <f t="shared" ref="L38" si="32">-SUM(L$24-K$24)+(K$38+L$35)</f>
        <v>0</v>
      </c>
      <c r="M38" s="309">
        <f t="shared" ref="M38" si="33">-SUM(M$24-L$24)+(L$38+M$35)</f>
        <v>0</v>
      </c>
      <c r="N38" s="309">
        <f t="shared" ref="N38" si="34">-SUM(N$24-M$24)+(M$38+N$35)</f>
        <v>0</v>
      </c>
      <c r="O38" s="309">
        <f t="shared" ref="O38" si="35">-SUM(O$24-N$24)+(N$38+O$35)</f>
        <v>0</v>
      </c>
      <c r="P38" s="563">
        <f>+SUM(D38:O38)</f>
        <v>0</v>
      </c>
      <c r="Q38" s="564"/>
      <c r="R38" s="252"/>
      <c r="S38" s="482"/>
      <c r="T38" s="131"/>
      <c r="W38" s="132"/>
    </row>
    <row r="39" spans="1:23">
      <c r="B39" s="565"/>
      <c r="C39" s="566"/>
      <c r="D39" s="567"/>
      <c r="E39" s="567"/>
      <c r="F39" s="567"/>
      <c r="G39" s="567"/>
      <c r="H39" s="567"/>
      <c r="I39" s="567"/>
      <c r="J39" s="567"/>
      <c r="K39" s="567"/>
      <c r="L39" s="567"/>
      <c r="M39" s="567"/>
      <c r="N39" s="567"/>
      <c r="O39" s="567"/>
      <c r="P39" s="560"/>
      <c r="Q39" s="560"/>
      <c r="R39" s="252"/>
      <c r="S39" s="482"/>
      <c r="T39" s="131"/>
      <c r="W39" s="132"/>
    </row>
    <row r="40" spans="1:23" ht="14" thickBot="1">
      <c r="B40" s="120" t="s">
        <v>71</v>
      </c>
      <c r="C40" s="566"/>
      <c r="D40" s="582">
        <f>SUM(D24+D25+D38)</f>
        <v>152646</v>
      </c>
      <c r="E40" s="582">
        <f t="shared" ref="E40:O40" si="36">SUM(E24+E25+E38)</f>
        <v>152646</v>
      </c>
      <c r="F40" s="582">
        <f t="shared" si="36"/>
        <v>152646</v>
      </c>
      <c r="G40" s="582">
        <f t="shared" si="36"/>
        <v>152646</v>
      </c>
      <c r="H40" s="582">
        <f t="shared" si="36"/>
        <v>152646</v>
      </c>
      <c r="I40" s="582">
        <f t="shared" si="36"/>
        <v>152646</v>
      </c>
      <c r="J40" s="582">
        <f t="shared" si="36"/>
        <v>152646</v>
      </c>
      <c r="K40" s="582">
        <f t="shared" si="36"/>
        <v>152646</v>
      </c>
      <c r="L40" s="582">
        <f t="shared" si="36"/>
        <v>152646</v>
      </c>
      <c r="M40" s="582">
        <f t="shared" si="36"/>
        <v>152646</v>
      </c>
      <c r="N40" s="582">
        <f t="shared" si="36"/>
        <v>152646</v>
      </c>
      <c r="O40" s="582">
        <f t="shared" si="36"/>
        <v>152646</v>
      </c>
      <c r="P40" s="583">
        <f>+SUM(D40:O40)</f>
        <v>1831752</v>
      </c>
      <c r="Q40" s="584"/>
      <c r="R40" s="252"/>
      <c r="S40" s="482"/>
      <c r="T40" s="131"/>
      <c r="W40" s="132"/>
    </row>
    <row r="41" spans="1:23" ht="14" thickTop="1">
      <c r="B41" s="120"/>
      <c r="C41" s="566"/>
      <c r="D41" s="585"/>
      <c r="E41" s="585"/>
      <c r="F41" s="585"/>
      <c r="G41" s="585"/>
      <c r="H41" s="585"/>
      <c r="I41" s="585"/>
      <c r="J41" s="585"/>
      <c r="K41" s="585"/>
      <c r="L41" s="585"/>
      <c r="M41" s="585"/>
      <c r="N41" s="585"/>
      <c r="O41" s="585"/>
      <c r="P41" s="586"/>
      <c r="Q41" s="587"/>
      <c r="R41" s="252"/>
      <c r="S41" s="482"/>
      <c r="T41" s="131"/>
      <c r="W41" s="132"/>
    </row>
    <row r="42" spans="1:23" outlineLevel="1">
      <c r="B42" s="588" t="s">
        <v>28</v>
      </c>
      <c r="C42" s="566"/>
      <c r="P42" s="571"/>
      <c r="Q42" s="571"/>
      <c r="R42" s="252"/>
      <c r="S42" s="482"/>
      <c r="T42" s="131"/>
      <c r="W42" s="132"/>
    </row>
    <row r="43" spans="1:23" outlineLevel="1">
      <c r="B43" s="589" t="s">
        <v>51</v>
      </c>
      <c r="C43" s="566"/>
      <c r="D43" s="590">
        <v>0</v>
      </c>
      <c r="E43" s="590">
        <v>0</v>
      </c>
      <c r="F43" s="590">
        <v>0</v>
      </c>
      <c r="G43" s="590">
        <v>0</v>
      </c>
      <c r="H43" s="590">
        <v>0</v>
      </c>
      <c r="I43" s="590">
        <v>0</v>
      </c>
      <c r="J43" s="590">
        <v>0</v>
      </c>
      <c r="K43" s="590">
        <v>0</v>
      </c>
      <c r="L43" s="590">
        <v>0</v>
      </c>
      <c r="M43" s="590">
        <v>0</v>
      </c>
      <c r="N43" s="590">
        <v>0</v>
      </c>
      <c r="O43" s="590">
        <v>0</v>
      </c>
      <c r="P43" s="591"/>
      <c r="Q43" s="592"/>
      <c r="R43" s="252"/>
      <c r="S43" s="482"/>
      <c r="T43" s="131"/>
      <c r="W43" s="132"/>
    </row>
    <row r="44" spans="1:23" outlineLevel="1">
      <c r="B44" s="589" t="s">
        <v>52</v>
      </c>
      <c r="C44" s="566"/>
      <c r="D44" s="593">
        <v>1</v>
      </c>
      <c r="E44" s="593">
        <v>1</v>
      </c>
      <c r="F44" s="593">
        <v>1</v>
      </c>
      <c r="G44" s="593">
        <v>1</v>
      </c>
      <c r="H44" s="593">
        <v>1</v>
      </c>
      <c r="I44" s="593">
        <v>1</v>
      </c>
      <c r="J44" s="593">
        <v>1</v>
      </c>
      <c r="K44" s="593">
        <v>1</v>
      </c>
      <c r="L44" s="593">
        <v>1</v>
      </c>
      <c r="M44" s="593">
        <v>1</v>
      </c>
      <c r="N44" s="593">
        <v>1</v>
      </c>
      <c r="O44" s="593">
        <v>1</v>
      </c>
      <c r="P44" s="594"/>
      <c r="Q44" s="595"/>
      <c r="R44" s="252"/>
      <c r="S44" s="482"/>
      <c r="T44" s="131"/>
      <c r="W44" s="132"/>
    </row>
    <row r="45" spans="1:23" outlineLevel="1">
      <c r="B45" s="596" t="s">
        <v>53</v>
      </c>
      <c r="C45" s="566"/>
      <c r="D45" s="597">
        <f>IFERROR(SUM(D24/'GPR Worksheet'!$C$22)*'Revenue Worksheet'!D43*D44*'Revenue Worksheet'!D16, "-")</f>
        <v>0</v>
      </c>
      <c r="E45" s="597">
        <f>IFERROR(SUM(E24/'GPR Worksheet'!$C$22)*'Revenue Worksheet'!E43*E44*'Revenue Worksheet'!E16, "-")</f>
        <v>0</v>
      </c>
      <c r="F45" s="597">
        <f>IFERROR(SUM(F24/'GPR Worksheet'!$C$22)*'Revenue Worksheet'!F43*F44*'Revenue Worksheet'!F16, "-")</f>
        <v>0</v>
      </c>
      <c r="G45" s="597">
        <f>IFERROR(SUM(G24/'GPR Worksheet'!$C$22)*'Revenue Worksheet'!G43*G44*'Revenue Worksheet'!G16, "-")</f>
        <v>0</v>
      </c>
      <c r="H45" s="597">
        <f>IFERROR(SUM(H24/'GPR Worksheet'!$C$22)*'Revenue Worksheet'!H43*H44*'Revenue Worksheet'!H16, "-")</f>
        <v>0</v>
      </c>
      <c r="I45" s="597">
        <f>IFERROR(SUM(I24/'GPR Worksheet'!$C$22)*'Revenue Worksheet'!I43*I44*'Revenue Worksheet'!I16, "-")</f>
        <v>0</v>
      </c>
      <c r="J45" s="597">
        <f>IFERROR(SUM(J24/'GPR Worksheet'!$C$22)*'Revenue Worksheet'!J43*J44*'Revenue Worksheet'!J16, "-")</f>
        <v>0</v>
      </c>
      <c r="K45" s="597">
        <f>IFERROR(SUM(K24/'GPR Worksheet'!$C$22)*'Revenue Worksheet'!K43*K44*'Revenue Worksheet'!K16, "-")</f>
        <v>0</v>
      </c>
      <c r="L45" s="597">
        <f>IFERROR(SUM(L24/'GPR Worksheet'!$C$22)*'Revenue Worksheet'!L43*L44*'Revenue Worksheet'!L16, "-")</f>
        <v>0</v>
      </c>
      <c r="M45" s="597">
        <f>IFERROR(SUM(M24/'GPR Worksheet'!$C$22)*'Revenue Worksheet'!M43*M44*'Revenue Worksheet'!M16, "-")</f>
        <v>0</v>
      </c>
      <c r="N45" s="597">
        <f>IFERROR(SUM(N24/'GPR Worksheet'!$C$22)*'Revenue Worksheet'!N43*N44*'Revenue Worksheet'!N16, "-")</f>
        <v>0</v>
      </c>
      <c r="O45" s="597">
        <f>IFERROR(SUM(O24/'GPR Worksheet'!$C$22)*'Revenue Worksheet'!O43*O44*'Revenue Worksheet'!O16, "-")</f>
        <v>0</v>
      </c>
      <c r="P45" s="598">
        <f>+SUM(D45:O45)</f>
        <v>0</v>
      </c>
      <c r="Q45" s="599"/>
      <c r="R45" s="252"/>
      <c r="S45" s="482"/>
      <c r="T45" s="131"/>
      <c r="W45" s="132"/>
    </row>
    <row r="46" spans="1:23" outlineLevel="1">
      <c r="B46" s="589" t="s">
        <v>944</v>
      </c>
      <c r="C46" s="566"/>
      <c r="D46" s="590">
        <v>1</v>
      </c>
      <c r="E46" s="590">
        <v>1</v>
      </c>
      <c r="F46" s="590">
        <v>1</v>
      </c>
      <c r="G46" s="590">
        <v>1</v>
      </c>
      <c r="H46" s="590">
        <v>1</v>
      </c>
      <c r="I46" s="590">
        <v>1</v>
      </c>
      <c r="J46" s="590">
        <v>1</v>
      </c>
      <c r="K46" s="590">
        <v>1</v>
      </c>
      <c r="L46" s="590">
        <v>1</v>
      </c>
      <c r="M46" s="590">
        <v>1</v>
      </c>
      <c r="N46" s="590">
        <v>1</v>
      </c>
      <c r="O46" s="590">
        <v>1</v>
      </c>
      <c r="P46" s="600"/>
      <c r="Q46" s="571"/>
      <c r="R46" s="252"/>
      <c r="S46" s="482"/>
      <c r="T46" s="131"/>
      <c r="W46" s="132"/>
    </row>
    <row r="47" spans="1:23" outlineLevel="1">
      <c r="B47" s="589" t="s">
        <v>155</v>
      </c>
      <c r="C47" s="566"/>
      <c r="D47" s="593">
        <v>0</v>
      </c>
      <c r="E47" s="593">
        <v>0</v>
      </c>
      <c r="F47" s="593">
        <v>0</v>
      </c>
      <c r="G47" s="593">
        <v>0</v>
      </c>
      <c r="H47" s="593">
        <v>0</v>
      </c>
      <c r="I47" s="593">
        <v>0</v>
      </c>
      <c r="J47" s="593">
        <v>0</v>
      </c>
      <c r="K47" s="593">
        <v>0</v>
      </c>
      <c r="L47" s="593">
        <v>0</v>
      </c>
      <c r="M47" s="593">
        <v>0</v>
      </c>
      <c r="N47" s="593">
        <v>0</v>
      </c>
      <c r="O47" s="593">
        <v>0</v>
      </c>
      <c r="P47" s="601"/>
      <c r="R47" s="252"/>
      <c r="S47" s="482"/>
      <c r="T47" s="131"/>
      <c r="W47" s="132"/>
    </row>
    <row r="48" spans="1:23" outlineLevel="1">
      <c r="B48" s="596" t="s">
        <v>54</v>
      </c>
      <c r="C48" s="566"/>
      <c r="D48" s="597">
        <f>IFERROR(SUM(D24/'GPR Worksheet'!$C$22)*'Revenue Worksheet'!D46*D47*'Revenue Worksheet'!D11, "-")</f>
        <v>0</v>
      </c>
      <c r="E48" s="597">
        <f>IFERROR(SUM(E24/'GPR Worksheet'!$C$22)*'Revenue Worksheet'!E46*E47*'Revenue Worksheet'!E11, "-")</f>
        <v>0</v>
      </c>
      <c r="F48" s="597">
        <f>IFERROR(SUM(F24/'GPR Worksheet'!$C$22)*'Revenue Worksheet'!F46*F47*'Revenue Worksheet'!F11, "-")</f>
        <v>0</v>
      </c>
      <c r="G48" s="597">
        <f>IFERROR(SUM(G24/'GPR Worksheet'!$C$22)*'Revenue Worksheet'!G46*G47*'Revenue Worksheet'!G11, "-")</f>
        <v>0</v>
      </c>
      <c r="H48" s="597">
        <f>IFERROR(SUM(H24/'GPR Worksheet'!$C$22)*'Revenue Worksheet'!H46*H47*'Revenue Worksheet'!H11, "-")</f>
        <v>0</v>
      </c>
      <c r="I48" s="597">
        <f>IFERROR(SUM(I24/'GPR Worksheet'!$C$22)*'Revenue Worksheet'!I46*I47*'Revenue Worksheet'!I11, "-")</f>
        <v>0</v>
      </c>
      <c r="J48" s="597">
        <f>IFERROR(SUM(J24/'GPR Worksheet'!$C$22)*'Revenue Worksheet'!J46*J47*'Revenue Worksheet'!J11, "-")</f>
        <v>0</v>
      </c>
      <c r="K48" s="597">
        <f>IFERROR(SUM(K24/'GPR Worksheet'!$C$22)*'Revenue Worksheet'!K46*K47*'Revenue Worksheet'!K11, "-")</f>
        <v>0</v>
      </c>
      <c r="L48" s="597">
        <f>IFERROR(SUM(L24/'GPR Worksheet'!$C$22)*'Revenue Worksheet'!L46*L47*'Revenue Worksheet'!L11, "-")</f>
        <v>0</v>
      </c>
      <c r="M48" s="597">
        <f>IFERROR(SUM(M24/'GPR Worksheet'!$C$22)*'Revenue Worksheet'!M46*M47*'Revenue Worksheet'!M11, "-")</f>
        <v>0</v>
      </c>
      <c r="N48" s="597">
        <f>IFERROR(SUM(N24/'GPR Worksheet'!$C$22)*'Revenue Worksheet'!N46*N47*'Revenue Worksheet'!N11, "-")</f>
        <v>0</v>
      </c>
      <c r="O48" s="597">
        <f>IFERROR(SUM(O24/'GPR Worksheet'!$C$22)*'Revenue Worksheet'!O46*O47*'Revenue Worksheet'!O11, "-")</f>
        <v>0</v>
      </c>
      <c r="P48" s="602">
        <f>+SUM(D48:O48)</f>
        <v>0</v>
      </c>
      <c r="Q48" s="603"/>
      <c r="R48" s="252"/>
      <c r="S48" s="482"/>
      <c r="T48" s="131"/>
      <c r="W48" s="132"/>
    </row>
    <row r="49" spans="1:23" outlineLevel="1">
      <c r="B49" s="589" t="s">
        <v>154</v>
      </c>
      <c r="C49" s="566"/>
      <c r="D49" s="604">
        <v>0</v>
      </c>
      <c r="E49" s="604">
        <v>0</v>
      </c>
      <c r="F49" s="604">
        <v>0</v>
      </c>
      <c r="G49" s="604">
        <v>0</v>
      </c>
      <c r="H49" s="604">
        <v>0</v>
      </c>
      <c r="I49" s="604">
        <v>0</v>
      </c>
      <c r="J49" s="604">
        <v>0</v>
      </c>
      <c r="K49" s="604">
        <v>0</v>
      </c>
      <c r="L49" s="604">
        <v>0</v>
      </c>
      <c r="M49" s="604">
        <v>0</v>
      </c>
      <c r="N49" s="604">
        <v>0</v>
      </c>
      <c r="O49" s="604">
        <v>0</v>
      </c>
      <c r="P49" s="605">
        <f>+SUM(D49:O49)</f>
        <v>0</v>
      </c>
      <c r="Q49" s="606"/>
      <c r="R49" s="252"/>
      <c r="S49" s="482"/>
      <c r="T49" s="131"/>
      <c r="W49" s="132"/>
    </row>
    <row r="50" spans="1:23">
      <c r="B50" s="596"/>
      <c r="C50" s="566"/>
      <c r="P50" s="607"/>
      <c r="Q50" s="607"/>
      <c r="R50" s="252"/>
      <c r="S50" s="482"/>
      <c r="T50" s="131"/>
      <c r="W50" s="132"/>
    </row>
    <row r="51" spans="1:23">
      <c r="B51" s="427"/>
      <c r="C51" s="566"/>
      <c r="D51" s="608"/>
      <c r="E51" s="608"/>
      <c r="F51" s="608"/>
      <c r="G51" s="608"/>
      <c r="H51" s="608"/>
      <c r="I51" s="608"/>
      <c r="J51" s="608"/>
      <c r="K51" s="608"/>
      <c r="L51" s="608"/>
      <c r="M51" s="608"/>
      <c r="N51" s="608"/>
      <c r="O51" s="608"/>
      <c r="P51" s="609"/>
      <c r="Q51" s="609"/>
      <c r="R51" s="252"/>
      <c r="S51" s="482"/>
      <c r="T51" s="131"/>
      <c r="W51" s="132"/>
    </row>
    <row r="52" spans="1:23">
      <c r="A52" s="319">
        <f>INDEX(QS_Chart_Of_Accounts_Upload!$C:$O,MATCH(B52,QS_Chart_Of_Accounts_Upload!$E:$E,0),MATCH("ACCT_NO",QS_Chart_Of_Accounts_Upload!$C$1:$O$1,0))</f>
        <v>4540</v>
      </c>
      <c r="B52" s="610" t="s">
        <v>245</v>
      </c>
      <c r="C52" s="566"/>
      <c r="D52" s="309">
        <f t="shared" ref="D52:G52" si="37">(-SUM(D45+D48+D49))</f>
        <v>0</v>
      </c>
      <c r="E52" s="309">
        <f t="shared" si="37"/>
        <v>0</v>
      </c>
      <c r="F52" s="309">
        <f t="shared" si="37"/>
        <v>0</v>
      </c>
      <c r="G52" s="309">
        <f t="shared" si="37"/>
        <v>0</v>
      </c>
      <c r="H52" s="309">
        <f t="shared" ref="H52:O52" si="38">(-SUM(H45,H48,H49))</f>
        <v>0</v>
      </c>
      <c r="I52" s="309">
        <f t="shared" si="38"/>
        <v>0</v>
      </c>
      <c r="J52" s="309">
        <f t="shared" si="38"/>
        <v>0</v>
      </c>
      <c r="K52" s="309">
        <f t="shared" si="38"/>
        <v>0</v>
      </c>
      <c r="L52" s="309">
        <f t="shared" si="38"/>
        <v>0</v>
      </c>
      <c r="M52" s="309">
        <f t="shared" si="38"/>
        <v>0</v>
      </c>
      <c r="N52" s="309">
        <f t="shared" si="38"/>
        <v>0</v>
      </c>
      <c r="O52" s="309">
        <f t="shared" si="38"/>
        <v>0</v>
      </c>
      <c r="P52" s="611">
        <f>+SUM(D52:O52)</f>
        <v>0</v>
      </c>
      <c r="Q52" s="612"/>
      <c r="R52" s="252"/>
      <c r="S52" s="482"/>
      <c r="T52" s="131"/>
      <c r="W52" s="132"/>
    </row>
    <row r="53" spans="1:23">
      <c r="B53" s="613" t="s">
        <v>114</v>
      </c>
      <c r="C53" s="566"/>
      <c r="D53" s="614">
        <f>1-D19</f>
        <v>0.75903614457831325</v>
      </c>
      <c r="E53" s="614">
        <f t="shared" ref="E53:O53" si="39">1-E19</f>
        <v>0.72289156626506024</v>
      </c>
      <c r="F53" s="614">
        <f t="shared" si="39"/>
        <v>0.72289156626506024</v>
      </c>
      <c r="G53" s="614">
        <f t="shared" si="39"/>
        <v>0.72289156626506024</v>
      </c>
      <c r="H53" s="614">
        <f t="shared" si="39"/>
        <v>0.48192771084337349</v>
      </c>
      <c r="I53" s="614">
        <f t="shared" si="39"/>
        <v>0.18072289156626509</v>
      </c>
      <c r="J53" s="614">
        <f t="shared" si="39"/>
        <v>1.2048192771084376E-2</v>
      </c>
      <c r="K53" s="614">
        <f t="shared" si="39"/>
        <v>1.2048192771084376E-2</v>
      </c>
      <c r="L53" s="614">
        <f t="shared" si="39"/>
        <v>1.2048192771084376E-2</v>
      </c>
      <c r="M53" s="614">
        <f t="shared" si="39"/>
        <v>1.2048192771084376E-2</v>
      </c>
      <c r="N53" s="614">
        <f t="shared" si="39"/>
        <v>1.2048192771084376E-2</v>
      </c>
      <c r="O53" s="614">
        <f t="shared" si="39"/>
        <v>1.2048192771084376E-2</v>
      </c>
      <c r="P53" s="615" t="s">
        <v>81</v>
      </c>
      <c r="Q53" s="616"/>
      <c r="R53" s="252"/>
      <c r="S53" s="482"/>
      <c r="T53" s="131"/>
      <c r="W53" s="132"/>
    </row>
    <row r="54" spans="1:23">
      <c r="A54" s="319">
        <f>INDEX(QS_Chart_Of_Accounts_Upload!$C:$O,MATCH(B54,QS_Chart_Of_Accounts_Upload!$E:$E,0),MATCH("ACCT_NO",QS_Chart_Of_Accounts_Upload!$C$1:$O$1,0))</f>
        <v>4510</v>
      </c>
      <c r="B54" s="613" t="s">
        <v>47</v>
      </c>
      <c r="C54" s="566"/>
      <c r="D54" s="309">
        <f>-D53*D24</f>
        <v>-115863.8313253012</v>
      </c>
      <c r="E54" s="309">
        <f t="shared" ref="E54:G54" si="40">-E53*E24</f>
        <v>-110346.50602409638</v>
      </c>
      <c r="F54" s="309">
        <f t="shared" si="40"/>
        <v>-110346.50602409638</v>
      </c>
      <c r="G54" s="309">
        <f t="shared" si="40"/>
        <v>-110346.50602409638</v>
      </c>
      <c r="H54" s="309">
        <f t="shared" ref="H54:O54" si="41">-H53*H24</f>
        <v>-73564.337349397596</v>
      </c>
      <c r="I54" s="309">
        <f t="shared" si="41"/>
        <v>-27586.626506024102</v>
      </c>
      <c r="J54" s="309">
        <f t="shared" si="41"/>
        <v>-1839.1084337349457</v>
      </c>
      <c r="K54" s="309">
        <f t="shared" si="41"/>
        <v>-1839.1084337349457</v>
      </c>
      <c r="L54" s="309">
        <f t="shared" si="41"/>
        <v>-1839.1084337349457</v>
      </c>
      <c r="M54" s="309">
        <f t="shared" si="41"/>
        <v>-1839.1084337349457</v>
      </c>
      <c r="N54" s="309">
        <f t="shared" si="41"/>
        <v>-1839.1084337349457</v>
      </c>
      <c r="O54" s="309">
        <f t="shared" si="41"/>
        <v>-1839.1084337349457</v>
      </c>
      <c r="P54" s="538">
        <f>+SUBTOTAL(9,D54:O54)</f>
        <v>-559088.96385542199</v>
      </c>
      <c r="Q54" s="617"/>
      <c r="R54" s="252"/>
      <c r="S54" s="482"/>
      <c r="T54" s="131"/>
      <c r="W54" s="132"/>
    </row>
    <row r="55" spans="1:23" ht="15.75" customHeight="1">
      <c r="A55" s="319">
        <f>INDEX(QS_Chart_Of_Accounts_Upload!$C:$O,MATCH(B55,QS_Chart_Of_Accounts_Upload!$E:$E,0),MATCH("ACCT_NO",QS_Chart_Of_Accounts_Upload!$C$1:$O$1,0))</f>
        <v>4525</v>
      </c>
      <c r="B55" s="618" t="s">
        <v>243</v>
      </c>
      <c r="C55" s="619"/>
      <c r="D55" s="309">
        <f>-($W$55*$U$55)*D24/'GPR Worksheet'!$C$22</f>
        <v>0</v>
      </c>
      <c r="E55" s="309">
        <f>-($W$55*$U$55)*E24/'GPR Worksheet'!$C$22</f>
        <v>0</v>
      </c>
      <c r="F55" s="309">
        <f>-($W$55*$U$55)*F24/'GPR Worksheet'!$C$22</f>
        <v>0</v>
      </c>
      <c r="G55" s="309">
        <f>-($W$55*$U$55)*G24/'GPR Worksheet'!$C$22</f>
        <v>0</v>
      </c>
      <c r="H55" s="309">
        <f>-($W$55*$U$55)*H24/'GPR Worksheet'!$C$22</f>
        <v>0</v>
      </c>
      <c r="I55" s="309">
        <f>-($W$55*$U$55)*I24/'GPR Worksheet'!$C$22</f>
        <v>0</v>
      </c>
      <c r="J55" s="309">
        <f>-($W$55*$U$55)*J24/'GPR Worksheet'!$C$22</f>
        <v>0</v>
      </c>
      <c r="K55" s="309">
        <f>-($W$55*$U$55)*K24/'GPR Worksheet'!$C$22</f>
        <v>0</v>
      </c>
      <c r="L55" s="309">
        <f>-($W$55*$U$55)*L24/'GPR Worksheet'!$C$22</f>
        <v>0</v>
      </c>
      <c r="M55" s="309">
        <f>-($W$55*$U$55)*M24/'GPR Worksheet'!$C$22</f>
        <v>0</v>
      </c>
      <c r="N55" s="309">
        <f>-($W$55*$U$55)*N24/'GPR Worksheet'!$C$22</f>
        <v>0</v>
      </c>
      <c r="O55" s="999">
        <f>-($W$55*$U$55)*O24/'GPR Worksheet'!$C$22</f>
        <v>0</v>
      </c>
      <c r="P55" s="538">
        <f>+SUBTOTAL(9,D55:O55)</f>
        <v>0</v>
      </c>
      <c r="Q55" s="617"/>
      <c r="R55" s="621"/>
      <c r="S55" s="482"/>
      <c r="T55" s="131" t="s">
        <v>1012</v>
      </c>
      <c r="U55" s="622">
        <v>0</v>
      </c>
      <c r="V55" s="108" t="s">
        <v>1013</v>
      </c>
      <c r="W55" s="623">
        <v>0</v>
      </c>
    </row>
    <row r="56" spans="1:23">
      <c r="A56" s="319">
        <f>INDEX(QS_Chart_Of_Accounts_Upload!$C:$O,MATCH(B56,QS_Chart_Of_Accounts_Upload!$E:$E,0),MATCH("ACCT_NO",QS_Chart_Of_Accounts_Upload!$C$1:$O$1,0))</f>
        <v>4515</v>
      </c>
      <c r="B56" s="618" t="s">
        <v>241</v>
      </c>
      <c r="C56" s="624"/>
      <c r="D56" s="309">
        <f>+-($U$56)*D24/'GPR Worksheet'!$C$22</f>
        <v>0</v>
      </c>
      <c r="E56" s="309">
        <f>+-($U$56)*E24/'GPR Worksheet'!$C$22</f>
        <v>0</v>
      </c>
      <c r="F56" s="309">
        <f>+-($U$56)*F24/'GPR Worksheet'!$C$22</f>
        <v>0</v>
      </c>
      <c r="G56" s="309">
        <f>+-($U$56)*G24/'GPR Worksheet'!$C$22</f>
        <v>0</v>
      </c>
      <c r="H56" s="309">
        <f>+-($U$56)*H24/'GPR Worksheet'!$C$22</f>
        <v>0</v>
      </c>
      <c r="I56" s="309">
        <f>+-($U$56)*I24/'GPR Worksheet'!$C$22</f>
        <v>0</v>
      </c>
      <c r="J56" s="309">
        <f>+-($U$56)*J24/'GPR Worksheet'!$C$22</f>
        <v>0</v>
      </c>
      <c r="K56" s="309">
        <f>+-($U$56)*K24/'GPR Worksheet'!$C$22</f>
        <v>0</v>
      </c>
      <c r="L56" s="309">
        <f>+-($U$56)*L24/'GPR Worksheet'!$C$22</f>
        <v>0</v>
      </c>
      <c r="M56" s="309">
        <f>+-($U$56)*M24/'GPR Worksheet'!$C$22</f>
        <v>0</v>
      </c>
      <c r="N56" s="309">
        <f>+-($U$56)*N24/'GPR Worksheet'!$C$22</f>
        <v>0</v>
      </c>
      <c r="O56" s="309">
        <f>+-($U$56)*O24/'GPR Worksheet'!$C$22</f>
        <v>0</v>
      </c>
      <c r="P56" s="538">
        <f>+SUBTOTAL(9,D56:O56)</f>
        <v>0</v>
      </c>
      <c r="Q56" s="617"/>
      <c r="R56" s="252"/>
      <c r="S56" s="482"/>
      <c r="T56" s="131" t="s">
        <v>1014</v>
      </c>
      <c r="U56" s="622">
        <v>0</v>
      </c>
      <c r="W56" s="132"/>
    </row>
    <row r="57" spans="1:23">
      <c r="A57" s="319">
        <f>INDEX(QS_Chart_Of_Accounts_Upload!$C:$O,MATCH(B57,QS_Chart_Of_Accounts_Upload!$E:$E,0),MATCH("ACCT_NO",QS_Chart_Of_Accounts_Upload!$C$1:$O$1,0))</f>
        <v>4011</v>
      </c>
      <c r="B57" s="108" t="s">
        <v>233</v>
      </c>
      <c r="C57" s="566"/>
      <c r="D57" s="625"/>
      <c r="E57" s="625"/>
      <c r="F57" s="625"/>
      <c r="G57" s="625"/>
      <c r="H57" s="625"/>
      <c r="I57" s="625"/>
      <c r="J57" s="625"/>
      <c r="K57" s="625"/>
      <c r="L57" s="625"/>
      <c r="M57" s="625"/>
      <c r="N57" s="625"/>
      <c r="O57" s="625"/>
      <c r="P57" s="617"/>
      <c r="Q57" s="617"/>
      <c r="R57" s="252"/>
      <c r="S57" s="482"/>
      <c r="T57" s="131"/>
      <c r="W57" s="132"/>
    </row>
    <row r="58" spans="1:23">
      <c r="A58" s="319"/>
      <c r="B58" s="626"/>
      <c r="C58" s="566"/>
      <c r="D58" s="627"/>
      <c r="E58" s="627"/>
      <c r="F58" s="627"/>
      <c r="G58" s="627"/>
      <c r="H58" s="627"/>
      <c r="I58" s="627"/>
      <c r="J58" s="627"/>
      <c r="K58" s="627"/>
      <c r="L58" s="627"/>
      <c r="M58" s="627"/>
      <c r="N58" s="627"/>
      <c r="O58" s="627"/>
      <c r="P58" s="628"/>
      <c r="Q58" s="629"/>
      <c r="R58" s="252"/>
      <c r="S58" s="482"/>
      <c r="T58" s="131"/>
      <c r="W58" s="132"/>
    </row>
    <row r="59" spans="1:23">
      <c r="A59" s="319">
        <f>INDEX(QS_Chart_Of_Accounts_Upload!$C:$O,MATCH(B59,QS_Chart_Of_Accounts_Upload!$E:$E,0),MATCH("ACCT_NO",QS_Chart_Of_Accounts_Upload!$C$1:$O$1,0))</f>
        <v>4400</v>
      </c>
      <c r="B59" s="618" t="s">
        <v>237</v>
      </c>
      <c r="C59" s="630">
        <v>5.0000000000000001E-3</v>
      </c>
      <c r="D59" s="620">
        <f>-$C$59*(D$24+D54)*0</f>
        <v>0</v>
      </c>
      <c r="E59" s="620">
        <f t="shared" ref="E59:G59" si="42">-$C$59*(E$24+E54)*0</f>
        <v>0</v>
      </c>
      <c r="F59" s="620">
        <f t="shared" si="42"/>
        <v>0</v>
      </c>
      <c r="G59" s="620">
        <f t="shared" si="42"/>
        <v>0</v>
      </c>
      <c r="H59" s="620">
        <f t="shared" ref="H59:O59" si="43">-$C$59*(H$24+H54)</f>
        <v>-395.40831325301201</v>
      </c>
      <c r="I59" s="620">
        <f t="shared" si="43"/>
        <v>-625.29686746987954</v>
      </c>
      <c r="J59" s="620">
        <f t="shared" si="43"/>
        <v>-754.03445783132531</v>
      </c>
      <c r="K59" s="620">
        <f t="shared" si="43"/>
        <v>-754.03445783132531</v>
      </c>
      <c r="L59" s="620">
        <f t="shared" si="43"/>
        <v>-754.03445783132531</v>
      </c>
      <c r="M59" s="620">
        <f t="shared" si="43"/>
        <v>-754.03445783132531</v>
      </c>
      <c r="N59" s="620">
        <f t="shared" si="43"/>
        <v>-754.03445783132531</v>
      </c>
      <c r="O59" s="620">
        <f t="shared" si="43"/>
        <v>-754.03445783132531</v>
      </c>
      <c r="P59" s="538">
        <f>+SUBTOTAL(9,D59:O59)</f>
        <v>-5544.911927710843</v>
      </c>
      <c r="Q59" s="617"/>
      <c r="R59" s="252"/>
      <c r="S59" s="482"/>
      <c r="T59" s="131" t="s">
        <v>1015</v>
      </c>
      <c r="U59" s="631">
        <v>5.0000000000000001E-3</v>
      </c>
      <c r="W59" s="132"/>
    </row>
    <row r="60" spans="1:23">
      <c r="A60" s="319">
        <f>INDEX(QS_Chart_Of_Accounts_Upload!$C:$O,MATCH(B60,QS_Chart_Of_Accounts_Upload!$E:$E,0),MATCH("ACCT_NO",QS_Chart_Of_Accounts_Upload!$C$1:$O$1,0))</f>
        <v>4405</v>
      </c>
      <c r="B60" s="618" t="s">
        <v>238</v>
      </c>
      <c r="C60" s="632">
        <v>0.25</v>
      </c>
      <c r="D60" s="620">
        <f>-$C$60*D$59</f>
        <v>0</v>
      </c>
      <c r="E60" s="620">
        <f t="shared" ref="E60:O60" si="44">-$C$60*E$59</f>
        <v>0</v>
      </c>
      <c r="F60" s="620">
        <f t="shared" si="44"/>
        <v>0</v>
      </c>
      <c r="G60" s="620">
        <f t="shared" si="44"/>
        <v>0</v>
      </c>
      <c r="H60" s="620">
        <f t="shared" si="44"/>
        <v>98.852078313253003</v>
      </c>
      <c r="I60" s="620">
        <f t="shared" si="44"/>
        <v>156.32421686746989</v>
      </c>
      <c r="J60" s="620">
        <f t="shared" si="44"/>
        <v>188.50861445783133</v>
      </c>
      <c r="K60" s="620">
        <f t="shared" si="44"/>
        <v>188.50861445783133</v>
      </c>
      <c r="L60" s="620">
        <f t="shared" si="44"/>
        <v>188.50861445783133</v>
      </c>
      <c r="M60" s="620">
        <f t="shared" si="44"/>
        <v>188.50861445783133</v>
      </c>
      <c r="N60" s="620">
        <f t="shared" si="44"/>
        <v>188.50861445783133</v>
      </c>
      <c r="O60" s="620">
        <f t="shared" si="44"/>
        <v>188.50861445783133</v>
      </c>
      <c r="P60" s="538">
        <f>+SUBTOTAL(9,D60:O60)</f>
        <v>1386.2279819277107</v>
      </c>
      <c r="Q60" s="617"/>
      <c r="R60" s="252"/>
      <c r="S60" s="482"/>
      <c r="T60" s="131" t="s">
        <v>1016</v>
      </c>
      <c r="U60" s="633">
        <v>0.25</v>
      </c>
      <c r="W60" s="132"/>
    </row>
    <row r="61" spans="1:23">
      <c r="D61" s="634"/>
      <c r="E61" s="634"/>
      <c r="F61" s="634"/>
      <c r="G61" s="634"/>
      <c r="H61" s="634"/>
      <c r="I61" s="634"/>
      <c r="J61" s="634"/>
      <c r="K61" s="634"/>
      <c r="L61" s="634"/>
      <c r="M61" s="634"/>
      <c r="N61" s="634"/>
      <c r="O61" s="634"/>
      <c r="P61" s="635"/>
      <c r="Q61" s="636"/>
      <c r="R61" s="252"/>
      <c r="S61" s="482"/>
      <c r="T61" s="131"/>
      <c r="W61" s="132"/>
    </row>
    <row r="62" spans="1:23" ht="14" thickBot="1">
      <c r="B62" s="120" t="s">
        <v>62</v>
      </c>
      <c r="C62" s="566"/>
      <c r="D62" s="637">
        <f>D40+SUM(D54:D60)+D52</f>
        <v>36782.168674698798</v>
      </c>
      <c r="E62" s="637">
        <f t="shared" ref="E62:O62" si="45">E40+SUM(E54:E60)+E52</f>
        <v>42299.493975903621</v>
      </c>
      <c r="F62" s="637">
        <f t="shared" si="45"/>
        <v>42299.493975903621</v>
      </c>
      <c r="G62" s="637">
        <f t="shared" si="45"/>
        <v>42299.493975903621</v>
      </c>
      <c r="H62" s="637">
        <f t="shared" si="45"/>
        <v>78785.106415662653</v>
      </c>
      <c r="I62" s="637">
        <f t="shared" si="45"/>
        <v>124590.40084337349</v>
      </c>
      <c r="J62" s="637">
        <f t="shared" si="45"/>
        <v>150241.36572289155</v>
      </c>
      <c r="K62" s="637">
        <f t="shared" si="45"/>
        <v>150241.36572289155</v>
      </c>
      <c r="L62" s="637">
        <f t="shared" si="45"/>
        <v>150241.36572289155</v>
      </c>
      <c r="M62" s="637">
        <f t="shared" si="45"/>
        <v>150241.36572289155</v>
      </c>
      <c r="N62" s="637">
        <f t="shared" si="45"/>
        <v>150241.36572289155</v>
      </c>
      <c r="O62" s="637">
        <f t="shared" si="45"/>
        <v>150241.36572289155</v>
      </c>
      <c r="P62" s="638">
        <f>+SUBTOTAL(9,D62:O62)</f>
        <v>1268504.3521987952</v>
      </c>
      <c r="Q62" s="617"/>
      <c r="R62" s="278"/>
      <c r="T62" s="639"/>
      <c r="U62" s="101"/>
      <c r="V62" s="101"/>
      <c r="W62" s="640"/>
    </row>
    <row r="63" spans="1:23" ht="14" thickTop="1">
      <c r="B63" s="120"/>
      <c r="C63" s="120"/>
      <c r="D63" s="641"/>
      <c r="E63" s="641"/>
      <c r="F63" s="641"/>
      <c r="G63" s="641"/>
      <c r="H63" s="641"/>
      <c r="I63" s="641"/>
      <c r="J63" s="641"/>
      <c r="K63" s="641"/>
      <c r="L63" s="641"/>
      <c r="M63" s="641"/>
      <c r="N63" s="641"/>
      <c r="O63" s="641"/>
      <c r="P63" s="642"/>
      <c r="Q63" s="642"/>
    </row>
    <row r="64" spans="1:23">
      <c r="B64" s="120"/>
      <c r="C64" s="120"/>
      <c r="D64" s="641"/>
      <c r="E64" s="641"/>
      <c r="F64" s="641"/>
      <c r="G64" s="641"/>
      <c r="H64" s="641"/>
      <c r="I64" s="641"/>
      <c r="J64" s="641"/>
      <c r="K64" s="641"/>
      <c r="L64" s="641"/>
      <c r="M64" s="641"/>
      <c r="N64" s="641"/>
    </row>
    <row r="65" spans="2:17" ht="12.75" customHeight="1">
      <c r="B65" s="120"/>
      <c r="C65" s="120"/>
      <c r="D65" s="641"/>
      <c r="E65" s="641"/>
      <c r="F65" s="641"/>
      <c r="G65" s="641"/>
      <c r="H65" s="641"/>
      <c r="I65" s="641"/>
      <c r="J65" s="641"/>
      <c r="K65" s="641"/>
      <c r="L65" s="641"/>
      <c r="M65" s="641"/>
      <c r="N65" s="641"/>
      <c r="P65" s="556"/>
      <c r="Q65" s="522"/>
    </row>
    <row r="66" spans="2:17">
      <c r="D66" s="515"/>
      <c r="E66" s="515"/>
      <c r="F66" s="515"/>
      <c r="G66" s="515"/>
      <c r="H66" s="515"/>
      <c r="I66" s="515"/>
      <c r="J66" s="515"/>
      <c r="K66" s="515"/>
      <c r="L66" s="515"/>
      <c r="M66" s="515"/>
      <c r="N66" s="515"/>
      <c r="P66" s="557" t="s">
        <v>103</v>
      </c>
      <c r="Q66" s="533"/>
    </row>
    <row r="67" spans="2:17">
      <c r="B67" s="529" t="s">
        <v>115</v>
      </c>
      <c r="C67" s="530"/>
      <c r="D67" s="531">
        <f t="shared" ref="D67:O67" si="46">D22</f>
        <v>45901</v>
      </c>
      <c r="E67" s="531">
        <f t="shared" ref="E67:G67" si="47">E22</f>
        <v>45961</v>
      </c>
      <c r="F67" s="531">
        <f t="shared" si="47"/>
        <v>45991</v>
      </c>
      <c r="G67" s="531">
        <f t="shared" si="47"/>
        <v>46022</v>
      </c>
      <c r="H67" s="531">
        <f t="shared" si="46"/>
        <v>46053</v>
      </c>
      <c r="I67" s="531">
        <f t="shared" si="46"/>
        <v>46081</v>
      </c>
      <c r="J67" s="531">
        <f t="shared" si="46"/>
        <v>46112</v>
      </c>
      <c r="K67" s="531">
        <f t="shared" si="46"/>
        <v>46142</v>
      </c>
      <c r="L67" s="531">
        <f t="shared" si="46"/>
        <v>46173</v>
      </c>
      <c r="M67" s="531">
        <f t="shared" si="46"/>
        <v>46203</v>
      </c>
      <c r="N67" s="531">
        <f t="shared" si="46"/>
        <v>46234</v>
      </c>
      <c r="O67" s="531">
        <f t="shared" si="46"/>
        <v>46265</v>
      </c>
      <c r="P67" s="532" t="s">
        <v>41</v>
      </c>
      <c r="Q67" s="533"/>
    </row>
    <row r="68" spans="2:17">
      <c r="B68" s="643" t="s">
        <v>116</v>
      </c>
      <c r="D68" s="644">
        <f t="shared" ref="D68:O68" si="48">IF($C$5=0,0,D24/$C$5)</f>
        <v>1.695049636884536</v>
      </c>
      <c r="E68" s="644">
        <f t="shared" ref="E68:G68" si="49">IF($C$5=0,0,E24/$C$5)</f>
        <v>1.695049636884536</v>
      </c>
      <c r="F68" s="644">
        <f t="shared" si="49"/>
        <v>1.695049636884536</v>
      </c>
      <c r="G68" s="644">
        <f t="shared" si="49"/>
        <v>1.695049636884536</v>
      </c>
      <c r="H68" s="644">
        <f t="shared" si="48"/>
        <v>1.695049636884536</v>
      </c>
      <c r="I68" s="644">
        <f t="shared" si="48"/>
        <v>1.695049636884536</v>
      </c>
      <c r="J68" s="644">
        <f t="shared" si="48"/>
        <v>1.695049636884536</v>
      </c>
      <c r="K68" s="644">
        <f t="shared" si="48"/>
        <v>1.695049636884536</v>
      </c>
      <c r="L68" s="644">
        <f t="shared" si="48"/>
        <v>1.695049636884536</v>
      </c>
      <c r="M68" s="644">
        <f t="shared" si="48"/>
        <v>1.695049636884536</v>
      </c>
      <c r="N68" s="644">
        <f t="shared" si="48"/>
        <v>1.695049636884536</v>
      </c>
      <c r="O68" s="644">
        <f t="shared" si="48"/>
        <v>1.695049636884536</v>
      </c>
      <c r="P68" s="645" t="s">
        <v>81</v>
      </c>
      <c r="Q68" s="646"/>
    </row>
    <row r="69" spans="2:17">
      <c r="B69" s="643"/>
      <c r="D69" s="644"/>
      <c r="E69" s="644"/>
      <c r="F69" s="644"/>
      <c r="G69" s="644"/>
      <c r="H69" s="644"/>
      <c r="I69" s="644"/>
      <c r="J69" s="644"/>
      <c r="K69" s="644"/>
      <c r="L69" s="644"/>
      <c r="M69" s="644"/>
      <c r="N69" s="644"/>
      <c r="O69" s="644"/>
      <c r="P69" s="647"/>
      <c r="Q69" s="646"/>
    </row>
    <row r="70" spans="2:17">
      <c r="B70" s="643" t="s">
        <v>117</v>
      </c>
      <c r="D70" s="648">
        <f t="shared" ref="D70:O70" si="50">IF($C$4=0,0,D24/$C$4)</f>
        <v>1839.1084337349398</v>
      </c>
      <c r="E70" s="648">
        <f t="shared" ref="E70:G70" si="51">IF($C$4=0,0,E24/$C$4)</f>
        <v>1839.1084337349398</v>
      </c>
      <c r="F70" s="648">
        <f t="shared" si="51"/>
        <v>1839.1084337349398</v>
      </c>
      <c r="G70" s="648">
        <f t="shared" si="51"/>
        <v>1839.1084337349398</v>
      </c>
      <c r="H70" s="648">
        <f t="shared" si="50"/>
        <v>1839.1084337349398</v>
      </c>
      <c r="I70" s="648">
        <f t="shared" si="50"/>
        <v>1839.1084337349398</v>
      </c>
      <c r="J70" s="648">
        <f t="shared" si="50"/>
        <v>1839.1084337349398</v>
      </c>
      <c r="K70" s="648">
        <f t="shared" si="50"/>
        <v>1839.1084337349398</v>
      </c>
      <c r="L70" s="648">
        <f t="shared" si="50"/>
        <v>1839.1084337349398</v>
      </c>
      <c r="M70" s="648">
        <f t="shared" si="50"/>
        <v>1839.1084337349398</v>
      </c>
      <c r="N70" s="648">
        <f t="shared" si="50"/>
        <v>1839.1084337349398</v>
      </c>
      <c r="O70" s="648">
        <f t="shared" si="50"/>
        <v>1839.1084337349398</v>
      </c>
      <c r="P70" s="647" t="s">
        <v>81</v>
      </c>
      <c r="Q70" s="646"/>
    </row>
    <row r="71" spans="2:17">
      <c r="B71" s="131"/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650"/>
      <c r="Q71" s="651"/>
    </row>
    <row r="72" spans="2:17">
      <c r="B72" s="131" t="s">
        <v>118</v>
      </c>
      <c r="D72" s="652"/>
      <c r="E72" s="652">
        <f>(E70-D70)/D70</f>
        <v>0</v>
      </c>
      <c r="F72" s="652">
        <f>(F70-E70)/E70</f>
        <v>0</v>
      </c>
      <c r="G72" s="652">
        <f t="shared" ref="G72:O72" si="52">(G70-F70)/F70</f>
        <v>0</v>
      </c>
      <c r="H72" s="652">
        <f t="shared" si="52"/>
        <v>0</v>
      </c>
      <c r="I72" s="652">
        <f t="shared" si="52"/>
        <v>0</v>
      </c>
      <c r="J72" s="652">
        <f t="shared" si="52"/>
        <v>0</v>
      </c>
      <c r="K72" s="652">
        <f t="shared" si="52"/>
        <v>0</v>
      </c>
      <c r="L72" s="652">
        <f t="shared" si="52"/>
        <v>0</v>
      </c>
      <c r="M72" s="652">
        <f t="shared" si="52"/>
        <v>0</v>
      </c>
      <c r="N72" s="652">
        <f t="shared" si="52"/>
        <v>0</v>
      </c>
      <c r="O72" s="652">
        <f t="shared" si="52"/>
        <v>0</v>
      </c>
      <c r="P72" s="653" t="s">
        <v>81</v>
      </c>
      <c r="Q72" s="654"/>
    </row>
    <row r="73" spans="2:17">
      <c r="B73" s="639"/>
      <c r="C73" s="101"/>
      <c r="D73" s="655"/>
      <c r="E73" s="655"/>
      <c r="F73" s="655"/>
      <c r="G73" s="655"/>
      <c r="H73" s="655"/>
      <c r="I73" s="655"/>
      <c r="J73" s="655"/>
      <c r="K73" s="655"/>
      <c r="L73" s="655"/>
      <c r="M73" s="655"/>
      <c r="N73" s="655"/>
      <c r="O73" s="655"/>
      <c r="P73" s="656"/>
      <c r="Q73" s="129"/>
    </row>
    <row r="74" spans="2:17">
      <c r="D74" s="515"/>
      <c r="E74" s="515"/>
      <c r="F74" s="515"/>
      <c r="G74" s="515"/>
      <c r="H74" s="515"/>
      <c r="I74" s="515"/>
      <c r="J74" s="515"/>
      <c r="K74" s="515"/>
      <c r="L74" s="515"/>
      <c r="M74" s="515"/>
      <c r="N74" s="515"/>
      <c r="O74" s="515"/>
      <c r="P74" s="129"/>
      <c r="Q74" s="129"/>
    </row>
    <row r="78" spans="2:17" ht="15" customHeight="1"/>
  </sheetData>
  <customSheetViews>
    <customSheetView guid="{9DEAD063-F928-419C-837E-C1066ED7860B}" showPageBreaks="1" hiddenRows="1" topLeftCell="A32">
      <selection activeCell="A73" sqref="A73:XFD73"/>
      <pageMargins left="0.2" right="0.2" top="1" bottom="0.75" header="0.3" footer="0.3"/>
      <printOptions horizontalCentered="1"/>
      <pageSetup scale="55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C75" sqref="C75"/>
      <pageMargins left="0.2" right="0.2" top="1" bottom="0.75" header="0.3" footer="0.3"/>
      <printOptions horizontalCentered="1"/>
      <pageSetup scale="55" orientation="landscape" r:id="rId2"/>
      <headerFooter>
        <oddHeader>&amp;L&amp;G&amp;C&amp;"Calibri,Regular"&amp;12 2017 BUDGET&amp;R&amp;D</oddHeader>
      </headerFooter>
    </customSheetView>
    <customSheetView guid="{D073F711-6285-4942-AB77-7D856F2758D2}" hiddenRows="1" topLeftCell="A5">
      <selection activeCell="I49" sqref="I49"/>
      <pageMargins left="0.2" right="0.2" top="1" bottom="0.75" header="0.3" footer="0.3"/>
      <printOptions horizontalCentered="1"/>
      <pageSetup scale="55" orientation="landscape" r:id="rId3"/>
      <headerFooter>
        <oddHeader>&amp;L&amp;G&amp;C&amp;"Calibri,Regular"&amp;12 2017 BUDGET&amp;R&amp;D</oddHeader>
      </headerFooter>
    </customSheetView>
    <customSheetView guid="{37F60134-1665-4224-BDB0-AA938013E6F7}" hiddenRows="1" topLeftCell="A23">
      <selection activeCell="J33" sqref="J33"/>
      <pageMargins left="0.2" right="0.2" top="1" bottom="0.75" header="0.3" footer="0.3"/>
      <printOptions horizontalCentered="1"/>
      <pageSetup scale="55" orientation="landscape" r:id="rId4"/>
      <headerFooter>
        <oddHeader>&amp;L&amp;G&amp;C&amp;"Calibri,Regular"&amp;12 2017 BUDGET&amp;R&amp;D</oddHeader>
      </headerFooter>
    </customSheetView>
    <customSheetView guid="{DE2360E6-2B91-4F5C-9697-CB1D2265B97A}" hiddenRows="1" topLeftCell="A49">
      <selection activeCell="I33" sqref="I33:T33"/>
      <pageMargins left="0.2" right="0.2" top="1" bottom="0.75" header="0.3" footer="0.3"/>
      <printOptions horizontalCentered="1"/>
      <pageSetup scale="5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>
      <selection activeCell="L66" sqref="L66"/>
      <pageMargins left="0.2" right="0.2" top="1" bottom="0.75" header="0.3" footer="0.3"/>
      <printOptions horizontalCentered="1"/>
      <pageSetup scale="55" orientation="landscape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topLeftCell="A32">
      <selection activeCell="A73" sqref="A73:XFD73"/>
      <pageMargins left="0.2" right="0.2" top="1" bottom="0.75" header="0.3" footer="0.3"/>
      <printOptions horizontalCentered="1"/>
      <pageSetup scale="55" orientation="landscape" r:id="rId7"/>
      <headerFooter>
        <oddHeader>&amp;L&amp;G&amp;C&amp;"Calibri,Regular"&amp;12 2017 BUDGET&amp;R&amp;D</oddHeader>
      </headerFooter>
    </customSheetView>
    <customSheetView guid="{BBC4A248-3FF0-4C22-89A9-106C1C902C44}" hiddenRows="1">
      <selection activeCell="D7" sqref="D7"/>
      <pageMargins left="0.2" right="0.2" top="1" bottom="0.75" header="0.3" footer="0.3"/>
      <printOptions horizontalCentered="1"/>
      <pageSetup scale="55" orientation="landscape" r:id="rId8"/>
      <headerFooter>
        <oddHeader>&amp;L&amp;G&amp;C&amp;"Calibri,Regular"&amp;12 2017 BUDGET&amp;R&amp;D</oddHeader>
      </headerFooter>
    </customSheetView>
    <customSheetView guid="{97516F51-8B9A-4ED3-BCEB-36791F0F2C00}" hiddenRows="1" topLeftCell="A19">
      <selection activeCell="J33" sqref="J33"/>
      <pageMargins left="0.2" right="0.2" top="1" bottom="0.75" header="0.3" footer="0.3"/>
      <printOptions horizontalCentered="1"/>
      <pageSetup scale="55" orientation="landscape" r:id="rId9"/>
      <headerFooter>
        <oddHeader>&amp;L&amp;G&amp;C&amp;"Calibri,Regular"&amp;12 2017 BUDGET&amp;R&amp;D</oddHeader>
      </headerFooter>
    </customSheetView>
  </customSheetViews>
  <mergeCells count="1">
    <mergeCell ref="T22:W22"/>
  </mergeCells>
  <conditionalFormatting sqref="D9:O12 D16:O16">
    <cfRule type="expression" dxfId="1" priority="55">
      <formula>OR(SUM(D$15+D$11+D$16-D$9-D$12)&gt;$C$4,SUM(D$15+D$11+D$16-D$9-D$12)&lt;0)</formula>
    </cfRule>
  </conditionalFormatting>
  <conditionalFormatting sqref="D15 D8:O8">
    <cfRule type="expression" dxfId="0" priority="58">
      <formula>OR(SUM(D$15+D$11+D$16-D$9-D$12)&gt;$C$4,SUM(D$15+D$11+D$16-D$9-D$12)&lt;0)</formula>
    </cfRule>
  </conditionalFormatting>
  <printOptions horizontalCentered="1"/>
  <pageMargins left="0.2" right="0.2" top="1" bottom="0.75" header="0.3" footer="0.3"/>
  <pageSetup scale="47" fitToWidth="0" orientation="landscape" r:id="rId10"/>
  <headerFooter>
    <oddHeader>&amp;L&amp;G&amp;C&amp;"Calibri,Regular"&amp;12 BUDGET&amp;R&amp;D</oddHeader>
  </headerFooter>
  <legacyDrawingHF r:id="rId1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592C6-1237-41FB-820C-888FBF3DE038}">
  <sheetPr codeName="Sheet13"/>
  <dimension ref="A1:V61"/>
  <sheetViews>
    <sheetView showGridLines="0" zoomScale="80" zoomScaleNormal="80" zoomScaleSheetLayoutView="85" workbookViewId="0"/>
  </sheetViews>
  <sheetFormatPr baseColWidth="10" defaultColWidth="9.1640625" defaultRowHeight="13"/>
  <cols>
    <col min="1" max="1" width="10.5" style="108" bestFit="1" customWidth="1"/>
    <col min="2" max="2" width="38.83203125" style="108" customWidth="1"/>
    <col min="3" max="3" width="10.1640625" style="108" bestFit="1" customWidth="1"/>
    <col min="4" max="6" width="10.1640625" style="108" customWidth="1"/>
    <col min="7" max="7" width="9.83203125" style="108" bestFit="1" customWidth="1"/>
    <col min="8" max="8" width="10.5" style="108" bestFit="1" customWidth="1"/>
    <col min="9" max="9" width="9.5" style="108" bestFit="1" customWidth="1"/>
    <col min="10" max="10" width="9" style="108" bestFit="1" customWidth="1"/>
    <col min="11" max="11" width="10.1640625" style="108" bestFit="1" customWidth="1"/>
    <col min="12" max="12" width="9.83203125" style="108" bestFit="1" customWidth="1"/>
    <col min="13" max="13" width="9.6640625" style="108" bestFit="1" customWidth="1"/>
    <col min="14" max="14" width="10.1640625" style="108" bestFit="1" customWidth="1"/>
    <col min="15" max="15" width="12.1640625" style="108" customWidth="1"/>
    <col min="16" max="16" width="2.33203125" style="108" customWidth="1"/>
    <col min="17" max="17" width="27.83203125" style="108" customWidth="1"/>
    <col min="18" max="18" width="3.5" style="108" customWidth="1"/>
    <col min="19" max="19" width="21.5" style="108" bestFit="1" customWidth="1"/>
    <col min="20" max="20" width="9.1640625" style="128"/>
    <col min="21" max="21" width="13.33203125" style="108" bestFit="1" customWidth="1"/>
    <col min="22" max="22" width="9.1640625" style="128"/>
    <col min="23" max="16384" width="9.1640625" style="108"/>
  </cols>
  <sheetData>
    <row r="1" spans="1:22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Other Income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1"/>
      <c r="Q1" s="101"/>
      <c r="R1" s="101"/>
      <c r="S1" s="101"/>
      <c r="T1" s="511"/>
      <c r="U1" s="101"/>
      <c r="V1" s="511"/>
    </row>
    <row r="2" spans="1:22" ht="14" thickBot="1"/>
    <row r="3" spans="1:22" ht="14" thickBot="1">
      <c r="B3" s="657" t="str">
        <f>Summary!C6</f>
        <v>NOVA RTP 2680</v>
      </c>
      <c r="C3" s="470"/>
      <c r="D3" s="470"/>
      <c r="E3" s="470"/>
      <c r="F3" s="470"/>
      <c r="G3" s="470"/>
      <c r="H3" s="470"/>
      <c r="I3" s="470"/>
      <c r="J3" s="470"/>
    </row>
    <row r="5" spans="1:22">
      <c r="A5" s="386" t="s">
        <v>206</v>
      </c>
      <c r="B5" s="658" t="s">
        <v>3</v>
      </c>
      <c r="C5" s="659">
        <f>+'Revenue Worksheet'!D7</f>
        <v>45901</v>
      </c>
      <c r="D5" s="659">
        <f>+'Revenue Worksheet'!E7</f>
        <v>45961</v>
      </c>
      <c r="E5" s="659">
        <f>+'Revenue Worksheet'!F7</f>
        <v>45991</v>
      </c>
      <c r="F5" s="659">
        <f>+'Revenue Worksheet'!G7</f>
        <v>46022</v>
      </c>
      <c r="G5" s="659">
        <f>+'Revenue Worksheet'!H7</f>
        <v>46053</v>
      </c>
      <c r="H5" s="659">
        <f>+'Revenue Worksheet'!I7</f>
        <v>46081</v>
      </c>
      <c r="I5" s="659">
        <f>+'Revenue Worksheet'!J7</f>
        <v>46112</v>
      </c>
      <c r="J5" s="659">
        <f>+'Revenue Worksheet'!K7</f>
        <v>46142</v>
      </c>
      <c r="K5" s="659">
        <f>+'Revenue Worksheet'!L7</f>
        <v>46173</v>
      </c>
      <c r="L5" s="659">
        <f>+'Revenue Worksheet'!M7</f>
        <v>46203</v>
      </c>
      <c r="M5" s="659">
        <f>+'Revenue Worksheet'!N7</f>
        <v>46234</v>
      </c>
      <c r="N5" s="659">
        <f>+'Revenue Worksheet'!O7</f>
        <v>46265</v>
      </c>
      <c r="O5" s="557" t="str">
        <f>+'Revenue Worksheet'!P7</f>
        <v>TOTAL</v>
      </c>
      <c r="Q5" s="558" t="s">
        <v>23</v>
      </c>
      <c r="R5" s="660"/>
      <c r="S5" s="1082" t="s">
        <v>924</v>
      </c>
      <c r="T5" s="1083"/>
      <c r="U5" s="1083"/>
      <c r="V5" s="1084"/>
    </row>
    <row r="6" spans="1:22">
      <c r="O6" s="252"/>
      <c r="Q6" s="661"/>
      <c r="R6" s="661"/>
      <c r="S6" s="662"/>
      <c r="T6" s="451"/>
      <c r="U6" s="450"/>
      <c r="V6" s="663"/>
    </row>
    <row r="7" spans="1:22">
      <c r="A7" s="319">
        <f>INDEX(QS_Chart_Of_Accounts_Upload!$C:$O,MATCH(B7,QS_Chart_Of_Accounts_Upload!$E:$E,0),MATCH("ACCT_NO",QS_Chart_Of_Accounts_Upload!$C$1:$O$1,0))</f>
        <v>4020</v>
      </c>
      <c r="B7" s="108" t="s">
        <v>234</v>
      </c>
      <c r="C7" s="604">
        <v>0</v>
      </c>
      <c r="D7" s="604">
        <v>0</v>
      </c>
      <c r="E7" s="604">
        <v>0</v>
      </c>
      <c r="F7" s="604">
        <v>0</v>
      </c>
      <c r="G7" s="604">
        <v>0</v>
      </c>
      <c r="H7" s="604">
        <v>0</v>
      </c>
      <c r="I7" s="604">
        <v>0</v>
      </c>
      <c r="J7" s="604">
        <v>0</v>
      </c>
      <c r="K7" s="604">
        <v>0</v>
      </c>
      <c r="L7" s="604">
        <v>0</v>
      </c>
      <c r="M7" s="604">
        <v>0</v>
      </c>
      <c r="N7" s="604">
        <v>0</v>
      </c>
      <c r="O7" s="664">
        <f t="shared" ref="O7:O36" si="0">+SUBTOTAL(9,C7:N7)</f>
        <v>0</v>
      </c>
      <c r="Q7" s="62"/>
      <c r="R7" s="62"/>
      <c r="S7" s="1079"/>
      <c r="T7" s="1080"/>
      <c r="U7" s="1080"/>
      <c r="V7" s="1081"/>
    </row>
    <row r="8" spans="1:22">
      <c r="A8" s="319">
        <f>INDEX(QS_Chart_Of_Accounts_Upload!$C:$O,MATCH(B8,QS_Chart_Of_Accounts_Upload!$E:$E,0),MATCH("ACCT_NO",QS_Chart_Of_Accounts_Upload!$C$1:$O$1,0))</f>
        <v>4710</v>
      </c>
      <c r="B8" s="665" t="s">
        <v>894</v>
      </c>
      <c r="C8" s="604">
        <v>0</v>
      </c>
      <c r="D8" s="604">
        <v>0</v>
      </c>
      <c r="E8" s="604">
        <v>0</v>
      </c>
      <c r="F8" s="604">
        <v>0</v>
      </c>
      <c r="G8" s="604">
        <v>0</v>
      </c>
      <c r="H8" s="604">
        <v>0</v>
      </c>
      <c r="I8" s="604">
        <v>0</v>
      </c>
      <c r="J8" s="604">
        <v>0</v>
      </c>
      <c r="K8" s="604">
        <v>0</v>
      </c>
      <c r="L8" s="604">
        <v>0</v>
      </c>
      <c r="M8" s="604">
        <v>0</v>
      </c>
      <c r="N8" s="604">
        <v>0</v>
      </c>
      <c r="O8" s="664">
        <f t="shared" si="0"/>
        <v>0</v>
      </c>
      <c r="Q8" s="666"/>
      <c r="R8" s="62"/>
      <c r="S8" s="131"/>
      <c r="V8" s="663"/>
    </row>
    <row r="9" spans="1:22">
      <c r="A9" s="319">
        <f>INDEX(QS_Chart_Of_Accounts_Upload!$C:$O,MATCH(B9,QS_Chart_Of_Accounts_Upload!$E:$E,0),MATCH("ACCT_NO",QS_Chart_Of_Accounts_Upload!$C$1:$O$1,0))</f>
        <v>4810</v>
      </c>
      <c r="B9" s="108" t="s">
        <v>252</v>
      </c>
      <c r="C9" s="667">
        <f>SUM($T$9*'Revenue Worksheet'!D16)</f>
        <v>3000</v>
      </c>
      <c r="D9" s="667">
        <f>SUM($T$9*'Revenue Worksheet'!E16)</f>
        <v>450</v>
      </c>
      <c r="E9" s="667">
        <f>SUM($T$9*'Revenue Worksheet'!F16)</f>
        <v>0</v>
      </c>
      <c r="F9" s="667">
        <f>SUM($T$9*'Revenue Worksheet'!G16)</f>
        <v>0</v>
      </c>
      <c r="G9" s="667">
        <f>SUM($T$9*'Revenue Worksheet'!H16)</f>
        <v>3000</v>
      </c>
      <c r="H9" s="667">
        <f>SUM($T$9*'Revenue Worksheet'!I16)</f>
        <v>3750</v>
      </c>
      <c r="I9" s="667">
        <f>SUM($T$9*'Revenue Worksheet'!J16)</f>
        <v>2100</v>
      </c>
      <c r="J9" s="667">
        <f>SUM($T$9*'Revenue Worksheet'!K16)</f>
        <v>0</v>
      </c>
      <c r="K9" s="667">
        <f>SUM($T$9*'Revenue Worksheet'!L16)</f>
        <v>0</v>
      </c>
      <c r="L9" s="667">
        <f>SUM($T$9*'Revenue Worksheet'!M16)</f>
        <v>0</v>
      </c>
      <c r="M9" s="667">
        <f>SUM($T$9*'Revenue Worksheet'!N16)</f>
        <v>0</v>
      </c>
      <c r="N9" s="667">
        <f>SUM($T$9*'Revenue Worksheet'!O16)</f>
        <v>0</v>
      </c>
      <c r="O9" s="664">
        <f t="shared" si="0"/>
        <v>12300</v>
      </c>
      <c r="Q9" s="668"/>
      <c r="R9" s="166"/>
      <c r="S9" s="131" t="s">
        <v>483</v>
      </c>
      <c r="T9" s="669">
        <v>150</v>
      </c>
      <c r="U9" s="450"/>
      <c r="V9" s="670"/>
    </row>
    <row r="10" spans="1:22">
      <c r="A10" s="319">
        <f>INDEX(QS_Chart_Of_Accounts_Upload!$C:$O,MATCH(B10,QS_Chart_Of_Accounts_Upload!$E:$E,0),MATCH("ACCT_NO",QS_Chart_Of_Accounts_Upload!$C$1:$O$1,0))</f>
        <v>4811</v>
      </c>
      <c r="B10" s="108" t="s">
        <v>253</v>
      </c>
      <c r="C10" s="604">
        <v>0</v>
      </c>
      <c r="D10" s="604">
        <v>0</v>
      </c>
      <c r="E10" s="604">
        <v>0</v>
      </c>
      <c r="F10" s="604">
        <v>0</v>
      </c>
      <c r="G10" s="604">
        <v>0</v>
      </c>
      <c r="H10" s="604">
        <v>0</v>
      </c>
      <c r="I10" s="604">
        <v>0</v>
      </c>
      <c r="J10" s="604">
        <v>0</v>
      </c>
      <c r="K10" s="604">
        <v>0</v>
      </c>
      <c r="L10" s="604">
        <v>0</v>
      </c>
      <c r="M10" s="604">
        <v>0</v>
      </c>
      <c r="N10" s="604">
        <v>0</v>
      </c>
      <c r="O10" s="664">
        <f t="shared" si="0"/>
        <v>0</v>
      </c>
      <c r="Q10" s="668"/>
      <c r="R10" s="166"/>
      <c r="S10" s="131"/>
      <c r="V10" s="663"/>
    </row>
    <row r="11" spans="1:22">
      <c r="A11" s="319">
        <f>INDEX(QS_Chart_Of_Accounts_Upload!$C:$O,MATCH(B11,QS_Chart_Of_Accounts_Upload!$E:$E,0),MATCH("ACCT_NO",QS_Chart_Of_Accounts_Upload!$C$1:$O$1,0))</f>
        <v>4813</v>
      </c>
      <c r="B11" s="108" t="s">
        <v>254</v>
      </c>
      <c r="C11" s="604">
        <v>0</v>
      </c>
      <c r="D11" s="604">
        <v>0</v>
      </c>
      <c r="E11" s="604">
        <v>0</v>
      </c>
      <c r="F11" s="604">
        <v>0</v>
      </c>
      <c r="G11" s="604">
        <v>0</v>
      </c>
      <c r="H11" s="604">
        <v>0</v>
      </c>
      <c r="I11" s="604">
        <v>0</v>
      </c>
      <c r="J11" s="604">
        <v>0</v>
      </c>
      <c r="K11" s="604">
        <v>0</v>
      </c>
      <c r="L11" s="604">
        <v>0</v>
      </c>
      <c r="M11" s="604">
        <v>0</v>
      </c>
      <c r="N11" s="604">
        <v>0</v>
      </c>
      <c r="O11" s="664">
        <f t="shared" si="0"/>
        <v>0</v>
      </c>
      <c r="Q11" s="668"/>
      <c r="R11" s="166"/>
      <c r="S11" s="131"/>
      <c r="V11" s="663"/>
    </row>
    <row r="12" spans="1:22">
      <c r="A12" s="319">
        <f>INDEX(QS_Chart_Of_Accounts_Upload!$C:$O,MATCH(B12,QS_Chart_Of_Accounts_Upload!$E:$E,0),MATCH("ACCT_NO",QS_Chart_Of_Accounts_Upload!$C$1:$O$1,0))</f>
        <v>4815</v>
      </c>
      <c r="B12" s="108" t="s">
        <v>255</v>
      </c>
      <c r="C12" s="667">
        <f>SUM($T$12*'Revenue Worksheet'!D18)</f>
        <v>400</v>
      </c>
      <c r="D12" s="667">
        <f>SUM($T$12*'Revenue Worksheet'!E18)</f>
        <v>460</v>
      </c>
      <c r="E12" s="667">
        <f>SUM($T$12*'Revenue Worksheet'!F18)</f>
        <v>460</v>
      </c>
      <c r="F12" s="667">
        <f>SUM($T$12*'Revenue Worksheet'!G18)</f>
        <v>460</v>
      </c>
      <c r="G12" s="667">
        <f>SUM($T$12*'Revenue Worksheet'!H18)</f>
        <v>860</v>
      </c>
      <c r="H12" s="667">
        <f>SUM($T$12*'Revenue Worksheet'!I18)</f>
        <v>1360</v>
      </c>
      <c r="I12" s="667">
        <f>SUM($T$12*'Revenue Worksheet'!J18)</f>
        <v>1640</v>
      </c>
      <c r="J12" s="667">
        <f>SUM($T$12*'Revenue Worksheet'!K18)</f>
        <v>1640</v>
      </c>
      <c r="K12" s="667">
        <f>SUM($T$12*'Revenue Worksheet'!L18)</f>
        <v>1640</v>
      </c>
      <c r="L12" s="667">
        <f>SUM($T$12*'Revenue Worksheet'!M18)</f>
        <v>1640</v>
      </c>
      <c r="M12" s="667">
        <f>SUM($T$12*'Revenue Worksheet'!N18)</f>
        <v>1640</v>
      </c>
      <c r="N12" s="667">
        <f>SUM($T$12*'Revenue Worksheet'!O18)</f>
        <v>1640</v>
      </c>
      <c r="O12" s="664">
        <f t="shared" si="0"/>
        <v>13840</v>
      </c>
      <c r="Q12" s="668"/>
      <c r="R12" s="166"/>
      <c r="S12" s="131" t="s">
        <v>1133</v>
      </c>
      <c r="T12" s="669">
        <v>20</v>
      </c>
      <c r="U12" s="450"/>
      <c r="V12" s="670"/>
    </row>
    <row r="13" spans="1:22">
      <c r="A13" s="319">
        <f>INDEX(QS_Chart_Of_Accounts_Upload!$C:$O,MATCH(B13,QS_Chart_Of_Accounts_Upload!$E:$E,0),MATCH("ACCT_NO",QS_Chart_Of_Accounts_Upload!$C$1:$O$1,0))</f>
        <v>4816</v>
      </c>
      <c r="B13" s="108" t="s">
        <v>478</v>
      </c>
      <c r="C13" s="667">
        <f>SUM($T$13*'Revenue Worksheet'!D16)</f>
        <v>0</v>
      </c>
      <c r="D13" s="667">
        <f>SUM($T$13*'Revenue Worksheet'!E16)</f>
        <v>0</v>
      </c>
      <c r="E13" s="667">
        <f>SUM($T$13*'Revenue Worksheet'!F16)</f>
        <v>0</v>
      </c>
      <c r="F13" s="667">
        <f>SUM($T$13*'Revenue Worksheet'!G16)</f>
        <v>0</v>
      </c>
      <c r="G13" s="667">
        <f>SUM($T$13*'Revenue Worksheet'!H16)</f>
        <v>0</v>
      </c>
      <c r="H13" s="667">
        <f>SUM($T$13*'Revenue Worksheet'!I16)</f>
        <v>0</v>
      </c>
      <c r="I13" s="667">
        <f>SUM($T$13*'Revenue Worksheet'!J16)</f>
        <v>0</v>
      </c>
      <c r="J13" s="667">
        <f>SUM($T$13*'Revenue Worksheet'!K16)</f>
        <v>0</v>
      </c>
      <c r="K13" s="667">
        <f>SUM($T$13*'Revenue Worksheet'!L16)</f>
        <v>0</v>
      </c>
      <c r="L13" s="667">
        <f>SUM($T$13*'Revenue Worksheet'!M16)</f>
        <v>0</v>
      </c>
      <c r="M13" s="667">
        <f>SUM($T$13*'Revenue Worksheet'!N16)</f>
        <v>0</v>
      </c>
      <c r="N13" s="667">
        <f>SUM($T$13*'Revenue Worksheet'!O16)</f>
        <v>0</v>
      </c>
      <c r="O13" s="664">
        <f t="shared" si="0"/>
        <v>0</v>
      </c>
      <c r="Q13" s="668"/>
      <c r="R13" s="166"/>
      <c r="S13" s="131" t="s">
        <v>504</v>
      </c>
      <c r="T13" s="671"/>
      <c r="U13" s="450"/>
      <c r="V13" s="670"/>
    </row>
    <row r="14" spans="1:22">
      <c r="A14" s="319">
        <f>INDEX(QS_Chart_Of_Accounts_Upload!$C:$O,MATCH(B14,QS_Chart_Of_Accounts_Upload!$E:$E,0),MATCH("ACCT_NO",QS_Chart_Of_Accounts_Upload!$C$1:$O$1,0))</f>
        <v>4817</v>
      </c>
      <c r="B14" s="108" t="s">
        <v>479</v>
      </c>
      <c r="C14" s="604">
        <v>0</v>
      </c>
      <c r="D14" s="604">
        <v>0</v>
      </c>
      <c r="E14" s="604">
        <v>0</v>
      </c>
      <c r="F14" s="604">
        <v>0</v>
      </c>
      <c r="G14" s="604">
        <v>0</v>
      </c>
      <c r="H14" s="604">
        <v>0</v>
      </c>
      <c r="I14" s="604">
        <v>0</v>
      </c>
      <c r="J14" s="604">
        <v>0</v>
      </c>
      <c r="K14" s="604">
        <v>0</v>
      </c>
      <c r="L14" s="604">
        <v>0</v>
      </c>
      <c r="M14" s="604">
        <v>0</v>
      </c>
      <c r="N14" s="604">
        <v>0</v>
      </c>
      <c r="O14" s="664">
        <f t="shared" si="0"/>
        <v>0</v>
      </c>
      <c r="Q14" s="666"/>
      <c r="R14" s="62"/>
      <c r="S14" s="131"/>
      <c r="V14" s="663"/>
    </row>
    <row r="15" spans="1:22">
      <c r="A15" s="319">
        <f>INDEX(QS_Chart_Of_Accounts_Upload!$C:$O,MATCH(B15,QS_Chart_Of_Accounts_Upload!$E:$E,0),MATCH("ACCT_NO",QS_Chart_Of_Accounts_Upload!$C$1:$O$1,0))</f>
        <v>4825</v>
      </c>
      <c r="B15" s="108" t="s">
        <v>256</v>
      </c>
      <c r="C15" s="667">
        <f>SUM($T$15*'Revenue Worksheet'!D16)</f>
        <v>1500</v>
      </c>
      <c r="D15" s="667">
        <f>SUM($T$15*'Revenue Worksheet'!E16)</f>
        <v>225</v>
      </c>
      <c r="E15" s="667">
        <f>SUM($T$15*'Revenue Worksheet'!F16)</f>
        <v>0</v>
      </c>
      <c r="F15" s="667">
        <f>SUM($T$15*'Revenue Worksheet'!G16)</f>
        <v>0</v>
      </c>
      <c r="G15" s="667">
        <f>SUM($T$15*'Revenue Worksheet'!H16)</f>
        <v>1500</v>
      </c>
      <c r="H15" s="667">
        <f>SUM($T$15*'Revenue Worksheet'!I16)</f>
        <v>1875</v>
      </c>
      <c r="I15" s="667">
        <f>SUM($T$15*'Revenue Worksheet'!J16)</f>
        <v>1050</v>
      </c>
      <c r="J15" s="667">
        <f>SUM($T$15*'Revenue Worksheet'!K16)</f>
        <v>0</v>
      </c>
      <c r="K15" s="667">
        <f>SUM($T$15*'Revenue Worksheet'!L16)</f>
        <v>0</v>
      </c>
      <c r="L15" s="667">
        <f>SUM($T$15*'Revenue Worksheet'!M16)</f>
        <v>0</v>
      </c>
      <c r="M15" s="667">
        <f>SUM($T$15*'Revenue Worksheet'!N16)</f>
        <v>0</v>
      </c>
      <c r="N15" s="667">
        <f>SUM($T$15*'Revenue Worksheet'!O16)</f>
        <v>0</v>
      </c>
      <c r="O15" s="664">
        <f t="shared" si="0"/>
        <v>6150</v>
      </c>
      <c r="Q15" s="668"/>
      <c r="R15" s="166"/>
      <c r="S15" s="131" t="s">
        <v>161</v>
      </c>
      <c r="T15" s="669">
        <v>75</v>
      </c>
      <c r="U15" s="450"/>
      <c r="V15" s="670"/>
    </row>
    <row r="16" spans="1:22">
      <c r="A16" s="319">
        <f>INDEX(QS_Chart_Of_Accounts_Upload!$C:$O,MATCH(B16,QS_Chart_Of_Accounts_Upload!$E:$E,0),MATCH("ACCT_NO",QS_Chart_Of_Accounts_Upload!$C$1:$O$1,0))</f>
        <v>4826</v>
      </c>
      <c r="B16" s="108" t="s">
        <v>257</v>
      </c>
      <c r="C16" s="604">
        <v>0</v>
      </c>
      <c r="D16" s="604">
        <v>0</v>
      </c>
      <c r="E16" s="604">
        <v>0</v>
      </c>
      <c r="F16" s="604">
        <v>0</v>
      </c>
      <c r="G16" s="604">
        <v>0</v>
      </c>
      <c r="H16" s="604">
        <v>0</v>
      </c>
      <c r="I16" s="604">
        <v>0</v>
      </c>
      <c r="J16" s="604">
        <v>0</v>
      </c>
      <c r="K16" s="604">
        <v>0</v>
      </c>
      <c r="L16" s="604">
        <v>0</v>
      </c>
      <c r="M16" s="604">
        <v>0</v>
      </c>
      <c r="N16" s="604">
        <v>0</v>
      </c>
      <c r="O16" s="664">
        <f t="shared" si="0"/>
        <v>0</v>
      </c>
      <c r="Q16" s="668"/>
      <c r="R16" s="166"/>
      <c r="S16" s="131"/>
      <c r="V16" s="663"/>
    </row>
    <row r="17" spans="1:22">
      <c r="A17" s="319">
        <f>INDEX(QS_Chart_Of_Accounts_Upload!$C:$O,MATCH(B17,QS_Chart_Of_Accounts_Upload!$E:$E,0),MATCH("ACCT_NO",QS_Chart_Of_Accounts_Upload!$C$1:$O$1,0))</f>
        <v>4830</v>
      </c>
      <c r="B17" s="108" t="s">
        <v>258</v>
      </c>
      <c r="C17" s="667">
        <f>+$T$17*'Revenue Worksheet'!D18</f>
        <v>1600</v>
      </c>
      <c r="D17" s="667">
        <f>+$T$17*'Revenue Worksheet'!E18</f>
        <v>1840</v>
      </c>
      <c r="E17" s="667">
        <f>+$T$17*'Revenue Worksheet'!F18</f>
        <v>1840</v>
      </c>
      <c r="F17" s="667">
        <f>+$T$17*'Revenue Worksheet'!G18</f>
        <v>1840</v>
      </c>
      <c r="G17" s="667">
        <f>+$T$17*'Revenue Worksheet'!H18</f>
        <v>3440</v>
      </c>
      <c r="H17" s="667">
        <f>+$T$17*'Revenue Worksheet'!I18</f>
        <v>5440</v>
      </c>
      <c r="I17" s="667">
        <f>+$T$17*'Revenue Worksheet'!J18</f>
        <v>6560</v>
      </c>
      <c r="J17" s="667">
        <f>+$T$17*'Revenue Worksheet'!K18</f>
        <v>6560</v>
      </c>
      <c r="K17" s="667">
        <f>+$T$17*'Revenue Worksheet'!L18</f>
        <v>6560</v>
      </c>
      <c r="L17" s="667">
        <f>+$T$17*'Revenue Worksheet'!M18</f>
        <v>6560</v>
      </c>
      <c r="M17" s="667">
        <f>+$T$17*'Revenue Worksheet'!N18</f>
        <v>6560</v>
      </c>
      <c r="N17" s="667">
        <f>+$T$17*'Revenue Worksheet'!O18</f>
        <v>6560</v>
      </c>
      <c r="O17" s="664">
        <f t="shared" si="0"/>
        <v>55360</v>
      </c>
      <c r="Q17" s="672"/>
      <c r="R17" s="673"/>
      <c r="S17" s="131" t="s">
        <v>1045</v>
      </c>
      <c r="T17" s="669">
        <v>80</v>
      </c>
      <c r="V17" s="663"/>
    </row>
    <row r="18" spans="1:22">
      <c r="A18" s="319">
        <f>INDEX(QS_Chart_Of_Accounts_Upload!$C:$O,MATCH(B18,QS_Chart_Of_Accounts_Upload!$E:$E,0),MATCH("ACCT_NO",QS_Chart_Of_Accounts_Upload!$C$1:$O$1,0))</f>
        <v>4835</v>
      </c>
      <c r="B18" s="108" t="s">
        <v>259</v>
      </c>
      <c r="C18" s="604">
        <v>0</v>
      </c>
      <c r="D18" s="604">
        <v>0</v>
      </c>
      <c r="E18" s="604">
        <v>0</v>
      </c>
      <c r="F18" s="604">
        <v>0</v>
      </c>
      <c r="G18" s="604">
        <v>0</v>
      </c>
      <c r="H18" s="604">
        <v>0</v>
      </c>
      <c r="I18" s="604">
        <v>0</v>
      </c>
      <c r="J18" s="604">
        <v>0</v>
      </c>
      <c r="K18" s="604">
        <v>0</v>
      </c>
      <c r="L18" s="604">
        <v>0</v>
      </c>
      <c r="M18" s="604">
        <v>0</v>
      </c>
      <c r="N18" s="604">
        <v>0</v>
      </c>
      <c r="O18" s="664">
        <f t="shared" si="0"/>
        <v>0</v>
      </c>
      <c r="Q18" s="672"/>
      <c r="R18" s="673"/>
      <c r="S18" s="131"/>
      <c r="V18" s="663"/>
    </row>
    <row r="19" spans="1:22">
      <c r="A19" s="319">
        <f>INDEX(QS_Chart_Of_Accounts_Upload!$C:$O,MATCH(B19,QS_Chart_Of_Accounts_Upload!$E:$E,0),MATCH("ACCT_NO",QS_Chart_Of_Accounts_Upload!$C$1:$O$1,0))</f>
        <v>4840</v>
      </c>
      <c r="B19" s="108" t="s">
        <v>260</v>
      </c>
      <c r="C19" s="604">
        <v>0</v>
      </c>
      <c r="D19" s="604">
        <v>0</v>
      </c>
      <c r="E19" s="604">
        <v>0</v>
      </c>
      <c r="F19" s="604">
        <v>0</v>
      </c>
      <c r="G19" s="604">
        <v>0</v>
      </c>
      <c r="H19" s="604">
        <v>0</v>
      </c>
      <c r="I19" s="604">
        <v>0</v>
      </c>
      <c r="J19" s="604">
        <v>0</v>
      </c>
      <c r="K19" s="604">
        <v>0</v>
      </c>
      <c r="L19" s="604">
        <v>0</v>
      </c>
      <c r="M19" s="604">
        <v>0</v>
      </c>
      <c r="N19" s="604">
        <v>0</v>
      </c>
      <c r="O19" s="664">
        <f t="shared" si="0"/>
        <v>0</v>
      </c>
      <c r="Q19" s="668"/>
      <c r="R19" s="166"/>
      <c r="S19" s="131"/>
      <c r="V19" s="663"/>
    </row>
    <row r="20" spans="1:22">
      <c r="A20" s="319">
        <f>INDEX(QS_Chart_Of_Accounts_Upload!$C:$O,MATCH(B20,QS_Chart_Of_Accounts_Upload!$E:$E,0),MATCH("ACCT_NO",QS_Chart_Of_Accounts_Upload!$C$1:$O$1,0))</f>
        <v>4845</v>
      </c>
      <c r="B20" s="108" t="s">
        <v>131</v>
      </c>
      <c r="C20" s="604">
        <v>0</v>
      </c>
      <c r="D20" s="604">
        <v>0</v>
      </c>
      <c r="E20" s="604">
        <v>0</v>
      </c>
      <c r="F20" s="604">
        <v>0</v>
      </c>
      <c r="G20" s="604">
        <v>0</v>
      </c>
      <c r="H20" s="604">
        <v>0</v>
      </c>
      <c r="I20" s="604">
        <v>0</v>
      </c>
      <c r="J20" s="604">
        <v>0</v>
      </c>
      <c r="K20" s="604">
        <v>0</v>
      </c>
      <c r="L20" s="604">
        <v>0</v>
      </c>
      <c r="M20" s="604">
        <v>0</v>
      </c>
      <c r="N20" s="604">
        <v>0</v>
      </c>
      <c r="O20" s="664">
        <f t="shared" si="0"/>
        <v>0</v>
      </c>
      <c r="Q20" s="668"/>
      <c r="R20" s="166"/>
      <c r="S20" s="131"/>
      <c r="V20" s="663"/>
    </row>
    <row r="21" spans="1:22">
      <c r="A21" s="319">
        <f>INDEX(QS_Chart_Of_Accounts_Upload!$C:$O,MATCH(B21,QS_Chart_Of_Accounts_Upload!$E:$E,0),MATCH("ACCT_NO",QS_Chart_Of_Accounts_Upload!$C$1:$O$1,0))</f>
        <v>4853</v>
      </c>
      <c r="B21" s="108" t="s">
        <v>261</v>
      </c>
      <c r="C21" s="604">
        <v>0</v>
      </c>
      <c r="D21" s="604">
        <v>0</v>
      </c>
      <c r="E21" s="604">
        <v>0</v>
      </c>
      <c r="F21" s="604">
        <v>0</v>
      </c>
      <c r="G21" s="604">
        <v>0</v>
      </c>
      <c r="H21" s="604">
        <v>0</v>
      </c>
      <c r="I21" s="604">
        <v>0</v>
      </c>
      <c r="J21" s="604">
        <v>0</v>
      </c>
      <c r="K21" s="604">
        <v>0</v>
      </c>
      <c r="L21" s="604">
        <v>0</v>
      </c>
      <c r="M21" s="604">
        <v>0</v>
      </c>
      <c r="N21" s="604">
        <v>0</v>
      </c>
      <c r="O21" s="664">
        <f t="shared" si="0"/>
        <v>0</v>
      </c>
      <c r="Q21" s="668"/>
      <c r="R21" s="166"/>
      <c r="S21" s="131"/>
      <c r="V21" s="663"/>
    </row>
    <row r="22" spans="1:22">
      <c r="A22" s="319">
        <f>INDEX(QS_Chart_Of_Accounts_Upload!$C:$O,MATCH(B22,QS_Chart_Of_Accounts_Upload!$E:$E,0),MATCH("ACCT_NO",QS_Chart_Of_Accounts_Upload!$C$1:$O$1,0))</f>
        <v>4854</v>
      </c>
      <c r="B22" s="108" t="s">
        <v>262</v>
      </c>
      <c r="C22" s="604">
        <v>0</v>
      </c>
      <c r="D22" s="604">
        <v>0</v>
      </c>
      <c r="E22" s="604">
        <v>0</v>
      </c>
      <c r="F22" s="604">
        <v>0</v>
      </c>
      <c r="G22" s="604">
        <v>0</v>
      </c>
      <c r="H22" s="604">
        <v>0</v>
      </c>
      <c r="I22" s="604">
        <v>0</v>
      </c>
      <c r="J22" s="604">
        <v>0</v>
      </c>
      <c r="K22" s="604">
        <v>0</v>
      </c>
      <c r="L22" s="604">
        <v>0</v>
      </c>
      <c r="M22" s="604">
        <v>0</v>
      </c>
      <c r="N22" s="604">
        <v>0</v>
      </c>
      <c r="O22" s="664">
        <f t="shared" si="0"/>
        <v>0</v>
      </c>
      <c r="Q22" s="668"/>
      <c r="R22" s="166"/>
      <c r="S22" s="131"/>
      <c r="V22" s="663"/>
    </row>
    <row r="23" spans="1:22">
      <c r="A23" s="319">
        <f>INDEX(QS_Chart_Of_Accounts_Upload!$C:$O,MATCH(B23,QS_Chart_Of_Accounts_Upload!$E:$E,0),MATCH("ACCT_NO",QS_Chart_Of_Accounts_Upload!$C$1:$O$1,0))</f>
        <v>4855</v>
      </c>
      <c r="B23" s="108" t="s">
        <v>263</v>
      </c>
      <c r="C23" s="604">
        <v>0</v>
      </c>
      <c r="D23" s="604">
        <v>0</v>
      </c>
      <c r="E23" s="604">
        <v>0</v>
      </c>
      <c r="F23" s="604">
        <v>0</v>
      </c>
      <c r="G23" s="604">
        <v>0</v>
      </c>
      <c r="H23" s="604">
        <v>0</v>
      </c>
      <c r="I23" s="604">
        <v>0</v>
      </c>
      <c r="J23" s="604">
        <v>0</v>
      </c>
      <c r="K23" s="604">
        <v>0</v>
      </c>
      <c r="L23" s="604">
        <v>0</v>
      </c>
      <c r="M23" s="604">
        <v>0</v>
      </c>
      <c r="N23" s="604">
        <v>0</v>
      </c>
      <c r="O23" s="664">
        <f t="shared" si="0"/>
        <v>0</v>
      </c>
      <c r="Q23" s="666"/>
      <c r="R23" s="62"/>
      <c r="S23" s="131"/>
      <c r="V23" s="663"/>
    </row>
    <row r="24" spans="1:22">
      <c r="A24" s="319">
        <f>INDEX(QS_Chart_Of_Accounts_Upload!$C:$O,MATCH(B24,QS_Chart_Of_Accounts_Upload!$E:$E,0),MATCH("ACCT_NO",QS_Chart_Of_Accounts_Upload!$C$1:$O$1,0))</f>
        <v>4856</v>
      </c>
      <c r="B24" s="108" t="s">
        <v>264</v>
      </c>
      <c r="C24" s="604">
        <v>0</v>
      </c>
      <c r="D24" s="604">
        <v>0</v>
      </c>
      <c r="E24" s="604">
        <v>0</v>
      </c>
      <c r="F24" s="604">
        <v>0</v>
      </c>
      <c r="G24" s="604">
        <v>0</v>
      </c>
      <c r="H24" s="604">
        <v>0</v>
      </c>
      <c r="I24" s="604">
        <v>0</v>
      </c>
      <c r="J24" s="604">
        <v>0</v>
      </c>
      <c r="K24" s="604">
        <v>0</v>
      </c>
      <c r="L24" s="604">
        <v>0</v>
      </c>
      <c r="M24" s="604">
        <v>0</v>
      </c>
      <c r="N24" s="604">
        <v>0</v>
      </c>
      <c r="O24" s="664">
        <f t="shared" si="0"/>
        <v>0</v>
      </c>
      <c r="Q24" s="666"/>
      <c r="R24" s="62"/>
      <c r="S24" s="131"/>
      <c r="V24" s="663"/>
    </row>
    <row r="25" spans="1:22">
      <c r="A25" s="319">
        <f>INDEX(QS_Chart_Of_Accounts_Upload!$C:$O,MATCH(B25,QS_Chart_Of_Accounts_Upload!$E:$E,0),MATCH("ACCT_NO",QS_Chart_Of_Accounts_Upload!$C$1:$O$1,0))</f>
        <v>4857</v>
      </c>
      <c r="B25" s="108" t="s">
        <v>265</v>
      </c>
      <c r="C25" s="604">
        <v>0</v>
      </c>
      <c r="D25" s="604">
        <v>0</v>
      </c>
      <c r="E25" s="604">
        <v>0</v>
      </c>
      <c r="F25" s="604">
        <v>0</v>
      </c>
      <c r="G25" s="604">
        <v>0</v>
      </c>
      <c r="H25" s="604">
        <v>0</v>
      </c>
      <c r="I25" s="604">
        <v>0</v>
      </c>
      <c r="J25" s="604">
        <v>0</v>
      </c>
      <c r="K25" s="604">
        <v>0</v>
      </c>
      <c r="L25" s="604">
        <v>0</v>
      </c>
      <c r="M25" s="604">
        <v>0</v>
      </c>
      <c r="N25" s="604">
        <v>0</v>
      </c>
      <c r="O25" s="664">
        <f t="shared" si="0"/>
        <v>0</v>
      </c>
      <c r="Q25" s="666"/>
      <c r="R25" s="62"/>
      <c r="S25" s="131"/>
      <c r="V25" s="663"/>
    </row>
    <row r="26" spans="1:22">
      <c r="A26" s="319">
        <f>INDEX(QS_Chart_Of_Accounts_Upload!$C:$O,MATCH(B26,QS_Chart_Of_Accounts_Upload!$E:$E,0),MATCH("ACCT_NO",QS_Chart_Of_Accounts_Upload!$C$1:$O$1,0))</f>
        <v>4858</v>
      </c>
      <c r="B26" s="108" t="s">
        <v>266</v>
      </c>
      <c r="C26" s="667">
        <f>('Revenue Worksheet'!D$24/'Revenue Worksheet'!$C$4*$T$26)*($V$26*'Revenue Worksheet'!D$18)</f>
        <v>91.955421686747002</v>
      </c>
      <c r="D26" s="667">
        <f>('Revenue Worksheet'!E$24/'Revenue Worksheet'!$C$4*$T$26)*($V$26*'Revenue Worksheet'!E$18)</f>
        <v>105.74873493975906</v>
      </c>
      <c r="E26" s="667">
        <f>('Revenue Worksheet'!F$24/'Revenue Worksheet'!$C$4*$T$26)*($V$26*'Revenue Worksheet'!F$18)</f>
        <v>105.74873493975906</v>
      </c>
      <c r="F26" s="667">
        <f>('Revenue Worksheet'!G$24/'Revenue Worksheet'!$C$4*$T$26)*($V$26*'Revenue Worksheet'!G$18)</f>
        <v>105.74873493975906</v>
      </c>
      <c r="G26" s="667">
        <f>('Revenue Worksheet'!H$24/'Revenue Worksheet'!$C$4*$T$26)*($V$26*'Revenue Worksheet'!H$18)</f>
        <v>197.70415662650603</v>
      </c>
      <c r="H26" s="667">
        <f>('Revenue Worksheet'!I$24/'Revenue Worksheet'!$C$4*$T$26)*($V$26*'Revenue Worksheet'!I$18)</f>
        <v>312.64843373493983</v>
      </c>
      <c r="I26" s="667">
        <f>('Revenue Worksheet'!J$24/'Revenue Worksheet'!$C$4*$T$26)*($V$26*'Revenue Worksheet'!J$18)</f>
        <v>377.01722891566277</v>
      </c>
      <c r="J26" s="667">
        <f>('Revenue Worksheet'!K$24/'Revenue Worksheet'!$C$4*$T$26)*($V$26*'Revenue Worksheet'!K$18)</f>
        <v>377.01722891566277</v>
      </c>
      <c r="K26" s="667">
        <f>('Revenue Worksheet'!L$24/'Revenue Worksheet'!$C$4*$T$26)*($V$26*'Revenue Worksheet'!L$18)</f>
        <v>377.01722891566277</v>
      </c>
      <c r="L26" s="667">
        <f>('Revenue Worksheet'!M$24/'Revenue Worksheet'!$C$4*$T$26)*($V$26*'Revenue Worksheet'!M$18)</f>
        <v>377.01722891566277</v>
      </c>
      <c r="M26" s="667">
        <f>('Revenue Worksheet'!N$24/'Revenue Worksheet'!$C$4*$T$26)*($V$26*'Revenue Worksheet'!N$18)</f>
        <v>377.01722891566277</v>
      </c>
      <c r="N26" s="667">
        <f>('Revenue Worksheet'!O$24/'Revenue Worksheet'!$C$4*$T$26)*($V$26*'Revenue Worksheet'!O$18)</f>
        <v>377.01722891566277</v>
      </c>
      <c r="O26" s="664">
        <f t="shared" si="0"/>
        <v>3181.6575903614462</v>
      </c>
      <c r="Q26" s="666"/>
      <c r="R26" s="62"/>
      <c r="S26" s="131" t="s">
        <v>502</v>
      </c>
      <c r="T26" s="674">
        <v>0.05</v>
      </c>
      <c r="U26" s="108" t="s">
        <v>503</v>
      </c>
      <c r="V26" s="675">
        <v>0.05</v>
      </c>
    </row>
    <row r="27" spans="1:22">
      <c r="A27" s="319">
        <f>INDEX(QS_Chart_Of_Accounts_Upload!$C:$O,MATCH(B27,QS_Chart_Of_Accounts_Upload!$E:$E,0),MATCH("ACCT_NO",QS_Chart_Of_Accounts_Upload!$C$1:$O$1,0))</f>
        <v>4859</v>
      </c>
      <c r="B27" s="108" t="s">
        <v>267</v>
      </c>
      <c r="C27" s="604">
        <v>0</v>
      </c>
      <c r="D27" s="604">
        <v>0</v>
      </c>
      <c r="E27" s="604">
        <v>0</v>
      </c>
      <c r="F27" s="604">
        <v>0</v>
      </c>
      <c r="G27" s="604">
        <v>0</v>
      </c>
      <c r="H27" s="604">
        <v>0</v>
      </c>
      <c r="I27" s="604">
        <v>0</v>
      </c>
      <c r="J27" s="604">
        <v>0</v>
      </c>
      <c r="K27" s="604">
        <v>0</v>
      </c>
      <c r="L27" s="604">
        <v>0</v>
      </c>
      <c r="M27" s="604">
        <v>0</v>
      </c>
      <c r="N27" s="604">
        <v>0</v>
      </c>
      <c r="O27" s="664">
        <f t="shared" si="0"/>
        <v>0</v>
      </c>
      <c r="Q27" s="666"/>
      <c r="R27" s="62"/>
      <c r="S27" s="131"/>
      <c r="V27" s="663"/>
    </row>
    <row r="28" spans="1:22">
      <c r="A28" s="319">
        <f>INDEX(QS_Chart_Of_Accounts_Upload!$C:$O,MATCH(B28,QS_Chart_Of_Accounts_Upload!$E:$E,0),MATCH("ACCT_NO",QS_Chart_Of_Accounts_Upload!$C$1:$O$1,0))</f>
        <v>4860</v>
      </c>
      <c r="B28" s="108" t="s">
        <v>268</v>
      </c>
      <c r="C28" s="604">
        <v>0</v>
      </c>
      <c r="D28" s="604">
        <v>0</v>
      </c>
      <c r="E28" s="604">
        <v>0</v>
      </c>
      <c r="F28" s="604">
        <v>0</v>
      </c>
      <c r="G28" s="604">
        <v>0</v>
      </c>
      <c r="H28" s="604">
        <v>0</v>
      </c>
      <c r="I28" s="604">
        <v>0</v>
      </c>
      <c r="J28" s="604">
        <v>0</v>
      </c>
      <c r="K28" s="604">
        <v>0</v>
      </c>
      <c r="L28" s="604">
        <v>0</v>
      </c>
      <c r="M28" s="604">
        <v>0</v>
      </c>
      <c r="N28" s="604">
        <v>0</v>
      </c>
      <c r="O28" s="664">
        <f t="shared" si="0"/>
        <v>0</v>
      </c>
      <c r="Q28" s="666"/>
      <c r="R28" s="62"/>
      <c r="S28" s="131"/>
      <c r="V28" s="663"/>
    </row>
    <row r="29" spans="1:22">
      <c r="A29" s="319">
        <f>INDEX(QS_Chart_Of_Accounts_Upload!$C:$O,MATCH(B29,QS_Chart_Of_Accounts_Upload!$E:$E,0),MATCH("ACCT_NO",QS_Chart_Of_Accounts_Upload!$C$1:$O$1,0))</f>
        <v>4865</v>
      </c>
      <c r="B29" s="108" t="s">
        <v>269</v>
      </c>
      <c r="C29" s="667">
        <f>+'Revenue Worksheet'!D12*'GPR Worksheet'!$E$22</f>
        <v>0</v>
      </c>
      <c r="D29" s="667">
        <f>+'Revenue Worksheet'!E12*'GPR Worksheet'!$E$22</f>
        <v>0</v>
      </c>
      <c r="E29" s="667">
        <f>+'Revenue Worksheet'!F12*'GPR Worksheet'!$E$22</f>
        <v>0</v>
      </c>
      <c r="F29" s="667">
        <f>+'Revenue Worksheet'!G12*'GPR Worksheet'!$E$22</f>
        <v>0</v>
      </c>
      <c r="G29" s="667">
        <f>+'Revenue Worksheet'!H12*'GPR Worksheet'!$E$22</f>
        <v>0</v>
      </c>
      <c r="H29" s="667">
        <f>+'Revenue Worksheet'!I12*'GPR Worksheet'!$E$22</f>
        <v>0</v>
      </c>
      <c r="I29" s="667">
        <f>+'Revenue Worksheet'!J12*'GPR Worksheet'!$E$22</f>
        <v>0</v>
      </c>
      <c r="J29" s="667">
        <f>+'Revenue Worksheet'!K12*'GPR Worksheet'!$E$22</f>
        <v>0</v>
      </c>
      <c r="K29" s="667">
        <f>+'Revenue Worksheet'!L12*'GPR Worksheet'!$E$22</f>
        <v>0</v>
      </c>
      <c r="L29" s="667">
        <f>+'Revenue Worksheet'!M12*'GPR Worksheet'!$E$22</f>
        <v>0</v>
      </c>
      <c r="M29" s="667">
        <f>+'Revenue Worksheet'!N12*'GPR Worksheet'!$E$22</f>
        <v>0</v>
      </c>
      <c r="N29" s="667">
        <f>+'Revenue Worksheet'!O12*'GPR Worksheet'!$E$22</f>
        <v>0</v>
      </c>
      <c r="O29" s="664">
        <f t="shared" si="0"/>
        <v>0</v>
      </c>
      <c r="Q29" s="666"/>
      <c r="R29" s="62"/>
      <c r="S29" s="131"/>
      <c r="V29" s="663"/>
    </row>
    <row r="30" spans="1:22" ht="15" customHeight="1">
      <c r="A30" s="319">
        <f>INDEX(QS_Chart_Of_Accounts_Upload!$C:$O,MATCH(B30,QS_Chart_Of_Accounts_Upload!$E:$E,0),MATCH("ACCT_NO",QS_Chart_Of_Accounts_Upload!$C$1:$O$1,0))</f>
        <v>4870</v>
      </c>
      <c r="B30" s="108" t="s">
        <v>270</v>
      </c>
      <c r="C30" s="604">
        <v>0</v>
      </c>
      <c r="D30" s="604">
        <v>0</v>
      </c>
      <c r="E30" s="604">
        <v>0</v>
      </c>
      <c r="F30" s="604">
        <v>0</v>
      </c>
      <c r="G30" s="604">
        <v>0</v>
      </c>
      <c r="H30" s="604">
        <v>0</v>
      </c>
      <c r="I30" s="604">
        <v>0</v>
      </c>
      <c r="J30" s="604">
        <v>0</v>
      </c>
      <c r="K30" s="604">
        <v>0</v>
      </c>
      <c r="L30" s="604">
        <v>0</v>
      </c>
      <c r="M30" s="604">
        <v>0</v>
      </c>
      <c r="N30" s="604">
        <v>0</v>
      </c>
      <c r="O30" s="664">
        <f t="shared" si="0"/>
        <v>0</v>
      </c>
      <c r="Q30" s="666"/>
      <c r="R30" s="62"/>
      <c r="S30" s="131"/>
      <c r="V30" s="663"/>
    </row>
    <row r="31" spans="1:22" ht="15" customHeight="1">
      <c r="A31" s="319">
        <f>INDEX(QS_Chart_Of_Accounts_Upload!$C:$O,MATCH(B31,QS_Chart_Of_Accounts_Upload!$E:$E,0),MATCH("ACCT_NO",QS_Chart_Of_Accounts_Upload!$C$1:$O$1,0))</f>
        <v>4862</v>
      </c>
      <c r="B31" s="108" t="s">
        <v>1095</v>
      </c>
      <c r="C31" s="667">
        <f>$T$31*'Revenue Worksheet'!D18</f>
        <v>820</v>
      </c>
      <c r="D31" s="667">
        <f>$T$31*'Revenue Worksheet'!E18</f>
        <v>943</v>
      </c>
      <c r="E31" s="667">
        <f>$T$31*'Revenue Worksheet'!F18</f>
        <v>943</v>
      </c>
      <c r="F31" s="667">
        <f>$T$31*'Revenue Worksheet'!G18</f>
        <v>943</v>
      </c>
      <c r="G31" s="667">
        <f>$T$31*'Revenue Worksheet'!H18</f>
        <v>1763</v>
      </c>
      <c r="H31" s="667">
        <f>$T$31*'Revenue Worksheet'!I18</f>
        <v>2788</v>
      </c>
      <c r="I31" s="667">
        <f>$T$31*'Revenue Worksheet'!J18</f>
        <v>3362</v>
      </c>
      <c r="J31" s="667">
        <f>$T$31*'Revenue Worksheet'!K18</f>
        <v>3362</v>
      </c>
      <c r="K31" s="667">
        <f>$T$31*'Revenue Worksheet'!L18</f>
        <v>3362</v>
      </c>
      <c r="L31" s="667">
        <f>$T$31*'Revenue Worksheet'!M18</f>
        <v>3362</v>
      </c>
      <c r="M31" s="667">
        <f>$T$31*'Revenue Worksheet'!N18</f>
        <v>3362</v>
      </c>
      <c r="N31" s="667">
        <f>$T$31*'Revenue Worksheet'!O18</f>
        <v>3362</v>
      </c>
      <c r="O31" s="664">
        <f t="shared" ref="O31" si="1">+SUBTOTAL(9,C31:N31)</f>
        <v>28372</v>
      </c>
      <c r="Q31" s="666"/>
      <c r="R31" s="62"/>
      <c r="S31" s="131" t="s">
        <v>138</v>
      </c>
      <c r="T31" s="669">
        <v>41</v>
      </c>
      <c r="V31" s="663"/>
    </row>
    <row r="32" spans="1:22">
      <c r="A32" s="319">
        <f>INDEX(QS_Chart_Of_Accounts_Upload!$C:$O,MATCH(B32,QS_Chart_Of_Accounts_Upload!$E:$E,0),MATCH("ACCT_NO",QS_Chart_Of_Accounts_Upload!$C$1:$O$1,0))</f>
        <v>4875</v>
      </c>
      <c r="B32" s="108" t="s">
        <v>271</v>
      </c>
      <c r="C32" s="604">
        <v>0</v>
      </c>
      <c r="D32" s="604">
        <v>0</v>
      </c>
      <c r="E32" s="604">
        <v>0</v>
      </c>
      <c r="F32" s="604">
        <v>0</v>
      </c>
      <c r="G32" s="604">
        <v>0</v>
      </c>
      <c r="H32" s="604">
        <v>0</v>
      </c>
      <c r="I32" s="604">
        <v>0</v>
      </c>
      <c r="J32" s="604">
        <v>0</v>
      </c>
      <c r="K32" s="604">
        <v>0</v>
      </c>
      <c r="L32" s="604">
        <v>0</v>
      </c>
      <c r="M32" s="604">
        <v>0</v>
      </c>
      <c r="N32" s="604">
        <v>0</v>
      </c>
      <c r="O32" s="664">
        <f t="shared" si="0"/>
        <v>0</v>
      </c>
      <c r="Q32" s="666"/>
      <c r="R32" s="62"/>
      <c r="S32" s="131"/>
      <c r="T32" s="108"/>
      <c r="V32" s="132"/>
    </row>
    <row r="33" spans="1:22">
      <c r="A33" s="319">
        <f>INDEX(QS_Chart_Of_Accounts_Upload!$C:$O,MATCH(B33,QS_Chart_Of_Accounts_Upload!$E:$E,0),MATCH("ACCT_NO",QS_Chart_Of_Accounts_Upload!$C$1:$O$1,0))</f>
        <v>4876</v>
      </c>
      <c r="B33" s="108" t="s">
        <v>272</v>
      </c>
      <c r="C33" s="667">
        <f>+$T$33*'GPR Worksheet'!$C$22</f>
        <v>83</v>
      </c>
      <c r="D33" s="604">
        <v>0</v>
      </c>
      <c r="E33" s="604">
        <v>0</v>
      </c>
      <c r="F33" s="667">
        <f>+$T$33*'GPR Worksheet'!$C$22</f>
        <v>83</v>
      </c>
      <c r="G33" s="604">
        <v>0</v>
      </c>
      <c r="H33" s="604">
        <v>0</v>
      </c>
      <c r="I33" s="667">
        <f>+$T$33*'GPR Worksheet'!$C$22</f>
        <v>83</v>
      </c>
      <c r="J33" s="604">
        <v>0</v>
      </c>
      <c r="K33" s="604">
        <v>0</v>
      </c>
      <c r="L33" s="667">
        <f>+$T$33*'GPR Worksheet'!$C$22</f>
        <v>83</v>
      </c>
      <c r="M33" s="604">
        <v>0</v>
      </c>
      <c r="N33" s="604">
        <v>0</v>
      </c>
      <c r="O33" s="664">
        <f t="shared" si="0"/>
        <v>332</v>
      </c>
      <c r="Q33" s="666"/>
      <c r="R33" s="62"/>
      <c r="S33" s="131" t="s">
        <v>138</v>
      </c>
      <c r="T33" s="669">
        <v>1</v>
      </c>
      <c r="V33" s="663"/>
    </row>
    <row r="34" spans="1:22">
      <c r="A34" s="319">
        <f>INDEX(QS_Chart_Of_Accounts_Upload!$C:$O,MATCH(B34,QS_Chart_Of_Accounts_Upload!$E:$E,0),MATCH("ACCT_NO",QS_Chart_Of_Accounts_Upload!$C$1:$O$1,0))</f>
        <v>4880</v>
      </c>
      <c r="B34" s="430" t="s">
        <v>201</v>
      </c>
      <c r="C34" s="604">
        <v>0</v>
      </c>
      <c r="D34" s="604">
        <v>0</v>
      </c>
      <c r="E34" s="604">
        <v>0</v>
      </c>
      <c r="F34" s="604">
        <v>0</v>
      </c>
      <c r="G34" s="604">
        <v>0</v>
      </c>
      <c r="H34" s="604">
        <v>0</v>
      </c>
      <c r="I34" s="604">
        <v>0</v>
      </c>
      <c r="J34" s="604">
        <v>0</v>
      </c>
      <c r="K34" s="604">
        <v>0</v>
      </c>
      <c r="L34" s="604">
        <v>0</v>
      </c>
      <c r="M34" s="604">
        <v>0</v>
      </c>
      <c r="N34" s="604">
        <v>0</v>
      </c>
      <c r="O34" s="664">
        <f t="shared" si="0"/>
        <v>0</v>
      </c>
      <c r="Q34" s="666"/>
      <c r="R34" s="62"/>
      <c r="S34" s="131"/>
      <c r="V34" s="663"/>
    </row>
    <row r="35" spans="1:22">
      <c r="A35" s="319">
        <f>INDEX(QS_Chart_Of_Accounts_Upload!$C:$O,MATCH(B35,QS_Chart_Of_Accounts_Upload!$E:$E,0),MATCH("ACCT_NO",QS_Chart_Of_Accounts_Upload!$C$1:$O$1,0))</f>
        <v>4885</v>
      </c>
      <c r="B35" s="108" t="s">
        <v>273</v>
      </c>
      <c r="C35" s="604">
        <v>0</v>
      </c>
      <c r="D35" s="604">
        <v>0</v>
      </c>
      <c r="E35" s="604">
        <v>0</v>
      </c>
      <c r="F35" s="604">
        <v>0</v>
      </c>
      <c r="G35" s="604">
        <v>0</v>
      </c>
      <c r="H35" s="604">
        <v>0</v>
      </c>
      <c r="I35" s="604">
        <v>0</v>
      </c>
      <c r="J35" s="604">
        <v>0</v>
      </c>
      <c r="K35" s="604">
        <v>0</v>
      </c>
      <c r="L35" s="604">
        <v>0</v>
      </c>
      <c r="M35" s="604">
        <v>0</v>
      </c>
      <c r="N35" s="604">
        <v>0</v>
      </c>
      <c r="O35" s="664">
        <f t="shared" si="0"/>
        <v>0</v>
      </c>
      <c r="Q35" s="666"/>
      <c r="R35" s="62"/>
      <c r="S35" s="131"/>
      <c r="V35" s="663"/>
    </row>
    <row r="36" spans="1:22" ht="14">
      <c r="A36" s="319">
        <f>INDEX(QS_Chart_Of_Accounts_Upload!$C:$O,MATCH(B36,QS_Chart_Of_Accounts_Upload!$E:$E,0),MATCH("ACCT_NO",QS_Chart_Of_Accounts_Upload!$C$1:$O$1,0))</f>
        <v>4890</v>
      </c>
      <c r="B36" s="108" t="s">
        <v>274</v>
      </c>
      <c r="C36" s="667">
        <f t="shared" ref="C36:N36" si="2">ROUND($T$36*$V$36*C37,0)</f>
        <v>0</v>
      </c>
      <c r="D36" s="667">
        <f t="shared" si="2"/>
        <v>0</v>
      </c>
      <c r="E36" s="667">
        <f t="shared" si="2"/>
        <v>0</v>
      </c>
      <c r="F36" s="667">
        <f t="shared" si="2"/>
        <v>0</v>
      </c>
      <c r="G36" s="667">
        <f t="shared" si="2"/>
        <v>0</v>
      </c>
      <c r="H36" s="667">
        <f t="shared" si="2"/>
        <v>0</v>
      </c>
      <c r="I36" s="667">
        <f t="shared" si="2"/>
        <v>0</v>
      </c>
      <c r="J36" s="667">
        <f t="shared" si="2"/>
        <v>0</v>
      </c>
      <c r="K36" s="667">
        <f t="shared" si="2"/>
        <v>0</v>
      </c>
      <c r="L36" s="667">
        <f t="shared" si="2"/>
        <v>0</v>
      </c>
      <c r="M36" s="667">
        <f t="shared" si="2"/>
        <v>0</v>
      </c>
      <c r="N36" s="667">
        <f t="shared" si="2"/>
        <v>0</v>
      </c>
      <c r="O36" s="664">
        <f t="shared" si="0"/>
        <v>0</v>
      </c>
      <c r="Q36" s="666" t="s">
        <v>274</v>
      </c>
      <c r="R36" s="62"/>
      <c r="S36" s="131" t="s">
        <v>163</v>
      </c>
      <c r="T36" s="676">
        <v>0</v>
      </c>
      <c r="U36" s="108" t="s">
        <v>164</v>
      </c>
      <c r="V36" s="677">
        <v>0</v>
      </c>
    </row>
    <row r="37" spans="1:22">
      <c r="B37" s="678" t="s">
        <v>165</v>
      </c>
      <c r="C37" s="679">
        <v>0.05</v>
      </c>
      <c r="D37" s="679">
        <v>0.1</v>
      </c>
      <c r="E37" s="679">
        <v>0.15</v>
      </c>
      <c r="F37" s="679">
        <v>0.2</v>
      </c>
      <c r="G37" s="679">
        <v>0.25</v>
      </c>
      <c r="H37" s="679">
        <v>0.3</v>
      </c>
      <c r="I37" s="679">
        <v>0.35</v>
      </c>
      <c r="J37" s="679">
        <v>0.4</v>
      </c>
      <c r="K37" s="679">
        <v>0.45</v>
      </c>
      <c r="L37" s="679">
        <v>0.5</v>
      </c>
      <c r="M37" s="679">
        <v>0.55000000000000004</v>
      </c>
      <c r="N37" s="679">
        <v>0.6</v>
      </c>
      <c r="O37" s="680"/>
      <c r="Q37" s="666"/>
      <c r="R37" s="62"/>
      <c r="S37" s="131"/>
      <c r="V37" s="663"/>
    </row>
    <row r="38" spans="1:22">
      <c r="A38" s="319">
        <f>INDEX(QS_Chart_Of_Accounts_Upload!$C:$O,MATCH(B38,QS_Chart_Of_Accounts_Upload!$E:$E,0),MATCH("ACCT_NO",QS_Chart_Of_Accounts_Upload!$C$1:$O$1,0))</f>
        <v>4891</v>
      </c>
      <c r="B38" s="108" t="s">
        <v>484</v>
      </c>
      <c r="C38" s="604">
        <v>0</v>
      </c>
      <c r="D38" s="604">
        <v>0</v>
      </c>
      <c r="E38" s="604">
        <v>0</v>
      </c>
      <c r="F38" s="604">
        <v>0</v>
      </c>
      <c r="G38" s="604">
        <v>0</v>
      </c>
      <c r="H38" s="604">
        <v>0</v>
      </c>
      <c r="I38" s="604">
        <v>0</v>
      </c>
      <c r="J38" s="604">
        <v>0</v>
      </c>
      <c r="K38" s="604">
        <v>0</v>
      </c>
      <c r="L38" s="604">
        <v>0</v>
      </c>
      <c r="M38" s="604">
        <v>0</v>
      </c>
      <c r="N38" s="604">
        <v>0</v>
      </c>
      <c r="O38" s="664">
        <f t="shared" ref="O38:O44" si="3">+SUBTOTAL(9,C38:N38)</f>
        <v>0</v>
      </c>
      <c r="Q38" s="666"/>
      <c r="R38" s="62"/>
      <c r="S38" s="131"/>
      <c r="V38" s="663"/>
    </row>
    <row r="39" spans="1:22">
      <c r="A39" s="319">
        <f>INDEX(QS_Chart_Of_Accounts_Upload!$C:$O,MATCH(B39,QS_Chart_Of_Accounts_Upload!$E:$E,0),MATCH("ACCT_NO",QS_Chart_Of_Accounts_Upload!$C$1:$O$1,0))</f>
        <v>4895</v>
      </c>
      <c r="B39" s="108" t="s">
        <v>50</v>
      </c>
      <c r="C39" s="667">
        <f>SUM($T$39*'Revenue Worksheet'!D19*Summary!$C$8)</f>
        <v>80</v>
      </c>
      <c r="D39" s="667">
        <f>SUM($T$39*'Revenue Worksheet'!E19*Summary!$C$8)</f>
        <v>92</v>
      </c>
      <c r="E39" s="667">
        <f>SUM($T$39*'Revenue Worksheet'!F19*Summary!$C$8)</f>
        <v>92</v>
      </c>
      <c r="F39" s="667">
        <f>SUM($T$39*'Revenue Worksheet'!G19*Summary!$C$8)</f>
        <v>92</v>
      </c>
      <c r="G39" s="667">
        <f>SUM($T$39*'Revenue Worksheet'!H19*Summary!$C$8)</f>
        <v>172</v>
      </c>
      <c r="H39" s="667">
        <f>SUM($T$39*'Revenue Worksheet'!I19*Summary!$C$8)</f>
        <v>272</v>
      </c>
      <c r="I39" s="667">
        <f>SUM($T$39*'Revenue Worksheet'!J19*Summary!$C$8)</f>
        <v>328</v>
      </c>
      <c r="J39" s="667">
        <f>SUM($T$39*'Revenue Worksheet'!K19*Summary!$C$8)</f>
        <v>328</v>
      </c>
      <c r="K39" s="667">
        <f>SUM($T$39*'Revenue Worksheet'!L19*Summary!$C$8)</f>
        <v>328</v>
      </c>
      <c r="L39" s="667">
        <f>SUM($T$39*'Revenue Worksheet'!M19*Summary!$C$8)</f>
        <v>328</v>
      </c>
      <c r="M39" s="667">
        <f>SUM($T$39*'Revenue Worksheet'!N19*Summary!$C$8)</f>
        <v>328</v>
      </c>
      <c r="N39" s="667">
        <f>SUM($T$39*'Revenue Worksheet'!O19*Summary!$C$8)</f>
        <v>328</v>
      </c>
      <c r="O39" s="664">
        <f t="shared" si="3"/>
        <v>2768</v>
      </c>
      <c r="Q39" s="666"/>
      <c r="R39" s="62"/>
      <c r="S39" s="131" t="s">
        <v>168</v>
      </c>
      <c r="T39" s="669">
        <v>4</v>
      </c>
      <c r="V39" s="663"/>
    </row>
    <row r="40" spans="1:22">
      <c r="A40" s="319">
        <f>INDEX(QS_Chart_Of_Accounts_Upload!$C:$O,MATCH(B40,QS_Chart_Of_Accounts_Upload!$E:$E,0),MATCH("ACCT_NO",QS_Chart_Of_Accounts_Upload!$C$1:$O$1,0))</f>
        <v>4900</v>
      </c>
      <c r="B40" s="108" t="s">
        <v>275</v>
      </c>
      <c r="C40" s="667">
        <f>$T$40*($V$40*'Revenue Worksheet'!D$16)</f>
        <v>1800</v>
      </c>
      <c r="D40" s="667">
        <f>$T$40*($V$40*'Revenue Worksheet'!E$16)</f>
        <v>270</v>
      </c>
      <c r="E40" s="667">
        <f>$T$40*($V$40*'Revenue Worksheet'!F$16)</f>
        <v>0</v>
      </c>
      <c r="F40" s="667">
        <f>$T$40*($V$40*'Revenue Worksheet'!G$16)</f>
        <v>0</v>
      </c>
      <c r="G40" s="667">
        <f>$T$40*($V$40*'Revenue Worksheet'!H$16)</f>
        <v>1800</v>
      </c>
      <c r="H40" s="667">
        <f>$T$40*($V$40*'Revenue Worksheet'!I$16)</f>
        <v>2250</v>
      </c>
      <c r="I40" s="667">
        <f>$T$40*($V$40*'Revenue Worksheet'!J$16)</f>
        <v>1260</v>
      </c>
      <c r="J40" s="667">
        <f>$T$40*($V$40*'Revenue Worksheet'!K$16)</f>
        <v>0</v>
      </c>
      <c r="K40" s="667">
        <f>$T$40*($V$40*'Revenue Worksheet'!L$16)</f>
        <v>0</v>
      </c>
      <c r="L40" s="667">
        <f>$T$40*($V$40*'Revenue Worksheet'!M$16)</f>
        <v>0</v>
      </c>
      <c r="M40" s="667">
        <f>$T$40*($V$40*'Revenue Worksheet'!N$16)</f>
        <v>0</v>
      </c>
      <c r="N40" s="667">
        <f>$T$40*($V$40*'Revenue Worksheet'!O$16)</f>
        <v>0</v>
      </c>
      <c r="O40" s="664">
        <f t="shared" si="3"/>
        <v>7380</v>
      </c>
      <c r="Q40" s="666"/>
      <c r="R40" s="62"/>
      <c r="S40" s="131" t="s">
        <v>480</v>
      </c>
      <c r="T40" s="669">
        <v>300</v>
      </c>
      <c r="U40" s="108" t="s">
        <v>481</v>
      </c>
      <c r="V40" s="675">
        <v>0.3</v>
      </c>
    </row>
    <row r="41" spans="1:22">
      <c r="A41" s="319">
        <f>INDEX(QS_Chart_Of_Accounts_Upload!$C:$O,MATCH(B41,QS_Chart_Of_Accounts_Upload!$E:$E,0),MATCH("ACCT_NO",QS_Chart_Of_Accounts_Upload!$C$1:$O$1,0))</f>
        <v>4900.1000000000004</v>
      </c>
      <c r="B41" s="108" t="s">
        <v>684</v>
      </c>
      <c r="C41" s="667">
        <f>$T$41*($V$41*'Revenue Worksheet'!D$18)</f>
        <v>150</v>
      </c>
      <c r="D41" s="667">
        <f>$T$41*($V$41*'Revenue Worksheet'!E$18)</f>
        <v>172.5</v>
      </c>
      <c r="E41" s="667">
        <f>$T$41*($V$41*'Revenue Worksheet'!F$18)</f>
        <v>172.5</v>
      </c>
      <c r="F41" s="667">
        <f>$T$41*($V$41*'Revenue Worksheet'!G$18)</f>
        <v>172.5</v>
      </c>
      <c r="G41" s="667">
        <f>$T$41*($V$41*'Revenue Worksheet'!H$18)</f>
        <v>322.5</v>
      </c>
      <c r="H41" s="667">
        <f>$T$41*($V$41*'Revenue Worksheet'!I$18)</f>
        <v>509.99999999999994</v>
      </c>
      <c r="I41" s="667">
        <f>$T$41*($V$41*'Revenue Worksheet'!J$18)</f>
        <v>615</v>
      </c>
      <c r="J41" s="667">
        <f>$T$41*($V$41*'Revenue Worksheet'!K$18)</f>
        <v>615</v>
      </c>
      <c r="K41" s="667">
        <f>$T$41*($V$41*'Revenue Worksheet'!L$18)</f>
        <v>615</v>
      </c>
      <c r="L41" s="667">
        <f>$T$41*($V$41*'Revenue Worksheet'!M$18)</f>
        <v>615</v>
      </c>
      <c r="M41" s="667">
        <f>$T$41*($V$41*'Revenue Worksheet'!N$18)</f>
        <v>615</v>
      </c>
      <c r="N41" s="667">
        <f>$T$41*($V$41*'Revenue Worksheet'!O$18)</f>
        <v>615</v>
      </c>
      <c r="O41" s="664">
        <f t="shared" si="3"/>
        <v>5190</v>
      </c>
      <c r="Q41" s="666"/>
      <c r="R41" s="62"/>
      <c r="S41" s="131" t="s">
        <v>10</v>
      </c>
      <c r="T41" s="669">
        <v>25</v>
      </c>
      <c r="U41" s="108" t="s">
        <v>482</v>
      </c>
      <c r="V41" s="675">
        <v>0.3</v>
      </c>
    </row>
    <row r="42" spans="1:22">
      <c r="A42" s="319">
        <f>INDEX(QS_Chart_Of_Accounts_Upload!$C:$O,MATCH(B42,QS_Chart_Of_Accounts_Upload!$E:$E,0),MATCH("ACCT_NO",QS_Chart_Of_Accounts_Upload!$C$1:$O$1,0))</f>
        <v>4901</v>
      </c>
      <c r="B42" s="108" t="s">
        <v>130</v>
      </c>
      <c r="C42" s="667">
        <f>$T$42*'Revenue Worksheet'!D$17</f>
        <v>0</v>
      </c>
      <c r="D42" s="667">
        <f>$T$42*'Revenue Worksheet'!E$17</f>
        <v>0</v>
      </c>
      <c r="E42" s="667">
        <f>$T$42*'Revenue Worksheet'!F$17</f>
        <v>0</v>
      </c>
      <c r="F42" s="667">
        <f>$T$42*'Revenue Worksheet'!G$17</f>
        <v>0</v>
      </c>
      <c r="G42" s="667">
        <f>$T$42*'Revenue Worksheet'!H$17</f>
        <v>0</v>
      </c>
      <c r="H42" s="667">
        <f>$T$42*'Revenue Worksheet'!I$17</f>
        <v>0</v>
      </c>
      <c r="I42" s="667">
        <f>$T$42*'Revenue Worksheet'!J$17</f>
        <v>0</v>
      </c>
      <c r="J42" s="667">
        <f>$T$42*'Revenue Worksheet'!K$17</f>
        <v>0</v>
      </c>
      <c r="K42" s="667">
        <f>$T$42*'Revenue Worksheet'!L$17</f>
        <v>0</v>
      </c>
      <c r="L42" s="667">
        <f>$T$42*'Revenue Worksheet'!M$17</f>
        <v>0</v>
      </c>
      <c r="M42" s="667">
        <f>$T$42*'Revenue Worksheet'!N$17</f>
        <v>0</v>
      </c>
      <c r="N42" s="667">
        <f>$T$42*'Revenue Worksheet'!O$17</f>
        <v>0</v>
      </c>
      <c r="O42" s="664">
        <f t="shared" si="3"/>
        <v>0</v>
      </c>
      <c r="Q42" s="668"/>
      <c r="R42" s="166"/>
      <c r="S42" s="131" t="s">
        <v>162</v>
      </c>
      <c r="T42" s="669">
        <v>95</v>
      </c>
      <c r="U42" s="450"/>
      <c r="V42" s="670"/>
    </row>
    <row r="43" spans="1:22">
      <c r="A43" s="319">
        <f>INDEX(QS_Chart_Of_Accounts_Upload!$C:$O,MATCH(B43,QS_Chart_Of_Accounts_Upload!$E:$E,0),MATCH("ACCT_NO",QS_Chart_Of_Accounts_Upload!$C$1:$O$1,0))</f>
        <v>4905</v>
      </c>
      <c r="B43" s="108" t="s">
        <v>276</v>
      </c>
      <c r="C43" s="604">
        <v>0</v>
      </c>
      <c r="D43" s="604">
        <v>0</v>
      </c>
      <c r="E43" s="604">
        <v>0</v>
      </c>
      <c r="F43" s="604">
        <v>0</v>
      </c>
      <c r="G43" s="604">
        <v>0</v>
      </c>
      <c r="H43" s="604">
        <v>0</v>
      </c>
      <c r="I43" s="604">
        <v>0</v>
      </c>
      <c r="J43" s="604">
        <v>0</v>
      </c>
      <c r="K43" s="604">
        <v>0</v>
      </c>
      <c r="L43" s="604">
        <v>0</v>
      </c>
      <c r="M43" s="604">
        <v>0</v>
      </c>
      <c r="N43" s="604">
        <v>0</v>
      </c>
      <c r="O43" s="664">
        <f t="shared" si="3"/>
        <v>0</v>
      </c>
      <c r="Q43" s="666"/>
      <c r="R43" s="62"/>
      <c r="S43" s="131"/>
      <c r="V43" s="663"/>
    </row>
    <row r="44" spans="1:22">
      <c r="A44" s="319">
        <f>INDEX(QS_Chart_Of_Accounts_Upload!$C:$O,MATCH(B44,QS_Chart_Of_Accounts_Upload!$E:$E,0),MATCH("ACCT_NO",QS_Chart_Of_Accounts_Upload!$C$1:$O$1,0))</f>
        <v>4910</v>
      </c>
      <c r="B44" s="108" t="s">
        <v>277</v>
      </c>
      <c r="C44" s="667">
        <f t="shared" ref="C44:N44" si="4">ROUND($T$44*$V$44*C45,0)</f>
        <v>81</v>
      </c>
      <c r="D44" s="667">
        <f t="shared" si="4"/>
        <v>163</v>
      </c>
      <c r="E44" s="667">
        <f t="shared" si="4"/>
        <v>244</v>
      </c>
      <c r="F44" s="667">
        <f t="shared" si="4"/>
        <v>325</v>
      </c>
      <c r="G44" s="667">
        <f t="shared" si="4"/>
        <v>406</v>
      </c>
      <c r="H44" s="667">
        <f t="shared" si="4"/>
        <v>488</v>
      </c>
      <c r="I44" s="667">
        <f t="shared" si="4"/>
        <v>569</v>
      </c>
      <c r="J44" s="667">
        <f t="shared" si="4"/>
        <v>650</v>
      </c>
      <c r="K44" s="667">
        <f t="shared" si="4"/>
        <v>731</v>
      </c>
      <c r="L44" s="667">
        <f t="shared" si="4"/>
        <v>813</v>
      </c>
      <c r="M44" s="667">
        <f t="shared" si="4"/>
        <v>894</v>
      </c>
      <c r="N44" s="667">
        <f t="shared" si="4"/>
        <v>975</v>
      </c>
      <c r="O44" s="664">
        <f t="shared" si="3"/>
        <v>6339</v>
      </c>
      <c r="Q44" s="666"/>
      <c r="R44" s="62"/>
      <c r="S44" s="131" t="s">
        <v>166</v>
      </c>
      <c r="T44" s="676">
        <v>25</v>
      </c>
      <c r="U44" s="108" t="s">
        <v>164</v>
      </c>
      <c r="V44" s="677">
        <v>65</v>
      </c>
    </row>
    <row r="45" spans="1:22">
      <c r="A45" s="319"/>
      <c r="B45" s="678" t="s">
        <v>167</v>
      </c>
      <c r="C45" s="679">
        <v>0.05</v>
      </c>
      <c r="D45" s="679">
        <v>0.1</v>
      </c>
      <c r="E45" s="679">
        <v>0.15</v>
      </c>
      <c r="F45" s="679">
        <v>0.2</v>
      </c>
      <c r="G45" s="679">
        <v>0.25</v>
      </c>
      <c r="H45" s="679">
        <v>0.3</v>
      </c>
      <c r="I45" s="679">
        <v>0.35</v>
      </c>
      <c r="J45" s="679">
        <v>0.4</v>
      </c>
      <c r="K45" s="679">
        <v>0.45</v>
      </c>
      <c r="L45" s="679">
        <v>0.5</v>
      </c>
      <c r="M45" s="679">
        <v>0.55000000000000004</v>
      </c>
      <c r="N45" s="679">
        <v>0.6</v>
      </c>
      <c r="O45" s="664"/>
      <c r="Q45" s="666"/>
      <c r="R45" s="62"/>
      <c r="S45" s="131"/>
      <c r="V45" s="681"/>
    </row>
    <row r="46" spans="1:22">
      <c r="A46" s="319">
        <f>INDEX(QS_Chart_Of_Accounts_Upload!$C:$O,MATCH(B46,QS_Chart_Of_Accounts_Upload!$E:$E,0),MATCH("ACCT_NO",QS_Chart_Of_Accounts_Upload!$C$1:$O$1,0))</f>
        <v>4911</v>
      </c>
      <c r="B46" s="108" t="s">
        <v>485</v>
      </c>
      <c r="C46" s="604">
        <v>0</v>
      </c>
      <c r="D46" s="604">
        <v>0</v>
      </c>
      <c r="E46" s="604">
        <v>0</v>
      </c>
      <c r="F46" s="604">
        <v>0</v>
      </c>
      <c r="G46" s="604">
        <v>0</v>
      </c>
      <c r="H46" s="604">
        <v>0</v>
      </c>
      <c r="I46" s="604">
        <v>0</v>
      </c>
      <c r="J46" s="604">
        <v>0</v>
      </c>
      <c r="K46" s="604">
        <v>0</v>
      </c>
      <c r="L46" s="604">
        <v>0</v>
      </c>
      <c r="M46" s="604">
        <v>0</v>
      </c>
      <c r="N46" s="604">
        <v>0</v>
      </c>
      <c r="O46" s="664">
        <f t="shared" ref="O46:O58" si="5">+SUBTOTAL(9,C46:N46)</f>
        <v>0</v>
      </c>
      <c r="Q46" s="666"/>
      <c r="R46" s="62"/>
      <c r="S46" s="131"/>
      <c r="V46" s="681"/>
    </row>
    <row r="47" spans="1:22">
      <c r="A47" s="319">
        <f>INDEX(QS_Chart_Of_Accounts_Upload!$C:$O,MATCH(B47,QS_Chart_Of_Accounts_Upload!$E:$E,0),MATCH("ACCT_NO",QS_Chart_Of_Accounts_Upload!$C$1:$O$1,0))</f>
        <v>4912</v>
      </c>
      <c r="B47" s="108" t="s">
        <v>278</v>
      </c>
      <c r="C47" s="604">
        <v>0</v>
      </c>
      <c r="D47" s="604">
        <v>0</v>
      </c>
      <c r="E47" s="604">
        <v>0</v>
      </c>
      <c r="F47" s="604">
        <v>0</v>
      </c>
      <c r="G47" s="604">
        <v>0</v>
      </c>
      <c r="H47" s="604">
        <v>0</v>
      </c>
      <c r="I47" s="604">
        <v>0</v>
      </c>
      <c r="J47" s="604">
        <v>0</v>
      </c>
      <c r="K47" s="604">
        <v>0</v>
      </c>
      <c r="L47" s="604">
        <v>0</v>
      </c>
      <c r="M47" s="604">
        <v>0</v>
      </c>
      <c r="N47" s="604">
        <v>0</v>
      </c>
      <c r="O47" s="664">
        <f t="shared" si="5"/>
        <v>0</v>
      </c>
      <c r="Q47" s="666"/>
      <c r="R47" s="62"/>
      <c r="S47" s="131"/>
      <c r="V47" s="663"/>
    </row>
    <row r="48" spans="1:22">
      <c r="A48" s="319">
        <f>INDEX(QS_Chart_Of_Accounts_Upload!$C:$O,MATCH(B48,QS_Chart_Of_Accounts_Upload!$E:$E,0),MATCH("ACCT_NO",QS_Chart_Of_Accounts_Upload!$C$1:$O$1,0))</f>
        <v>4920</v>
      </c>
      <c r="B48" s="108" t="s">
        <v>279</v>
      </c>
      <c r="C48" s="604">
        <v>0</v>
      </c>
      <c r="D48" s="604">
        <v>0</v>
      </c>
      <c r="E48" s="604">
        <v>0</v>
      </c>
      <c r="F48" s="604">
        <v>0</v>
      </c>
      <c r="G48" s="604">
        <v>0</v>
      </c>
      <c r="H48" s="604">
        <v>0</v>
      </c>
      <c r="I48" s="604">
        <v>0</v>
      </c>
      <c r="J48" s="604">
        <v>0</v>
      </c>
      <c r="K48" s="604">
        <v>0</v>
      </c>
      <c r="L48" s="604">
        <v>0</v>
      </c>
      <c r="M48" s="604">
        <v>0</v>
      </c>
      <c r="N48" s="604">
        <v>0</v>
      </c>
      <c r="O48" s="664">
        <f t="shared" si="5"/>
        <v>0</v>
      </c>
      <c r="Q48" s="666"/>
      <c r="R48" s="62"/>
      <c r="S48" s="131"/>
      <c r="V48" s="663"/>
    </row>
    <row r="49" spans="1:22">
      <c r="A49" s="319">
        <f>INDEX(QS_Chart_Of_Accounts_Upload!$C:$O,MATCH(B49,QS_Chart_Of_Accounts_Upload!$E:$E,0),MATCH("ACCT_NO",QS_Chart_Of_Accounts_Upload!$C$1:$O$1,0))</f>
        <v>4930</v>
      </c>
      <c r="B49" s="108" t="s">
        <v>280</v>
      </c>
      <c r="C49" s="667">
        <f>$T$49*'Revenue Worksheet'!D18</f>
        <v>500</v>
      </c>
      <c r="D49" s="667">
        <f>$T$49*'Revenue Worksheet'!E18</f>
        <v>575</v>
      </c>
      <c r="E49" s="667">
        <f>$T$49*'Revenue Worksheet'!F18</f>
        <v>575</v>
      </c>
      <c r="F49" s="667">
        <f>$T$49*'Revenue Worksheet'!G18</f>
        <v>575</v>
      </c>
      <c r="G49" s="667">
        <f>$T$49*'Revenue Worksheet'!H18</f>
        <v>1075</v>
      </c>
      <c r="H49" s="667">
        <f>$T$49*'Revenue Worksheet'!I18</f>
        <v>1700</v>
      </c>
      <c r="I49" s="667">
        <f>$T$49*'Revenue Worksheet'!J18</f>
        <v>2050</v>
      </c>
      <c r="J49" s="667">
        <f>$T$49*'Revenue Worksheet'!K18</f>
        <v>2050</v>
      </c>
      <c r="K49" s="667">
        <f>$T$49*'Revenue Worksheet'!L18</f>
        <v>2050</v>
      </c>
      <c r="L49" s="667">
        <f>$T$49*'Revenue Worksheet'!M18</f>
        <v>2050</v>
      </c>
      <c r="M49" s="667">
        <f>$T$49*'Revenue Worksheet'!N18</f>
        <v>2050</v>
      </c>
      <c r="N49" s="667">
        <f>$T$49*'Revenue Worksheet'!O18</f>
        <v>2050</v>
      </c>
      <c r="O49" s="664">
        <f t="shared" si="5"/>
        <v>17300</v>
      </c>
      <c r="Q49" s="666"/>
      <c r="R49" s="62"/>
      <c r="S49" s="131" t="s">
        <v>170</v>
      </c>
      <c r="T49" s="669">
        <v>25</v>
      </c>
      <c r="V49" s="663"/>
    </row>
    <row r="50" spans="1:22">
      <c r="A50" s="319">
        <f>INDEX(QS_Chart_Of_Accounts_Upload!$C:$O,MATCH(B50,QS_Chart_Of_Accounts_Upload!$E:$E,0),MATCH("ACCT_NO",QS_Chart_Of_Accounts_Upload!$C$1:$O$1,0))</f>
        <v>4932</v>
      </c>
      <c r="B50" s="108" t="s">
        <v>281</v>
      </c>
      <c r="C50" s="667">
        <f>SUM($T$50*'Revenue Worksheet'!D19*Summary!$C$8)</f>
        <v>99.999999999999986</v>
      </c>
      <c r="D50" s="667">
        <f>SUM($T$50*'Revenue Worksheet'!E19*Summary!$C$8)</f>
        <v>114.99999999999999</v>
      </c>
      <c r="E50" s="667">
        <f>SUM($T$50*'Revenue Worksheet'!F19*Summary!$C$8)</f>
        <v>114.99999999999999</v>
      </c>
      <c r="F50" s="667">
        <f>SUM($T$50*'Revenue Worksheet'!G19*Summary!$C$8)</f>
        <v>114.99999999999999</v>
      </c>
      <c r="G50" s="667">
        <f>SUM($T$50*'Revenue Worksheet'!H19*Summary!$C$8)</f>
        <v>215.00000000000003</v>
      </c>
      <c r="H50" s="667">
        <f>SUM($T$50*'Revenue Worksheet'!I19*Summary!$C$8)</f>
        <v>339.99999999999994</v>
      </c>
      <c r="I50" s="667">
        <f>SUM($T$50*'Revenue Worksheet'!J19*Summary!$C$8)</f>
        <v>410</v>
      </c>
      <c r="J50" s="667">
        <f>SUM($T$50*'Revenue Worksheet'!K19*Summary!$C$8)</f>
        <v>410</v>
      </c>
      <c r="K50" s="667">
        <f>SUM($T$50*'Revenue Worksheet'!L19*Summary!$C$8)</f>
        <v>410</v>
      </c>
      <c r="L50" s="667">
        <f>SUM($T$50*'Revenue Worksheet'!M19*Summary!$C$8)</f>
        <v>410</v>
      </c>
      <c r="M50" s="667">
        <f>SUM($T$50*'Revenue Worksheet'!N19*Summary!$C$8)</f>
        <v>410</v>
      </c>
      <c r="N50" s="667">
        <f>SUM($T$50*'Revenue Worksheet'!O19*Summary!$C$8)</f>
        <v>410</v>
      </c>
      <c r="O50" s="664">
        <f t="shared" si="5"/>
        <v>3460</v>
      </c>
      <c r="Q50" s="666"/>
      <c r="R50" s="62"/>
      <c r="S50" s="131" t="s">
        <v>169</v>
      </c>
      <c r="T50" s="669">
        <v>5</v>
      </c>
      <c r="V50" s="663"/>
    </row>
    <row r="51" spans="1:22">
      <c r="A51" s="319">
        <f>INDEX(QS_Chart_Of_Accounts_Upload!$C:$O,MATCH(B51,QS_Chart_Of_Accounts_Upload!$E:$E,0),MATCH("ACCT_NO",QS_Chart_Of_Accounts_Upload!$C$1:$O$1,0))</f>
        <v>4940</v>
      </c>
      <c r="B51" s="108" t="s">
        <v>282</v>
      </c>
      <c r="C51" s="667">
        <f>SUM($T$51*'Revenue Worksheet'!D18)</f>
        <v>75</v>
      </c>
      <c r="D51" s="667">
        <f>SUM($T$51*'Revenue Worksheet'!E18)</f>
        <v>86.25</v>
      </c>
      <c r="E51" s="667">
        <f>SUM($T$51*'Revenue Worksheet'!F18)</f>
        <v>86.25</v>
      </c>
      <c r="F51" s="667">
        <f>SUM($T$51*'Revenue Worksheet'!G18)</f>
        <v>86.25</v>
      </c>
      <c r="G51" s="667">
        <f>SUM($T$51*'Revenue Worksheet'!H18)</f>
        <v>161.25</v>
      </c>
      <c r="H51" s="667">
        <f>SUM($T$51*'Revenue Worksheet'!I18)</f>
        <v>255</v>
      </c>
      <c r="I51" s="667">
        <f>SUM($T$51*'Revenue Worksheet'!J18)</f>
        <v>307.5</v>
      </c>
      <c r="J51" s="667">
        <f>SUM($T$51*'Revenue Worksheet'!K18)</f>
        <v>307.5</v>
      </c>
      <c r="K51" s="667">
        <f>SUM($T$51*'Revenue Worksheet'!L18)</f>
        <v>307.5</v>
      </c>
      <c r="L51" s="667">
        <f>SUM($T$51*'Revenue Worksheet'!M18)</f>
        <v>307.5</v>
      </c>
      <c r="M51" s="667">
        <f>SUM($T$51*'Revenue Worksheet'!N18)</f>
        <v>307.5</v>
      </c>
      <c r="N51" s="667">
        <f>SUM($T$51*'Revenue Worksheet'!O18)</f>
        <v>307.5</v>
      </c>
      <c r="O51" s="664">
        <f t="shared" si="5"/>
        <v>2595</v>
      </c>
      <c r="Q51" s="666"/>
      <c r="R51" s="62"/>
      <c r="S51" s="131" t="s">
        <v>171</v>
      </c>
      <c r="T51" s="682">
        <v>3.75</v>
      </c>
      <c r="V51" s="663"/>
    </row>
    <row r="52" spans="1:22">
      <c r="A52" s="319">
        <f>INDEX(QS_Chart_Of_Accounts_Upload!$C:$O,MATCH(B52,QS_Chart_Of_Accounts_Upload!$E:$E,0),MATCH("ACCT_NO",QS_Chart_Of_Accounts_Upload!$C$1:$O$1,0))</f>
        <v>4942</v>
      </c>
      <c r="B52" s="108" t="s">
        <v>283</v>
      </c>
      <c r="C52" s="604">
        <v>0</v>
      </c>
      <c r="D52" s="604">
        <v>0</v>
      </c>
      <c r="E52" s="604">
        <v>0</v>
      </c>
      <c r="F52" s="604">
        <v>0</v>
      </c>
      <c r="G52" s="604">
        <v>0</v>
      </c>
      <c r="H52" s="604">
        <v>0</v>
      </c>
      <c r="I52" s="604">
        <v>0</v>
      </c>
      <c r="J52" s="604">
        <v>0</v>
      </c>
      <c r="K52" s="604">
        <v>0</v>
      </c>
      <c r="L52" s="604">
        <v>0</v>
      </c>
      <c r="M52" s="604">
        <v>0</v>
      </c>
      <c r="N52" s="604">
        <v>0</v>
      </c>
      <c r="O52" s="664">
        <f t="shared" si="5"/>
        <v>0</v>
      </c>
      <c r="Q52" s="666"/>
      <c r="R52" s="62"/>
      <c r="S52" s="131"/>
      <c r="V52" s="663"/>
    </row>
    <row r="53" spans="1:22">
      <c r="A53" s="319">
        <f>INDEX(QS_Chart_Of_Accounts_Upload!$C:$O,MATCH(B53,QS_Chart_Of_Accounts_Upload!$E:$E,0),MATCH("ACCT_NO",QS_Chart_Of_Accounts_Upload!$C$1:$O$1,0))</f>
        <v>4945</v>
      </c>
      <c r="B53" s="108" t="s">
        <v>486</v>
      </c>
      <c r="C53" s="604">
        <v>0</v>
      </c>
      <c r="D53" s="604">
        <v>0</v>
      </c>
      <c r="E53" s="604">
        <v>0</v>
      </c>
      <c r="F53" s="604">
        <v>0</v>
      </c>
      <c r="G53" s="604">
        <v>0</v>
      </c>
      <c r="H53" s="604">
        <v>0</v>
      </c>
      <c r="I53" s="604">
        <v>0</v>
      </c>
      <c r="J53" s="604">
        <v>0</v>
      </c>
      <c r="K53" s="604">
        <v>0</v>
      </c>
      <c r="L53" s="604">
        <v>0</v>
      </c>
      <c r="M53" s="604">
        <v>0</v>
      </c>
      <c r="N53" s="604">
        <v>0</v>
      </c>
      <c r="O53" s="664">
        <f t="shared" si="5"/>
        <v>0</v>
      </c>
      <c r="Q53" s="666"/>
      <c r="R53" s="62"/>
      <c r="S53" s="131"/>
      <c r="V53" s="663"/>
    </row>
    <row r="54" spans="1:22">
      <c r="A54" s="319">
        <f>INDEX(QS_Chart_Of_Accounts_Upload!$C:$O,MATCH(B54,QS_Chart_Of_Accounts_Upload!$E:$E,0),MATCH("ACCT_NO",QS_Chart_Of_Accounts_Upload!$C$1:$O$1,0))</f>
        <v>4950</v>
      </c>
      <c r="B54" s="108" t="s">
        <v>284</v>
      </c>
      <c r="C54" s="604">
        <v>0</v>
      </c>
      <c r="D54" s="604">
        <v>0</v>
      </c>
      <c r="E54" s="604">
        <v>0</v>
      </c>
      <c r="F54" s="604">
        <v>0</v>
      </c>
      <c r="G54" s="604">
        <v>0</v>
      </c>
      <c r="H54" s="604">
        <v>0</v>
      </c>
      <c r="I54" s="604">
        <v>0</v>
      </c>
      <c r="J54" s="604">
        <v>0</v>
      </c>
      <c r="K54" s="604">
        <v>0</v>
      </c>
      <c r="L54" s="604">
        <v>0</v>
      </c>
      <c r="M54" s="604">
        <v>0</v>
      </c>
      <c r="N54" s="604">
        <v>0</v>
      </c>
      <c r="O54" s="664">
        <f t="shared" si="5"/>
        <v>0</v>
      </c>
      <c r="Q54" s="666"/>
      <c r="R54" s="62"/>
      <c r="S54" s="131"/>
      <c r="V54" s="663"/>
    </row>
    <row r="55" spans="1:22">
      <c r="A55" s="319">
        <f>INDEX(QS_Chart_Of_Accounts_Upload!$C:$O,MATCH(B55,QS_Chart_Of_Accounts_Upload!$E:$E,0),MATCH("ACCT_NO",QS_Chart_Of_Accounts_Upload!$C$1:$O$1,0))</f>
        <v>4970</v>
      </c>
      <c r="B55" s="108" t="s">
        <v>285</v>
      </c>
      <c r="C55" s="604">
        <v>0</v>
      </c>
      <c r="D55" s="604">
        <v>0</v>
      </c>
      <c r="E55" s="604">
        <v>0</v>
      </c>
      <c r="F55" s="604">
        <v>0</v>
      </c>
      <c r="G55" s="604">
        <v>0</v>
      </c>
      <c r="H55" s="604">
        <v>0</v>
      </c>
      <c r="I55" s="604">
        <v>0</v>
      </c>
      <c r="J55" s="604">
        <v>0</v>
      </c>
      <c r="K55" s="604">
        <v>0</v>
      </c>
      <c r="L55" s="604">
        <v>0</v>
      </c>
      <c r="M55" s="604">
        <v>0</v>
      </c>
      <c r="N55" s="604">
        <v>0</v>
      </c>
      <c r="O55" s="664">
        <f t="shared" si="5"/>
        <v>0</v>
      </c>
      <c r="Q55" s="666"/>
      <c r="R55" s="62"/>
      <c r="S55" s="131"/>
      <c r="V55" s="663"/>
    </row>
    <row r="56" spans="1:22">
      <c r="A56" s="319">
        <f>INDEX(QS_Chart_Of_Accounts_Upload!$C:$O,MATCH(B56,QS_Chart_Of_Accounts_Upload!$E:$E,0),MATCH("ACCT_NO",QS_Chart_Of_Accounts_Upload!$C$1:$O$1,0))</f>
        <v>4980</v>
      </c>
      <c r="B56" s="108" t="s">
        <v>132</v>
      </c>
      <c r="C56" s="667">
        <f>+$T$56*'Operating Expenses'!C13</f>
        <v>480</v>
      </c>
      <c r="D56" s="667">
        <f>+$T$56*'Operating Expenses'!D13</f>
        <v>552</v>
      </c>
      <c r="E56" s="667">
        <f>+$T$56*'Operating Expenses'!E13</f>
        <v>552</v>
      </c>
      <c r="F56" s="667">
        <f>+$T$56*'Operating Expenses'!F13</f>
        <v>552</v>
      </c>
      <c r="G56" s="667">
        <f>+$T$56*'Operating Expenses'!G13</f>
        <v>1032</v>
      </c>
      <c r="H56" s="667">
        <f>+$T$56*'Operating Expenses'!H13</f>
        <v>1632</v>
      </c>
      <c r="I56" s="667">
        <f>+$T$56*'Operating Expenses'!I13</f>
        <v>1968</v>
      </c>
      <c r="J56" s="667">
        <f>+$T$56*'Operating Expenses'!J13</f>
        <v>1968</v>
      </c>
      <c r="K56" s="667">
        <f>+$T$56*'Operating Expenses'!K13</f>
        <v>1968</v>
      </c>
      <c r="L56" s="667">
        <f>+$T$56*'Operating Expenses'!L13</f>
        <v>1968</v>
      </c>
      <c r="M56" s="667">
        <f>+$T$56*'Operating Expenses'!M13</f>
        <v>1968</v>
      </c>
      <c r="N56" s="667">
        <f>+$T$56*'Operating Expenses'!N13</f>
        <v>1968</v>
      </c>
      <c r="O56" s="664">
        <f t="shared" si="5"/>
        <v>16608</v>
      </c>
      <c r="Q56" s="62"/>
      <c r="R56" s="62"/>
      <c r="S56" s="131" t="s">
        <v>172</v>
      </c>
      <c r="T56" s="683">
        <v>0.8</v>
      </c>
      <c r="V56" s="663"/>
    </row>
    <row r="57" spans="1:22">
      <c r="A57" s="319">
        <f>INDEX(QS_Chart_Of_Accounts_Upload!$C:$O,MATCH(B57,QS_Chart_Of_Accounts_Upload!$E:$E,0),MATCH("ACCT_NO",QS_Chart_Of_Accounts_Upload!$C$1:$O$1,0))</f>
        <v>4990</v>
      </c>
      <c r="B57" s="108" t="s">
        <v>286</v>
      </c>
      <c r="C57" s="604">
        <v>0</v>
      </c>
      <c r="D57" s="604">
        <v>0</v>
      </c>
      <c r="E57" s="604">
        <v>0</v>
      </c>
      <c r="F57" s="604">
        <v>0</v>
      </c>
      <c r="G57" s="604">
        <v>0</v>
      </c>
      <c r="H57" s="604">
        <v>0</v>
      </c>
      <c r="I57" s="604">
        <v>0</v>
      </c>
      <c r="J57" s="604">
        <v>0</v>
      </c>
      <c r="K57" s="604">
        <v>0</v>
      </c>
      <c r="L57" s="604">
        <v>0</v>
      </c>
      <c r="M57" s="604">
        <v>0</v>
      </c>
      <c r="N57" s="604">
        <v>0</v>
      </c>
      <c r="O57" s="664">
        <f t="shared" si="5"/>
        <v>0</v>
      </c>
      <c r="Q57" s="666"/>
      <c r="R57" s="452"/>
      <c r="S57" s="131"/>
      <c r="V57" s="663"/>
    </row>
    <row r="58" spans="1:22">
      <c r="A58" s="319">
        <f>INDEX(QS_Chart_Of_Accounts_Upload!$C:$O,MATCH(B58,QS_Chart_Of_Accounts_Upload!$E:$E,0),MATCH("ACCT_NO",QS_Chart_Of_Accounts_Upload!$C$1:$O$1,0))</f>
        <v>4991</v>
      </c>
      <c r="B58" s="108" t="s">
        <v>685</v>
      </c>
      <c r="C58" s="604">
        <v>0</v>
      </c>
      <c r="D58" s="604">
        <v>0</v>
      </c>
      <c r="E58" s="604">
        <v>0</v>
      </c>
      <c r="F58" s="604">
        <v>0</v>
      </c>
      <c r="G58" s="604">
        <v>0</v>
      </c>
      <c r="H58" s="604">
        <v>0</v>
      </c>
      <c r="I58" s="604">
        <v>0</v>
      </c>
      <c r="J58" s="604">
        <v>0</v>
      </c>
      <c r="K58" s="604">
        <v>0</v>
      </c>
      <c r="L58" s="604">
        <v>0</v>
      </c>
      <c r="M58" s="604">
        <v>0</v>
      </c>
      <c r="N58" s="604">
        <v>0</v>
      </c>
      <c r="O58" s="664">
        <f t="shared" si="5"/>
        <v>0</v>
      </c>
      <c r="Q58" s="668"/>
      <c r="R58" s="405"/>
      <c r="S58" s="131"/>
      <c r="V58" s="663"/>
    </row>
    <row r="59" spans="1:22">
      <c r="A59" s="319"/>
      <c r="C59" s="684"/>
      <c r="D59" s="684"/>
      <c r="E59" s="684"/>
      <c r="F59" s="684"/>
      <c r="G59" s="684"/>
      <c r="H59" s="684"/>
      <c r="I59" s="684"/>
      <c r="J59" s="684"/>
      <c r="K59" s="684"/>
      <c r="L59" s="684"/>
      <c r="M59" s="684"/>
      <c r="N59" s="684"/>
      <c r="O59" s="685"/>
      <c r="Q59" s="686"/>
      <c r="R59" s="405"/>
      <c r="S59" s="639"/>
      <c r="T59" s="511"/>
      <c r="U59" s="101"/>
      <c r="V59" s="687"/>
    </row>
    <row r="60" spans="1:22" ht="14" thickBot="1">
      <c r="C60" s="688">
        <f t="shared" ref="C60:N60" si="6">SUM(C7:C36,C38:C44,C46:C58)</f>
        <v>10760.955421686747</v>
      </c>
      <c r="D60" s="688">
        <f t="shared" si="6"/>
        <v>6049.4987349397588</v>
      </c>
      <c r="E60" s="688">
        <f t="shared" si="6"/>
        <v>5185.4987349397588</v>
      </c>
      <c r="F60" s="688">
        <f t="shared" si="6"/>
        <v>5349.4987349397588</v>
      </c>
      <c r="G60" s="688">
        <f t="shared" si="6"/>
        <v>15944.454156626505</v>
      </c>
      <c r="H60" s="688">
        <f t="shared" si="6"/>
        <v>22972.648433734939</v>
      </c>
      <c r="I60" s="688">
        <f t="shared" si="6"/>
        <v>22679.517228915662</v>
      </c>
      <c r="J60" s="688">
        <f t="shared" si="6"/>
        <v>18267.517228915662</v>
      </c>
      <c r="K60" s="688">
        <f t="shared" si="6"/>
        <v>18348.517228915662</v>
      </c>
      <c r="L60" s="688">
        <f t="shared" si="6"/>
        <v>18513.517228915662</v>
      </c>
      <c r="M60" s="688">
        <f t="shared" si="6"/>
        <v>18511.517228915662</v>
      </c>
      <c r="N60" s="688">
        <f t="shared" si="6"/>
        <v>18592.517228915662</v>
      </c>
      <c r="O60" s="689">
        <f>+SUBTOTAL(9,C60:N60)</f>
        <v>181175.65759036143</v>
      </c>
    </row>
    <row r="61" spans="1:22" ht="14" thickTop="1"/>
  </sheetData>
  <mergeCells count="2">
    <mergeCell ref="S7:V7"/>
    <mergeCell ref="S5:V5"/>
  </mergeCells>
  <pageMargins left="0.7" right="0.7" top="0.75" bottom="0.75" header="0.3" footer="0.3"/>
  <pageSetup scale="4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L162"/>
  <sheetViews>
    <sheetView showGridLines="0" zoomScale="80" zoomScaleNormal="80" workbookViewId="0">
      <selection activeCell="C67" sqref="C67"/>
    </sheetView>
  </sheetViews>
  <sheetFormatPr baseColWidth="10" defaultColWidth="9.1640625" defaultRowHeight="13"/>
  <cols>
    <col min="1" max="1" width="9.1640625" style="108"/>
    <col min="2" max="2" width="31.6640625" style="108" customWidth="1"/>
    <col min="3" max="3" width="9.83203125" style="108" bestFit="1" customWidth="1"/>
    <col min="4" max="6" width="9.83203125" style="108" customWidth="1"/>
    <col min="7" max="13" width="9.83203125" style="108" bestFit="1" customWidth="1"/>
    <col min="14" max="14" width="10" style="108" bestFit="1" customWidth="1"/>
    <col min="15" max="15" width="12.5" style="108" customWidth="1"/>
    <col min="16" max="16" width="2.83203125" style="108" customWidth="1"/>
    <col min="17" max="17" width="50.83203125" style="108" customWidth="1"/>
    <col min="18" max="18" width="2.1640625" style="108" customWidth="1"/>
    <col min="19" max="19" width="25.83203125" style="108" customWidth="1"/>
    <col min="20" max="20" width="9.1640625" style="462"/>
    <col min="21" max="21" width="23.6640625" style="108" bestFit="1" customWidth="1"/>
    <col min="22" max="22" width="10.1640625" style="108" bestFit="1" customWidth="1"/>
    <col min="23" max="23" width="17.33203125" style="108" bestFit="1" customWidth="1"/>
    <col min="24" max="24" width="9.33203125" style="108" bestFit="1" customWidth="1"/>
    <col min="25" max="25" width="13.5" style="108" bestFit="1" customWidth="1"/>
    <col min="26" max="26" width="9.1640625" style="108"/>
    <col min="27" max="27" width="25.33203125" style="108" bestFit="1" customWidth="1"/>
    <col min="28" max="28" width="9.1640625" style="108"/>
    <col min="29" max="29" width="27.33203125" style="108" bestFit="1" customWidth="1"/>
    <col min="30" max="31" width="9.1640625" style="108"/>
    <col min="32" max="32" width="15.6640625" style="108" hidden="1" customWidth="1"/>
    <col min="33" max="35" width="9.1640625" style="108" hidden="1" customWidth="1"/>
    <col min="36" max="36" width="9.1640625" style="108"/>
    <col min="37" max="38" width="0" style="108" hidden="1" customWidth="1"/>
    <col min="39" max="16384" width="9.1640625" style="108"/>
  </cols>
  <sheetData>
    <row r="1" spans="1:24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Operating Expenses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</row>
    <row r="3" spans="1:24">
      <c r="A3" s="525"/>
      <c r="B3" s="525"/>
      <c r="C3" s="525"/>
      <c r="D3" s="525"/>
      <c r="E3" s="525"/>
      <c r="F3" s="525"/>
      <c r="G3" s="525"/>
      <c r="H3" s="525"/>
      <c r="I3" s="525"/>
      <c r="J3" s="525"/>
      <c r="K3" s="525"/>
      <c r="L3" s="525"/>
      <c r="M3" s="525"/>
      <c r="N3" s="525"/>
      <c r="O3" s="525"/>
      <c r="P3" s="525"/>
      <c r="Q3" s="525"/>
      <c r="R3" s="525"/>
      <c r="S3" s="525"/>
      <c r="T3" s="580"/>
    </row>
    <row r="4" spans="1:24" s="697" customFormat="1">
      <c r="A4" s="690" t="s">
        <v>206</v>
      </c>
      <c r="B4" s="691" t="s">
        <v>37</v>
      </c>
      <c r="C4" s="692">
        <f>'Operating Budget'!F4</f>
        <v>45901</v>
      </c>
      <c r="D4" s="692">
        <f>'Operating Budget'!G4</f>
        <v>45961</v>
      </c>
      <c r="E4" s="692">
        <f>'Operating Budget'!H4</f>
        <v>45991</v>
      </c>
      <c r="F4" s="692">
        <f>'Operating Budget'!I4</f>
        <v>46022</v>
      </c>
      <c r="G4" s="692">
        <f>'Operating Budget'!J4</f>
        <v>46053</v>
      </c>
      <c r="H4" s="692">
        <f>'Operating Budget'!K4</f>
        <v>46081</v>
      </c>
      <c r="I4" s="692">
        <f>'Operating Budget'!L4</f>
        <v>46112</v>
      </c>
      <c r="J4" s="692">
        <f>'Operating Budget'!M4</f>
        <v>46142</v>
      </c>
      <c r="K4" s="692">
        <f>'Operating Budget'!N4</f>
        <v>46173</v>
      </c>
      <c r="L4" s="692">
        <f>'Operating Budget'!O4</f>
        <v>46203</v>
      </c>
      <c r="M4" s="692">
        <f>'Operating Budget'!P4</f>
        <v>46234</v>
      </c>
      <c r="N4" s="692">
        <f>'Operating Budget'!Q4</f>
        <v>46265</v>
      </c>
      <c r="O4" s="693" t="str">
        <f>'Operating Budget'!R4</f>
        <v>Year 1 Total</v>
      </c>
      <c r="P4" s="694"/>
      <c r="Q4" s="695" t="s">
        <v>23</v>
      </c>
      <c r="R4" s="696"/>
      <c r="S4" s="1085" t="s">
        <v>924</v>
      </c>
      <c r="T4" s="1086"/>
      <c r="U4" s="1086"/>
      <c r="V4" s="1086"/>
      <c r="W4" s="1086"/>
      <c r="X4" s="1087"/>
    </row>
    <row r="5" spans="1:24" ht="4.5" customHeight="1">
      <c r="A5" s="698"/>
      <c r="B5" s="427"/>
      <c r="C5" s="699"/>
      <c r="D5" s="699"/>
      <c r="E5" s="699"/>
      <c r="F5" s="699"/>
      <c r="G5" s="699"/>
      <c r="H5" s="699"/>
      <c r="I5" s="699"/>
      <c r="J5" s="699"/>
      <c r="K5" s="699"/>
      <c r="L5" s="699"/>
      <c r="M5" s="699"/>
      <c r="N5" s="699"/>
      <c r="O5" s="700"/>
      <c r="P5" s="442"/>
      <c r="Q5" s="701"/>
      <c r="R5" s="426"/>
      <c r="S5" s="428"/>
      <c r="T5" s="461"/>
      <c r="X5" s="132"/>
    </row>
    <row r="6" spans="1:24">
      <c r="A6" s="319">
        <f>INDEX(QS_Chart_Of_Accounts_Upload!$C:$O,MATCH(B6,QS_Chart_Of_Accounts_Upload!$E:$E,0),MATCH("ACCT_NO",QS_Chart_Of_Accounts_Upload!$C$1:$O$1,0))</f>
        <v>7000</v>
      </c>
      <c r="B6" s="439" t="s">
        <v>353</v>
      </c>
      <c r="C6" s="704">
        <f>+$T$6*(1/3)</f>
        <v>433.33333333333331</v>
      </c>
      <c r="D6" s="704">
        <f t="shared" ref="D6:F6" si="0">+$T$6*(1/3)</f>
        <v>433.33333333333331</v>
      </c>
      <c r="E6" s="704">
        <f t="shared" si="0"/>
        <v>433.33333333333331</v>
      </c>
      <c r="F6" s="704">
        <f t="shared" si="0"/>
        <v>433.33333333333331</v>
      </c>
      <c r="G6" s="704">
        <f t="shared" ref="G6:N6" si="1">+$T$6</f>
        <v>1300</v>
      </c>
      <c r="H6" s="704">
        <f t="shared" si="1"/>
        <v>1300</v>
      </c>
      <c r="I6" s="704">
        <f t="shared" si="1"/>
        <v>1300</v>
      </c>
      <c r="J6" s="704">
        <f t="shared" si="1"/>
        <v>1300</v>
      </c>
      <c r="K6" s="704">
        <f t="shared" si="1"/>
        <v>1300</v>
      </c>
      <c r="L6" s="704">
        <f t="shared" si="1"/>
        <v>1300</v>
      </c>
      <c r="M6" s="704">
        <f t="shared" si="1"/>
        <v>1300</v>
      </c>
      <c r="N6" s="704">
        <f t="shared" si="1"/>
        <v>1300</v>
      </c>
      <c r="O6" s="703">
        <f t="shared" ref="O6:O13" si="2">+SUBTOTAL(9,C6:N6)</f>
        <v>12133.333333333332</v>
      </c>
      <c r="P6" s="442"/>
      <c r="Q6" s="1034"/>
      <c r="R6" s="447"/>
      <c r="S6" s="428" t="s">
        <v>941</v>
      </c>
      <c r="T6" s="705">
        <v>1300</v>
      </c>
      <c r="X6" s="132"/>
    </row>
    <row r="7" spans="1:24">
      <c r="A7" s="319">
        <f>INDEX(QS_Chart_Of_Accounts_Upload!$C:$O,MATCH(B7,QS_Chart_Of_Accounts_Upload!$E:$E,0),MATCH("ACCT_NO",QS_Chart_Of_Accounts_Upload!$C$1:$O$1,0))</f>
        <v>7005</v>
      </c>
      <c r="B7" s="430" t="s">
        <v>355</v>
      </c>
      <c r="C7" s="702">
        <v>0</v>
      </c>
      <c r="D7" s="702">
        <v>0</v>
      </c>
      <c r="E7" s="702">
        <v>0</v>
      </c>
      <c r="F7" s="702">
        <v>0</v>
      </c>
      <c r="G7" s="702">
        <v>0</v>
      </c>
      <c r="H7" s="702">
        <v>0</v>
      </c>
      <c r="I7" s="702">
        <v>0</v>
      </c>
      <c r="J7" s="702">
        <v>0</v>
      </c>
      <c r="K7" s="702">
        <v>0</v>
      </c>
      <c r="L7" s="702">
        <v>0</v>
      </c>
      <c r="M7" s="702">
        <v>0</v>
      </c>
      <c r="N7" s="702">
        <v>0</v>
      </c>
      <c r="O7" s="703">
        <f t="shared" si="2"/>
        <v>0</v>
      </c>
      <c r="P7" s="442"/>
      <c r="Q7" s="621"/>
      <c r="R7" s="447"/>
      <c r="S7" s="131"/>
      <c r="X7" s="132"/>
    </row>
    <row r="8" spans="1:24">
      <c r="A8" s="319">
        <f>INDEX(QS_Chart_Of_Accounts_Upload!$C:$O,MATCH(B8,QS_Chart_Of_Accounts_Upload!$E:$E,0),MATCH("ACCT_NO",QS_Chart_Of_Accounts_Upload!$C$1:$O$1,0))</f>
        <v>7010</v>
      </c>
      <c r="B8" s="430" t="s">
        <v>356</v>
      </c>
      <c r="C8" s="704">
        <f>13*T8</f>
        <v>650</v>
      </c>
      <c r="D8" s="704">
        <f>3*T8</f>
        <v>150</v>
      </c>
      <c r="E8" s="704">
        <v>0</v>
      </c>
      <c r="F8" s="704">
        <v>0</v>
      </c>
      <c r="G8" s="704">
        <f>14*T8</f>
        <v>700</v>
      </c>
      <c r="H8" s="704">
        <f>25*T8</f>
        <v>1250</v>
      </c>
      <c r="I8" s="704">
        <f>7*T8</f>
        <v>350</v>
      </c>
      <c r="J8" s="704">
        <f>SUM($T$8*('Revenue Worksheet'!K53*Summary!$C$8))</f>
        <v>50.000000000000156</v>
      </c>
      <c r="K8" s="704">
        <f>SUM($T$8*('Revenue Worksheet'!L53*Summary!$C$8))</f>
        <v>50.000000000000156</v>
      </c>
      <c r="L8" s="704">
        <f>SUM($T$8*('Revenue Worksheet'!M53*Summary!$C$8))</f>
        <v>50.000000000000156</v>
      </c>
      <c r="M8" s="704">
        <f>SUM($T$8*('Revenue Worksheet'!N53*Summary!$C$8))</f>
        <v>50.000000000000156</v>
      </c>
      <c r="N8" s="704">
        <f>SUM($T$8*('Revenue Worksheet'!O53*Summary!$C$8))</f>
        <v>50.000000000000156</v>
      </c>
      <c r="O8" s="703">
        <f t="shared" si="2"/>
        <v>3350</v>
      </c>
      <c r="P8" s="442"/>
      <c r="Q8" s="621"/>
      <c r="R8" s="447"/>
      <c r="S8" s="428" t="s">
        <v>173</v>
      </c>
      <c r="T8" s="705">
        <v>50</v>
      </c>
      <c r="X8" s="132"/>
    </row>
    <row r="9" spans="1:24">
      <c r="A9" s="319">
        <f>INDEX(QS_Chart_Of_Accounts_Upload!$C:$O,MATCH(B9,QS_Chart_Of_Accounts_Upload!$E:$E,0),MATCH("ACCT_NO",QS_Chart_Of_Accounts_Upload!$C$1:$O$1,0))</f>
        <v>7015</v>
      </c>
      <c r="B9" s="430" t="s">
        <v>357</v>
      </c>
      <c r="C9" s="706">
        <f t="shared" ref="C9:N9" si="3">+$T$9</f>
        <v>100</v>
      </c>
      <c r="D9" s="706">
        <f t="shared" si="3"/>
        <v>100</v>
      </c>
      <c r="E9" s="706">
        <f t="shared" si="3"/>
        <v>100</v>
      </c>
      <c r="F9" s="706">
        <f t="shared" si="3"/>
        <v>100</v>
      </c>
      <c r="G9" s="706">
        <f t="shared" si="3"/>
        <v>100</v>
      </c>
      <c r="H9" s="706">
        <f t="shared" si="3"/>
        <v>100</v>
      </c>
      <c r="I9" s="706">
        <f t="shared" si="3"/>
        <v>100</v>
      </c>
      <c r="J9" s="706">
        <f t="shared" si="3"/>
        <v>100</v>
      </c>
      <c r="K9" s="706">
        <f t="shared" si="3"/>
        <v>100</v>
      </c>
      <c r="L9" s="706">
        <f t="shared" si="3"/>
        <v>100</v>
      </c>
      <c r="M9" s="706">
        <f t="shared" si="3"/>
        <v>100</v>
      </c>
      <c r="N9" s="706">
        <f t="shared" si="3"/>
        <v>100</v>
      </c>
      <c r="O9" s="703">
        <f t="shared" si="2"/>
        <v>1200</v>
      </c>
      <c r="P9" s="442"/>
      <c r="Q9" s="621"/>
      <c r="R9" s="447"/>
      <c r="S9" s="428" t="s">
        <v>929</v>
      </c>
      <c r="T9" s="705">
        <v>100</v>
      </c>
      <c r="X9" s="132"/>
    </row>
    <row r="10" spans="1:24">
      <c r="A10" s="319">
        <f>INDEX(QS_Chart_Of_Accounts_Upload!$C:$O,MATCH(B10,QS_Chart_Of_Accounts_Upload!$E:$E,0),MATCH("ACCT_NO",QS_Chart_Of_Accounts_Upload!$C$1:$O$1,0))</f>
        <v>7017</v>
      </c>
      <c r="B10" s="439" t="s">
        <v>358</v>
      </c>
      <c r="C10" s="704">
        <f>$T$10*'Revenue Worksheet'!D18</f>
        <v>75</v>
      </c>
      <c r="D10" s="704">
        <f>$T$10*'Revenue Worksheet'!E18</f>
        <v>86.25</v>
      </c>
      <c r="E10" s="704">
        <f>$T$10*'Revenue Worksheet'!F18</f>
        <v>86.25</v>
      </c>
      <c r="F10" s="704">
        <f>$T$10*'Revenue Worksheet'!G18</f>
        <v>86.25</v>
      </c>
      <c r="G10" s="704">
        <f>$T$10*'Revenue Worksheet'!H18</f>
        <v>161.25</v>
      </c>
      <c r="H10" s="704">
        <f>$T$10*'Revenue Worksheet'!I18</f>
        <v>255</v>
      </c>
      <c r="I10" s="704">
        <f>$T$10*'Revenue Worksheet'!J18</f>
        <v>307.5</v>
      </c>
      <c r="J10" s="704">
        <f>$T$10*'Revenue Worksheet'!K18</f>
        <v>307.5</v>
      </c>
      <c r="K10" s="704">
        <f>$T$10*'Revenue Worksheet'!L18</f>
        <v>307.5</v>
      </c>
      <c r="L10" s="704">
        <f>$T$10*'Revenue Worksheet'!M18</f>
        <v>307.5</v>
      </c>
      <c r="M10" s="704">
        <f>$T$10*'Revenue Worksheet'!N18</f>
        <v>307.5</v>
      </c>
      <c r="N10" s="704">
        <f>$T$10*'Revenue Worksheet'!O18</f>
        <v>307.5</v>
      </c>
      <c r="O10" s="703">
        <f t="shared" si="2"/>
        <v>2595</v>
      </c>
      <c r="P10" s="442"/>
      <c r="Q10" s="621"/>
      <c r="R10" s="447"/>
      <c r="S10" s="428" t="s">
        <v>171</v>
      </c>
      <c r="T10" s="707">
        <v>3.75</v>
      </c>
      <c r="X10" s="132"/>
    </row>
    <row r="11" spans="1:24">
      <c r="A11" s="319">
        <f>INDEX(QS_Chart_Of_Accounts_Upload!$C:$O,MATCH(B11,QS_Chart_Of_Accounts_Upload!$E:$E,0),MATCH("ACCT_NO",QS_Chart_Of_Accounts_Upload!$C$1:$O$1,0))</f>
        <v>7020</v>
      </c>
      <c r="B11" s="430" t="s">
        <v>359</v>
      </c>
      <c r="C11" s="708">
        <v>0</v>
      </c>
      <c r="D11" s="708">
        <v>0</v>
      </c>
      <c r="E11" s="708">
        <v>0</v>
      </c>
      <c r="F11" s="708">
        <v>0</v>
      </c>
      <c r="G11" s="708">
        <v>0</v>
      </c>
      <c r="H11" s="708">
        <v>0</v>
      </c>
      <c r="I11" s="708">
        <v>0</v>
      </c>
      <c r="J11" s="708">
        <v>0</v>
      </c>
      <c r="K11" s="708">
        <v>0</v>
      </c>
      <c r="L11" s="708">
        <v>0</v>
      </c>
      <c r="M11" s="708">
        <v>0</v>
      </c>
      <c r="N11" s="708">
        <v>0</v>
      </c>
      <c r="O11" s="703">
        <f t="shared" si="2"/>
        <v>0</v>
      </c>
      <c r="P11" s="442"/>
      <c r="Q11" s="621"/>
      <c r="R11" s="447"/>
      <c r="S11" s="428"/>
      <c r="T11" s="461"/>
      <c r="X11" s="132"/>
    </row>
    <row r="12" spans="1:24">
      <c r="A12" s="319">
        <f>INDEX(QS_Chart_Of_Accounts_Upload!$C:$O,MATCH(B12,QS_Chart_Of_Accounts_Upload!$E:$E,0),MATCH("ACCT_NO",QS_Chart_Of_Accounts_Upload!$C$1:$O$1,0))</f>
        <v>7030</v>
      </c>
      <c r="B12" s="430" t="s">
        <v>360</v>
      </c>
      <c r="C12" s="708">
        <v>0</v>
      </c>
      <c r="D12" s="708">
        <v>0</v>
      </c>
      <c r="E12" s="708">
        <v>0</v>
      </c>
      <c r="F12" s="708">
        <v>0</v>
      </c>
      <c r="G12" s="708">
        <v>0</v>
      </c>
      <c r="H12" s="708">
        <v>0</v>
      </c>
      <c r="I12" s="708">
        <v>0</v>
      </c>
      <c r="J12" s="708">
        <v>0</v>
      </c>
      <c r="K12" s="708">
        <v>0</v>
      </c>
      <c r="L12" s="708">
        <v>0</v>
      </c>
      <c r="M12" s="708">
        <v>0</v>
      </c>
      <c r="N12" s="708">
        <v>0</v>
      </c>
      <c r="O12" s="703">
        <f t="shared" si="2"/>
        <v>0</v>
      </c>
      <c r="P12" s="442"/>
      <c r="Q12" s="621"/>
      <c r="R12" s="447"/>
      <c r="S12" s="428"/>
      <c r="T12" s="461"/>
      <c r="X12" s="132"/>
    </row>
    <row r="13" spans="1:24" ht="14">
      <c r="A13" s="319">
        <f>INDEX(QS_Chart_Of_Accounts_Upload!$C:$O,MATCH(B13,QS_Chart_Of_Accounts_Upload!$E:$E,0),MATCH("ACCT_NO",QS_Chart_Of_Accounts_Upload!$C$1:$O$1,0))</f>
        <v>7060</v>
      </c>
      <c r="B13" s="439" t="s">
        <v>362</v>
      </c>
      <c r="C13" s="704">
        <f>+$T$13*'Revenue Worksheet'!D18</f>
        <v>600</v>
      </c>
      <c r="D13" s="704">
        <f>+$T$13*'Revenue Worksheet'!E18</f>
        <v>690</v>
      </c>
      <c r="E13" s="704">
        <f>+$T$13*'Revenue Worksheet'!F18</f>
        <v>690</v>
      </c>
      <c r="F13" s="704">
        <f>+$T$13*'Revenue Worksheet'!G18</f>
        <v>690</v>
      </c>
      <c r="G13" s="704">
        <f>+$T$13*'Revenue Worksheet'!H18</f>
        <v>1290</v>
      </c>
      <c r="H13" s="704">
        <f>+$T$13*'Revenue Worksheet'!I18</f>
        <v>2040</v>
      </c>
      <c r="I13" s="704">
        <f>+$T$13*'Revenue Worksheet'!J18</f>
        <v>2460</v>
      </c>
      <c r="J13" s="704">
        <f>+$T$13*'Revenue Worksheet'!K18</f>
        <v>2460</v>
      </c>
      <c r="K13" s="704">
        <f>+$T$13*'Revenue Worksheet'!L18</f>
        <v>2460</v>
      </c>
      <c r="L13" s="704">
        <f>+$T$13*'Revenue Worksheet'!M18</f>
        <v>2460</v>
      </c>
      <c r="M13" s="704">
        <f>+$T$13*'Revenue Worksheet'!N18</f>
        <v>2460</v>
      </c>
      <c r="N13" s="704">
        <f>+$T$13*'Revenue Worksheet'!O18</f>
        <v>2460</v>
      </c>
      <c r="O13" s="703">
        <f t="shared" si="2"/>
        <v>20760</v>
      </c>
      <c r="P13" s="442"/>
      <c r="Q13" s="621" t="s">
        <v>913</v>
      </c>
      <c r="R13" s="447"/>
      <c r="S13" s="428" t="s">
        <v>928</v>
      </c>
      <c r="T13" s="709">
        <v>30</v>
      </c>
      <c r="X13" s="132"/>
    </row>
    <row r="14" spans="1:24">
      <c r="A14" s="319"/>
      <c r="B14" s="439"/>
      <c r="C14" s="710"/>
      <c r="D14" s="710"/>
      <c r="E14" s="710"/>
      <c r="F14" s="710"/>
      <c r="G14" s="710"/>
      <c r="H14" s="710"/>
      <c r="I14" s="710"/>
      <c r="J14" s="710"/>
      <c r="K14" s="710"/>
      <c r="L14" s="710"/>
      <c r="M14" s="710"/>
      <c r="N14" s="710"/>
      <c r="O14" s="711"/>
      <c r="P14" s="442"/>
      <c r="Q14" s="621"/>
      <c r="R14" s="447"/>
      <c r="S14" s="428"/>
      <c r="T14" s="461"/>
      <c r="X14" s="132"/>
    </row>
    <row r="15" spans="1:24">
      <c r="A15" s="319"/>
      <c r="B15" s="439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712"/>
      <c r="P15" s="456"/>
      <c r="Q15" s="621"/>
      <c r="R15" s="447"/>
      <c r="S15" s="428"/>
      <c r="T15" s="461"/>
      <c r="X15" s="132"/>
    </row>
    <row r="16" spans="1:24" ht="14" thickBot="1">
      <c r="A16" s="319"/>
      <c r="B16" s="463" t="s">
        <v>35</v>
      </c>
      <c r="C16" s="688">
        <f t="shared" ref="C16:N16" si="4">SUM(C5:C15)</f>
        <v>1858.3333333333333</v>
      </c>
      <c r="D16" s="688">
        <f t="shared" si="4"/>
        <v>1459.5833333333333</v>
      </c>
      <c r="E16" s="688">
        <f t="shared" si="4"/>
        <v>1309.5833333333333</v>
      </c>
      <c r="F16" s="688">
        <f t="shared" si="4"/>
        <v>1309.5833333333333</v>
      </c>
      <c r="G16" s="688">
        <f t="shared" si="4"/>
        <v>3551.25</v>
      </c>
      <c r="H16" s="688">
        <f t="shared" si="4"/>
        <v>4945</v>
      </c>
      <c r="I16" s="688">
        <f t="shared" si="4"/>
        <v>4517.5</v>
      </c>
      <c r="J16" s="688">
        <f t="shared" si="4"/>
        <v>4217.5</v>
      </c>
      <c r="K16" s="688">
        <f t="shared" si="4"/>
        <v>4217.5</v>
      </c>
      <c r="L16" s="688">
        <f t="shared" si="4"/>
        <v>4217.5</v>
      </c>
      <c r="M16" s="688">
        <f t="shared" si="4"/>
        <v>4217.5</v>
      </c>
      <c r="N16" s="688">
        <f t="shared" si="4"/>
        <v>4217.5</v>
      </c>
      <c r="O16" s="689">
        <f>+SUBTOTAL(9,C16:N16)</f>
        <v>40038.333333333328</v>
      </c>
      <c r="P16" s="713"/>
      <c r="Q16" s="278"/>
      <c r="S16" s="714"/>
      <c r="T16" s="715"/>
      <c r="U16" s="101"/>
      <c r="V16" s="101"/>
      <c r="W16" s="101"/>
      <c r="X16" s="640"/>
    </row>
    <row r="17" spans="1:30" ht="14" thickTop="1"/>
    <row r="19" spans="1:30">
      <c r="A19" s="525"/>
      <c r="B19" s="525"/>
      <c r="C19" s="525"/>
      <c r="D19" s="525"/>
      <c r="E19" s="525"/>
      <c r="F19" s="525"/>
      <c r="G19" s="525"/>
      <c r="H19" s="525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80"/>
    </row>
    <row r="20" spans="1:30" s="697" customFormat="1">
      <c r="A20" s="690" t="s">
        <v>206</v>
      </c>
      <c r="B20" s="691" t="s">
        <v>5</v>
      </c>
      <c r="C20" s="692">
        <f>'Operating Budget'!F4</f>
        <v>45901</v>
      </c>
      <c r="D20" s="692">
        <f>'Operating Budget'!G4</f>
        <v>45961</v>
      </c>
      <c r="E20" s="692">
        <f>'Operating Budget'!H4</f>
        <v>45991</v>
      </c>
      <c r="F20" s="692">
        <f>'Operating Budget'!I4</f>
        <v>46022</v>
      </c>
      <c r="G20" s="692">
        <f>'Operating Budget'!J4</f>
        <v>46053</v>
      </c>
      <c r="H20" s="692">
        <f>'Operating Budget'!K4</f>
        <v>46081</v>
      </c>
      <c r="I20" s="692">
        <f>'Operating Budget'!L4</f>
        <v>46112</v>
      </c>
      <c r="J20" s="692">
        <f>'Operating Budget'!M4</f>
        <v>46142</v>
      </c>
      <c r="K20" s="692">
        <f>'Operating Budget'!N4</f>
        <v>46173</v>
      </c>
      <c r="L20" s="692">
        <f>'Operating Budget'!O4</f>
        <v>46203</v>
      </c>
      <c r="M20" s="692">
        <f>'Operating Budget'!P4</f>
        <v>46234</v>
      </c>
      <c r="N20" s="692">
        <f>'Operating Budget'!Q4</f>
        <v>46265</v>
      </c>
      <c r="O20" s="693" t="str">
        <f>'Operating Budget'!R4</f>
        <v>Year 1 Total</v>
      </c>
      <c r="P20" s="694"/>
      <c r="Q20" s="695" t="s">
        <v>23</v>
      </c>
      <c r="R20" s="1085" t="s">
        <v>924</v>
      </c>
      <c r="S20" s="1086"/>
      <c r="T20" s="1086"/>
      <c r="U20" s="1086"/>
      <c r="V20" s="1086"/>
      <c r="W20" s="1086"/>
      <c r="X20" s="1086"/>
      <c r="Y20" s="1086"/>
      <c r="Z20" s="1086"/>
      <c r="AA20" s="1086"/>
      <c r="AB20" s="1086"/>
      <c r="AC20" s="1086"/>
      <c r="AD20" s="1087"/>
    </row>
    <row r="21" spans="1:30" ht="6" customHeight="1">
      <c r="A21" s="319"/>
      <c r="B21" s="427"/>
      <c r="C21" s="699"/>
      <c r="D21" s="699"/>
      <c r="E21" s="699"/>
      <c r="F21" s="699"/>
      <c r="G21" s="699"/>
      <c r="H21" s="699"/>
      <c r="I21" s="699"/>
      <c r="J21" s="699"/>
      <c r="K21" s="699"/>
      <c r="L21" s="699"/>
      <c r="M21" s="699"/>
      <c r="N21" s="699"/>
      <c r="O21" s="700"/>
      <c r="P21" s="442"/>
      <c r="Q21" s="716"/>
      <c r="R21" s="757"/>
      <c r="S21" s="2"/>
      <c r="T21" s="461"/>
      <c r="AD21" s="132"/>
    </row>
    <row r="22" spans="1:30">
      <c r="A22" s="319">
        <f>INDEX(QS_Chart_Of_Accounts_Upload!$C:$O,MATCH(B22,QS_Chart_Of_Accounts_Upload!$E:$E,0),MATCH("ACCT_NO",QS_Chart_Of_Accounts_Upload!$C$1:$O$1,0))</f>
        <v>7200</v>
      </c>
      <c r="B22" s="430" t="s">
        <v>363</v>
      </c>
      <c r="C22" s="708">
        <v>0</v>
      </c>
      <c r="D22" s="708">
        <v>0</v>
      </c>
      <c r="E22" s="708">
        <v>0</v>
      </c>
      <c r="F22" s="708">
        <v>0</v>
      </c>
      <c r="G22" s="708">
        <v>0</v>
      </c>
      <c r="H22" s="708">
        <v>0</v>
      </c>
      <c r="I22" s="708">
        <v>0</v>
      </c>
      <c r="J22" s="708">
        <v>0</v>
      </c>
      <c r="K22" s="708">
        <v>0</v>
      </c>
      <c r="L22" s="708">
        <v>0</v>
      </c>
      <c r="M22" s="708">
        <v>0</v>
      </c>
      <c r="N22" s="708">
        <v>0</v>
      </c>
      <c r="O22" s="703">
        <f t="shared" ref="O22:O63" si="5">+SUBTOTAL(9,C22:N22)</f>
        <v>0</v>
      </c>
      <c r="P22" s="717"/>
      <c r="Q22" s="62"/>
      <c r="R22" s="62"/>
      <c r="AD22" s="132"/>
    </row>
    <row r="23" spans="1:30">
      <c r="A23" s="319">
        <f>INDEX(QS_Chart_Of_Accounts_Upload!$C:$O,MATCH(B23,QS_Chart_Of_Accounts_Upload!$E:$E,0),MATCH("ACCT_NO",QS_Chart_Of_Accounts_Upload!$C$1:$O$1,0))</f>
        <v>7210</v>
      </c>
      <c r="B23" s="1027" t="s">
        <v>365</v>
      </c>
      <c r="C23" s="708">
        <v>0</v>
      </c>
      <c r="D23" s="708">
        <v>0</v>
      </c>
      <c r="E23" s="708">
        <v>0</v>
      </c>
      <c r="F23" s="708">
        <v>0</v>
      </c>
      <c r="G23" s="708">
        <v>0</v>
      </c>
      <c r="H23" s="708">
        <v>0</v>
      </c>
      <c r="I23" s="708">
        <v>0</v>
      </c>
      <c r="J23" s="708">
        <v>0</v>
      </c>
      <c r="K23" s="708">
        <v>0</v>
      </c>
      <c r="L23" s="708">
        <v>0</v>
      </c>
      <c r="M23" s="708">
        <v>0</v>
      </c>
      <c r="N23" s="708">
        <v>0</v>
      </c>
      <c r="O23" s="703">
        <f t="shared" ref="O23" si="6">+SUBTOTAL(9,C23:N23)</f>
        <v>0</v>
      </c>
      <c r="P23" s="717"/>
      <c r="Q23" s="62"/>
      <c r="R23" s="62"/>
      <c r="U23"/>
      <c r="V23"/>
      <c r="W23"/>
      <c r="X23"/>
      <c r="Y23"/>
      <c r="AD23" s="132"/>
    </row>
    <row r="24" spans="1:30">
      <c r="A24" s="319">
        <f>INDEX(QS_Chart_Of_Accounts_Upload!$C:$O,MATCH(B24,QS_Chart_Of_Accounts_Upload!$E:$E,0),MATCH("ACCT_NO",QS_Chart_Of_Accounts_Upload!$C$1:$O$1,0))</f>
        <v>7220</v>
      </c>
      <c r="B24" s="430" t="s">
        <v>12</v>
      </c>
      <c r="C24" s="708">
        <v>0</v>
      </c>
      <c r="D24" s="708">
        <v>0</v>
      </c>
      <c r="E24" s="708">
        <v>0</v>
      </c>
      <c r="F24" s="708">
        <v>0</v>
      </c>
      <c r="G24" s="708">
        <v>0</v>
      </c>
      <c r="H24" s="708">
        <v>0</v>
      </c>
      <c r="I24" s="708">
        <v>0</v>
      </c>
      <c r="J24" s="708">
        <v>0</v>
      </c>
      <c r="K24" s="708">
        <v>0</v>
      </c>
      <c r="L24" s="708">
        <v>0</v>
      </c>
      <c r="M24" s="708">
        <v>0</v>
      </c>
      <c r="N24" s="708">
        <v>0</v>
      </c>
      <c r="O24" s="703">
        <f t="shared" si="5"/>
        <v>0</v>
      </c>
      <c r="P24" s="717"/>
      <c r="Q24" s="62"/>
      <c r="R24" s="62"/>
      <c r="AD24" s="132"/>
    </row>
    <row r="25" spans="1:30">
      <c r="A25" s="319">
        <f>INDEX(QS_Chart_Of_Accounts_Upload!$C:$O,MATCH(B25,QS_Chart_Of_Accounts_Upload!$E:$E,0),MATCH("ACCT_NO",QS_Chart_Of_Accounts_Upload!$C$1:$O$1,0))</f>
        <v>7230</v>
      </c>
      <c r="B25" s="430" t="s">
        <v>366</v>
      </c>
      <c r="C25" s="704">
        <f t="shared" ref="C25:N25" si="7">+$T$25</f>
        <v>150</v>
      </c>
      <c r="D25" s="704">
        <f t="shared" si="7"/>
        <v>150</v>
      </c>
      <c r="E25" s="704">
        <f t="shared" si="7"/>
        <v>150</v>
      </c>
      <c r="F25" s="704">
        <f t="shared" si="7"/>
        <v>150</v>
      </c>
      <c r="G25" s="704">
        <f t="shared" si="7"/>
        <v>150</v>
      </c>
      <c r="H25" s="704">
        <f t="shared" si="7"/>
        <v>150</v>
      </c>
      <c r="I25" s="704">
        <f t="shared" si="7"/>
        <v>150</v>
      </c>
      <c r="J25" s="704">
        <f t="shared" si="7"/>
        <v>150</v>
      </c>
      <c r="K25" s="704">
        <f t="shared" si="7"/>
        <v>150</v>
      </c>
      <c r="L25" s="704">
        <f t="shared" si="7"/>
        <v>150</v>
      </c>
      <c r="M25" s="704">
        <f t="shared" si="7"/>
        <v>150</v>
      </c>
      <c r="N25" s="704">
        <f t="shared" si="7"/>
        <v>150</v>
      </c>
      <c r="O25" s="703">
        <f t="shared" si="5"/>
        <v>1800</v>
      </c>
      <c r="P25" s="717"/>
      <c r="Q25" s="62"/>
      <c r="R25" s="62"/>
      <c r="S25" s="108" t="s">
        <v>941</v>
      </c>
      <c r="T25" s="709">
        <v>150</v>
      </c>
      <c r="AD25" s="132"/>
    </row>
    <row r="26" spans="1:30">
      <c r="A26" s="319">
        <f>INDEX(QS_Chart_Of_Accounts_Upload!$C:$O,MATCH(B26,QS_Chart_Of_Accounts_Upload!$E:$E,0),MATCH("ACCT_NO",QS_Chart_Of_Accounts_Upload!$C$1:$O$1,0))</f>
        <v>7235</v>
      </c>
      <c r="B26" s="430" t="s">
        <v>367</v>
      </c>
      <c r="C26" s="708">
        <v>100</v>
      </c>
      <c r="D26" s="708">
        <v>100</v>
      </c>
      <c r="E26" s="708">
        <v>100</v>
      </c>
      <c r="F26" s="708">
        <v>150</v>
      </c>
      <c r="G26" s="708">
        <v>150</v>
      </c>
      <c r="H26" s="708">
        <v>150</v>
      </c>
      <c r="I26" s="708">
        <v>150</v>
      </c>
      <c r="J26" s="708">
        <v>300</v>
      </c>
      <c r="K26" s="708">
        <v>300</v>
      </c>
      <c r="L26" s="708">
        <v>300</v>
      </c>
      <c r="M26" s="708">
        <v>350</v>
      </c>
      <c r="N26" s="708">
        <v>350</v>
      </c>
      <c r="O26" s="703">
        <f t="shared" si="5"/>
        <v>2500</v>
      </c>
      <c r="P26" s="717"/>
      <c r="Q26" s="62"/>
      <c r="R26" s="62"/>
      <c r="AD26" s="132"/>
    </row>
    <row r="27" spans="1:30">
      <c r="A27" s="319">
        <f>INDEX(QS_Chart_Of_Accounts_Upload!$C:$O,MATCH(B27,QS_Chart_Of_Accounts_Upload!$E:$E,0),MATCH("ACCT_NO",QS_Chart_Of_Accounts_Upload!$C$1:$O$1,0))</f>
        <v>7237</v>
      </c>
      <c r="B27" s="430" t="s">
        <v>136</v>
      </c>
      <c r="C27" s="708">
        <v>0</v>
      </c>
      <c r="D27" s="708">
        <v>0</v>
      </c>
      <c r="E27" s="708">
        <v>0</v>
      </c>
      <c r="F27" s="708">
        <v>0</v>
      </c>
      <c r="G27" s="708">
        <v>0</v>
      </c>
      <c r="H27" s="708">
        <v>0</v>
      </c>
      <c r="I27" s="708">
        <v>0</v>
      </c>
      <c r="J27" s="708">
        <v>0</v>
      </c>
      <c r="K27" s="708">
        <v>0</v>
      </c>
      <c r="L27" s="708">
        <v>0</v>
      </c>
      <c r="M27" s="708">
        <v>0</v>
      </c>
      <c r="N27" s="708">
        <v>0</v>
      </c>
      <c r="O27" s="703">
        <f t="shared" si="5"/>
        <v>0</v>
      </c>
      <c r="P27" s="717"/>
      <c r="Q27" s="62"/>
      <c r="R27" s="62"/>
      <c r="AD27" s="132"/>
    </row>
    <row r="28" spans="1:30">
      <c r="A28" s="319">
        <f>INDEX(QS_Chart_Of_Accounts_Upload!$C:$O,MATCH(B28,QS_Chart_Of_Accounts_Upload!$E:$E,0),MATCH("ACCT_NO",QS_Chart_Of_Accounts_Upload!$C$1:$O$1,0))</f>
        <v>7240</v>
      </c>
      <c r="B28" s="430" t="s">
        <v>368</v>
      </c>
      <c r="C28" s="708">
        <v>125</v>
      </c>
      <c r="D28" s="708">
        <v>125</v>
      </c>
      <c r="E28" s="708">
        <v>125</v>
      </c>
      <c r="F28" s="708">
        <v>125</v>
      </c>
      <c r="G28" s="708">
        <v>125</v>
      </c>
      <c r="H28" s="708">
        <v>125</v>
      </c>
      <c r="I28" s="708">
        <v>125</v>
      </c>
      <c r="J28" s="708">
        <v>125</v>
      </c>
      <c r="K28" s="708">
        <v>125</v>
      </c>
      <c r="L28" s="708">
        <v>125</v>
      </c>
      <c r="M28" s="708">
        <v>125</v>
      </c>
      <c r="N28" s="708">
        <v>125</v>
      </c>
      <c r="O28" s="703">
        <f t="shared" si="5"/>
        <v>1500</v>
      </c>
      <c r="P28" s="717"/>
      <c r="Q28" s="62"/>
      <c r="R28" s="62"/>
      <c r="AD28" s="132"/>
    </row>
    <row r="29" spans="1:30">
      <c r="A29" s="319">
        <f>INDEX(QS_Chart_Of_Accounts_Upload!$C:$O,MATCH(B29,QS_Chart_Of_Accounts_Upload!$E:$E,0),MATCH("ACCT_NO",QS_Chart_Of_Accounts_Upload!$C$1:$O$1,0))</f>
        <v>7251</v>
      </c>
      <c r="B29" s="430" t="s">
        <v>369</v>
      </c>
      <c r="C29" s="708">
        <v>0</v>
      </c>
      <c r="D29" s="708">
        <v>0</v>
      </c>
      <c r="E29" s="708">
        <v>0</v>
      </c>
      <c r="F29" s="708">
        <v>0</v>
      </c>
      <c r="G29" s="708">
        <v>0</v>
      </c>
      <c r="H29" s="708">
        <v>0</v>
      </c>
      <c r="I29" s="708">
        <v>0</v>
      </c>
      <c r="J29" s="708">
        <v>0</v>
      </c>
      <c r="K29" s="708">
        <v>0</v>
      </c>
      <c r="L29" s="708">
        <v>0</v>
      </c>
      <c r="M29" s="708">
        <v>0</v>
      </c>
      <c r="N29" s="708">
        <v>0</v>
      </c>
      <c r="O29" s="703">
        <f t="shared" si="5"/>
        <v>0</v>
      </c>
      <c r="P29" s="717"/>
      <c r="Q29" s="62"/>
      <c r="R29" s="62"/>
      <c r="AD29" s="132"/>
    </row>
    <row r="30" spans="1:30" ht="14">
      <c r="A30" s="319">
        <f>INDEX(QS_Chart_Of_Accounts_Upload!$C:$O,MATCH(B30,QS_Chart_Of_Accounts_Upload!$E:$E,0),MATCH("ACCT_NO",QS_Chart_Of_Accounts_Upload!$C$1:$O$1,0))</f>
        <v>7260</v>
      </c>
      <c r="B30" s="430" t="s">
        <v>59</v>
      </c>
      <c r="C30" s="708">
        <v>0</v>
      </c>
      <c r="D30" s="708">
        <v>0</v>
      </c>
      <c r="E30" s="708">
        <v>0</v>
      </c>
      <c r="F30" s="708">
        <v>0</v>
      </c>
      <c r="G30" s="708">
        <v>0</v>
      </c>
      <c r="H30" s="708">
        <v>0</v>
      </c>
      <c r="I30" s="708">
        <v>0</v>
      </c>
      <c r="J30" s="708">
        <v>0</v>
      </c>
      <c r="K30" s="708">
        <v>0</v>
      </c>
      <c r="L30" s="708">
        <v>0</v>
      </c>
      <c r="M30" s="708">
        <v>0</v>
      </c>
      <c r="N30" s="708">
        <v>0</v>
      </c>
      <c r="O30" s="703">
        <f t="shared" si="5"/>
        <v>0</v>
      </c>
      <c r="P30" s="717"/>
      <c r="Q30" s="62" t="s">
        <v>517</v>
      </c>
      <c r="R30" s="62"/>
      <c r="AD30" s="132"/>
    </row>
    <row r="31" spans="1:30" ht="14">
      <c r="A31" s="319">
        <f>INDEX(QS_Chart_Of_Accounts_Upload!$C:$O,MATCH(B31,QS_Chart_Of_Accounts_Upload!$E:$E,0),MATCH("ACCT_NO",QS_Chart_Of_Accounts_Upload!$C$1:$O$1,0))</f>
        <v>7270</v>
      </c>
      <c r="B31" s="430" t="s">
        <v>60</v>
      </c>
      <c r="C31" s="718">
        <f>$V$31+$T$31*'GPR Worksheet'!$C$22</f>
        <v>435</v>
      </c>
      <c r="D31" s="704">
        <v>0</v>
      </c>
      <c r="E31" s="704">
        <v>0</v>
      </c>
      <c r="F31" s="704">
        <v>0</v>
      </c>
      <c r="G31" s="704">
        <v>0</v>
      </c>
      <c r="H31" s="704">
        <v>0</v>
      </c>
      <c r="I31" s="704">
        <v>0</v>
      </c>
      <c r="J31" s="704">
        <v>0</v>
      </c>
      <c r="K31" s="704">
        <v>0</v>
      </c>
      <c r="L31" s="704">
        <v>0</v>
      </c>
      <c r="M31" s="704">
        <v>0</v>
      </c>
      <c r="N31" s="704">
        <v>0</v>
      </c>
      <c r="O31" s="703">
        <f t="shared" si="5"/>
        <v>435</v>
      </c>
      <c r="P31" s="717"/>
      <c r="Q31" s="62" t="s">
        <v>1164</v>
      </c>
      <c r="R31" s="62"/>
      <c r="S31" s="108" t="s">
        <v>138</v>
      </c>
      <c r="T31" s="707">
        <v>0</v>
      </c>
      <c r="U31" s="108" t="s">
        <v>930</v>
      </c>
      <c r="V31" s="709">
        <v>435</v>
      </c>
      <c r="AD31" s="132"/>
    </row>
    <row r="32" spans="1:30">
      <c r="A32" s="319">
        <f>INDEX(QS_Chart_Of_Accounts_Upload!$C:$O,MATCH(B32,QS_Chart_Of_Accounts_Upload!$E:$E,0),MATCH("ACCT_NO",QS_Chart_Of_Accounts_Upload!$C$1:$O$1,0))</f>
        <v>7280</v>
      </c>
      <c r="B32" s="430" t="s">
        <v>370</v>
      </c>
      <c r="C32" s="704">
        <f>+$T$32</f>
        <v>50</v>
      </c>
      <c r="D32" s="708">
        <v>0</v>
      </c>
      <c r="E32" s="704">
        <f>+$T$32</f>
        <v>50</v>
      </c>
      <c r="F32" s="708">
        <v>0</v>
      </c>
      <c r="G32" s="704">
        <f>+$T$32</f>
        <v>50</v>
      </c>
      <c r="H32" s="708">
        <v>0</v>
      </c>
      <c r="I32" s="704">
        <f>+$T$32</f>
        <v>50</v>
      </c>
      <c r="J32" s="708">
        <v>0</v>
      </c>
      <c r="K32" s="704">
        <f>+$T$32</f>
        <v>50</v>
      </c>
      <c r="L32" s="708">
        <v>0</v>
      </c>
      <c r="M32" s="704">
        <f>+$T$32</f>
        <v>50</v>
      </c>
      <c r="N32" s="708">
        <v>0</v>
      </c>
      <c r="O32" s="703">
        <f t="shared" si="5"/>
        <v>300</v>
      </c>
      <c r="P32" s="717"/>
      <c r="Q32" s="62"/>
      <c r="R32" s="62"/>
      <c r="S32" s="108" t="s">
        <v>1031</v>
      </c>
      <c r="T32" s="709">
        <v>50</v>
      </c>
      <c r="AD32" s="132"/>
    </row>
    <row r="33" spans="1:30">
      <c r="A33" s="319">
        <f>INDEX(QS_Chart_Of_Accounts_Upload!$C:$O,MATCH(B33,QS_Chart_Of_Accounts_Upload!$E:$E,0),MATCH("ACCT_NO",QS_Chart_Of_Accounts_Upload!$C$1:$O$1,0))</f>
        <v>7290</v>
      </c>
      <c r="B33" s="430" t="s">
        <v>134</v>
      </c>
      <c r="C33" s="704">
        <f>+$T$33</f>
        <v>100</v>
      </c>
      <c r="D33" s="708">
        <v>0</v>
      </c>
      <c r="E33" s="708">
        <v>0</v>
      </c>
      <c r="F33" s="704">
        <f>+$T$33</f>
        <v>100</v>
      </c>
      <c r="G33" s="708">
        <v>0</v>
      </c>
      <c r="H33" s="708">
        <v>0</v>
      </c>
      <c r="I33" s="704">
        <f>+$T$33</f>
        <v>100</v>
      </c>
      <c r="J33" s="708">
        <v>0</v>
      </c>
      <c r="K33" s="708">
        <v>0</v>
      </c>
      <c r="L33" s="704">
        <f>+$T$33</f>
        <v>100</v>
      </c>
      <c r="M33" s="708">
        <v>0</v>
      </c>
      <c r="N33" s="708">
        <v>0</v>
      </c>
      <c r="O33" s="703">
        <f t="shared" si="5"/>
        <v>400</v>
      </c>
      <c r="P33" s="717"/>
      <c r="Q33" s="62"/>
      <c r="R33" s="62"/>
      <c r="S33" s="108" t="s">
        <v>1032</v>
      </c>
      <c r="T33" s="709">
        <v>100</v>
      </c>
      <c r="AD33" s="132"/>
    </row>
    <row r="34" spans="1:30">
      <c r="A34" s="319">
        <f>INDEX(QS_Chart_Of_Accounts_Upload!$C:$O,MATCH(B34,QS_Chart_Of_Accounts_Upload!$E:$E,0),MATCH("ACCT_NO",QS_Chart_Of_Accounts_Upload!$C$1:$O$1,0))</f>
        <v>7300</v>
      </c>
      <c r="B34" s="430" t="s">
        <v>133</v>
      </c>
      <c r="C34" s="708">
        <v>0</v>
      </c>
      <c r="D34" s="708">
        <v>0</v>
      </c>
      <c r="E34" s="708">
        <v>0</v>
      </c>
      <c r="F34" s="708">
        <v>0</v>
      </c>
      <c r="G34" s="708">
        <v>0</v>
      </c>
      <c r="H34" s="708">
        <v>0</v>
      </c>
      <c r="I34" s="708">
        <v>0</v>
      </c>
      <c r="J34" s="708">
        <v>0</v>
      </c>
      <c r="K34" s="708">
        <v>0</v>
      </c>
      <c r="L34" s="708">
        <v>0</v>
      </c>
      <c r="M34" s="708">
        <v>0</v>
      </c>
      <c r="N34" s="708">
        <v>0</v>
      </c>
      <c r="O34" s="703">
        <f t="shared" si="5"/>
        <v>0</v>
      </c>
      <c r="P34" s="717"/>
      <c r="Q34" s="62"/>
      <c r="R34" s="62"/>
      <c r="AD34" s="132"/>
    </row>
    <row r="35" spans="1:30">
      <c r="A35" s="319">
        <f>INDEX(QS_Chart_Of_Accounts_Upload!$C:$O,MATCH(B35,QS_Chart_Of_Accounts_Upload!$E:$E,0),MATCH("ACCT_NO",QS_Chart_Of_Accounts_Upload!$C$1:$O$1,0))</f>
        <v>7320</v>
      </c>
      <c r="B35" s="430" t="s">
        <v>371</v>
      </c>
      <c r="C35" s="708">
        <v>0</v>
      </c>
      <c r="D35" s="708">
        <v>0</v>
      </c>
      <c r="E35" s="708">
        <v>0</v>
      </c>
      <c r="F35" s="708">
        <v>0</v>
      </c>
      <c r="G35" s="708">
        <v>0</v>
      </c>
      <c r="H35" s="708">
        <v>0</v>
      </c>
      <c r="I35" s="708">
        <v>0</v>
      </c>
      <c r="J35" s="708">
        <v>0</v>
      </c>
      <c r="K35" s="708">
        <v>0</v>
      </c>
      <c r="L35" s="708">
        <v>0</v>
      </c>
      <c r="M35" s="708">
        <v>0</v>
      </c>
      <c r="N35" s="708">
        <v>0</v>
      </c>
      <c r="O35" s="703">
        <f t="shared" si="5"/>
        <v>0</v>
      </c>
      <c r="P35" s="717"/>
      <c r="Q35" s="62"/>
      <c r="R35" s="62"/>
      <c r="T35" s="707"/>
      <c r="V35" s="709"/>
      <c r="AD35" s="132"/>
    </row>
    <row r="36" spans="1:30">
      <c r="A36" s="319">
        <f>INDEX(QS_Chart_Of_Accounts_Upload!$C:$O,MATCH(B36,QS_Chart_Of_Accounts_Upload!$E:$E,0),MATCH("ACCT_NO",QS_Chart_Of_Accounts_Upload!$C$1:$O$1,0))</f>
        <v>7330</v>
      </c>
      <c r="B36" s="430" t="s">
        <v>372</v>
      </c>
      <c r="C36" s="708">
        <v>0</v>
      </c>
      <c r="D36" s="708">
        <v>0</v>
      </c>
      <c r="E36" s="708">
        <v>0</v>
      </c>
      <c r="F36" s="708">
        <v>0</v>
      </c>
      <c r="G36" s="708">
        <v>0</v>
      </c>
      <c r="H36" s="708">
        <v>0</v>
      </c>
      <c r="I36" s="708">
        <v>0</v>
      </c>
      <c r="J36" s="708">
        <v>0</v>
      </c>
      <c r="K36" s="708">
        <v>0</v>
      </c>
      <c r="L36" s="708">
        <v>0</v>
      </c>
      <c r="M36" s="708">
        <v>0</v>
      </c>
      <c r="N36" s="708">
        <v>0</v>
      </c>
      <c r="O36" s="703">
        <f t="shared" si="5"/>
        <v>0</v>
      </c>
      <c r="P36" s="717"/>
      <c r="Q36" s="62"/>
      <c r="R36" s="62"/>
      <c r="AD36" s="132"/>
    </row>
    <row r="37" spans="1:30">
      <c r="A37" s="319">
        <f>INDEX(QS_Chart_Of_Accounts_Upload!$C:$O,MATCH(B37,QS_Chart_Of_Accounts_Upload!$E:$E,0),MATCH("ACCT_NO",QS_Chart_Of_Accounts_Upload!$C$1:$O$1,0))</f>
        <v>7340</v>
      </c>
      <c r="B37" s="430" t="s">
        <v>373</v>
      </c>
      <c r="C37" s="708">
        <v>0</v>
      </c>
      <c r="D37" s="708">
        <v>0</v>
      </c>
      <c r="E37" s="708">
        <v>0</v>
      </c>
      <c r="F37" s="708">
        <v>0</v>
      </c>
      <c r="G37" s="708">
        <v>0</v>
      </c>
      <c r="H37" s="708">
        <v>0</v>
      </c>
      <c r="I37" s="708">
        <v>0</v>
      </c>
      <c r="J37" s="708">
        <v>0</v>
      </c>
      <c r="K37" s="708">
        <v>0</v>
      </c>
      <c r="L37" s="708">
        <v>0</v>
      </c>
      <c r="M37" s="708">
        <v>0</v>
      </c>
      <c r="N37" s="708">
        <v>0</v>
      </c>
      <c r="O37" s="703">
        <f t="shared" si="5"/>
        <v>0</v>
      </c>
      <c r="P37" s="717"/>
      <c r="Q37" s="62"/>
      <c r="R37" s="62"/>
      <c r="AD37" s="132"/>
    </row>
    <row r="38" spans="1:30">
      <c r="A38" s="319">
        <f>INDEX(QS_Chart_Of_Accounts_Upload!$C:$O,MATCH(B38,QS_Chart_Of_Accounts_Upload!$E:$E,0),MATCH("ACCT_NO",QS_Chart_Of_Accounts_Upload!$C$1:$O$1,0))</f>
        <v>7332</v>
      </c>
      <c r="B38" s="430" t="s">
        <v>1113</v>
      </c>
      <c r="C38" s="704">
        <f>$T$38*'Revenue Worksheet'!D18</f>
        <v>780</v>
      </c>
      <c r="D38" s="704">
        <f>$T$38*'Revenue Worksheet'!E18</f>
        <v>897</v>
      </c>
      <c r="E38" s="704">
        <f>$T$38*'Revenue Worksheet'!F18</f>
        <v>897</v>
      </c>
      <c r="F38" s="704">
        <f>$T$38*'Revenue Worksheet'!G18</f>
        <v>897</v>
      </c>
      <c r="G38" s="704">
        <f>$T$38*'Revenue Worksheet'!H18</f>
        <v>1677</v>
      </c>
      <c r="H38" s="704">
        <f>$T$38*'Revenue Worksheet'!I18</f>
        <v>2652</v>
      </c>
      <c r="I38" s="704">
        <f>$T$38*'Revenue Worksheet'!J18</f>
        <v>3198</v>
      </c>
      <c r="J38" s="704">
        <f>$T$38*'Revenue Worksheet'!K18</f>
        <v>3198</v>
      </c>
      <c r="K38" s="704">
        <f>$T$38*'Revenue Worksheet'!L18</f>
        <v>3198</v>
      </c>
      <c r="L38" s="704">
        <f>$T$38*'Revenue Worksheet'!M18</f>
        <v>3198</v>
      </c>
      <c r="M38" s="704">
        <f>$T$38*'Revenue Worksheet'!N18</f>
        <v>3198</v>
      </c>
      <c r="N38" s="704">
        <f>$T$38*'Revenue Worksheet'!O18</f>
        <v>3198</v>
      </c>
      <c r="O38" s="703">
        <f t="shared" si="5"/>
        <v>26988</v>
      </c>
      <c r="P38" s="717"/>
      <c r="Q38" s="62"/>
      <c r="R38" s="62"/>
      <c r="S38" s="108" t="s">
        <v>67</v>
      </c>
      <c r="T38" s="709">
        <v>39</v>
      </c>
      <c r="AD38" s="132"/>
    </row>
    <row r="39" spans="1:30" ht="25.5" customHeight="1">
      <c r="A39" s="319">
        <f>INDEX(QS_Chart_Of_Accounts_Upload!$C:$O,MATCH(B39,QS_Chart_Of_Accounts_Upload!$E:$E,0),MATCH("ACCT_NO",QS_Chart_Of_Accounts_Upload!$C$1:$O$1,0))</f>
        <v>7350</v>
      </c>
      <c r="B39" s="430" t="s">
        <v>374</v>
      </c>
      <c r="C39" s="708">
        <v>0</v>
      </c>
      <c r="D39" s="708">
        <v>0</v>
      </c>
      <c r="E39" s="708">
        <v>0</v>
      </c>
      <c r="F39" s="708">
        <v>0</v>
      </c>
      <c r="G39" s="708">
        <v>0</v>
      </c>
      <c r="H39" s="708">
        <v>0</v>
      </c>
      <c r="I39" s="708">
        <v>0</v>
      </c>
      <c r="J39" s="708">
        <v>0</v>
      </c>
      <c r="K39" s="708">
        <v>0</v>
      </c>
      <c r="L39" s="708">
        <v>0</v>
      </c>
      <c r="M39" s="708">
        <v>0</v>
      </c>
      <c r="N39" s="708">
        <v>0</v>
      </c>
      <c r="O39" s="703">
        <f t="shared" si="5"/>
        <v>0</v>
      </c>
      <c r="P39" s="717"/>
      <c r="Q39" s="252"/>
      <c r="AD39" s="132"/>
    </row>
    <row r="40" spans="1:30">
      <c r="A40" s="319">
        <f>INDEX(QS_Chart_Of_Accounts_Upload!$C:$O,MATCH(B40,QS_Chart_Of_Accounts_Upload!$E:$E,0),MATCH("ACCT_NO",QS_Chart_Of_Accounts_Upload!$C$1:$O$1,0))</f>
        <v>7355</v>
      </c>
      <c r="B40" s="430" t="s">
        <v>375</v>
      </c>
      <c r="C40" s="708">
        <v>0</v>
      </c>
      <c r="D40" s="708">
        <v>0</v>
      </c>
      <c r="E40" s="708">
        <v>0</v>
      </c>
      <c r="F40" s="708">
        <v>0</v>
      </c>
      <c r="G40" s="708">
        <v>0</v>
      </c>
      <c r="H40" s="708">
        <v>0</v>
      </c>
      <c r="I40" s="708">
        <v>0</v>
      </c>
      <c r="J40" s="708">
        <v>0</v>
      </c>
      <c r="K40" s="708">
        <v>0</v>
      </c>
      <c r="L40" s="708">
        <v>0</v>
      </c>
      <c r="M40" s="708">
        <v>0</v>
      </c>
      <c r="N40" s="708">
        <v>0</v>
      </c>
      <c r="O40" s="703">
        <f t="shared" si="5"/>
        <v>0</v>
      </c>
      <c r="P40" s="717"/>
      <c r="Q40" s="62"/>
      <c r="R40" s="62"/>
      <c r="AD40" s="132"/>
    </row>
    <row r="41" spans="1:30">
      <c r="A41" s="319">
        <f>INDEX(QS_Chart_Of_Accounts_Upload!$C:$O,MATCH(B41,QS_Chart_Of_Accounts_Upload!$E:$E,0),MATCH("ACCT_NO",QS_Chart_Of_Accounts_Upload!$C$1:$O$1,0))</f>
        <v>7360</v>
      </c>
      <c r="B41" s="430" t="s">
        <v>376</v>
      </c>
      <c r="C41" s="708">
        <v>0</v>
      </c>
      <c r="D41" s="708">
        <v>0</v>
      </c>
      <c r="E41" s="708">
        <v>0</v>
      </c>
      <c r="F41" s="708">
        <v>0</v>
      </c>
      <c r="G41" s="708">
        <v>0</v>
      </c>
      <c r="H41" s="708">
        <v>0</v>
      </c>
      <c r="I41" s="708">
        <v>0</v>
      </c>
      <c r="J41" s="708">
        <v>0</v>
      </c>
      <c r="K41" s="708">
        <v>0</v>
      </c>
      <c r="L41" s="708">
        <v>0</v>
      </c>
      <c r="M41" s="708">
        <v>0</v>
      </c>
      <c r="N41" s="708">
        <v>0</v>
      </c>
      <c r="O41" s="703">
        <f t="shared" si="5"/>
        <v>0</v>
      </c>
      <c r="P41" s="717"/>
      <c r="Q41" s="62"/>
      <c r="R41" s="62"/>
      <c r="AD41" s="132"/>
    </row>
    <row r="42" spans="1:30" ht="14" customHeight="1">
      <c r="A42" s="319">
        <f>INDEX(QS_Chart_Of_Accounts_Upload!$C:$O,MATCH(B42,QS_Chart_Of_Accounts_Upload!$E:$E,0),MATCH("ACCT_NO",QS_Chart_Of_Accounts_Upload!$C$1:$O$1,0))</f>
        <v>7370</v>
      </c>
      <c r="B42" s="430" t="s">
        <v>135</v>
      </c>
      <c r="C42" s="708">
        <v>0</v>
      </c>
      <c r="D42" s="708">
        <v>0</v>
      </c>
      <c r="E42" s="708">
        <v>0</v>
      </c>
      <c r="F42" s="708">
        <v>0</v>
      </c>
      <c r="G42" s="708">
        <v>0</v>
      </c>
      <c r="H42" s="708">
        <v>0</v>
      </c>
      <c r="I42" s="708">
        <v>0</v>
      </c>
      <c r="J42" s="708">
        <v>0</v>
      </c>
      <c r="K42" s="708">
        <v>0</v>
      </c>
      <c r="L42" s="708">
        <v>0</v>
      </c>
      <c r="M42" s="708">
        <v>0</v>
      </c>
      <c r="N42" s="708">
        <v>0</v>
      </c>
      <c r="O42" s="703">
        <f t="shared" si="5"/>
        <v>0</v>
      </c>
      <c r="P42" s="717"/>
      <c r="Q42" s="62"/>
      <c r="R42" s="62"/>
      <c r="AD42" s="132"/>
    </row>
    <row r="43" spans="1:30" ht="14" customHeight="1">
      <c r="A43" s="319">
        <f>INDEX(QS_Chart_Of_Accounts_Upload!$C:$O,MATCH(B43,QS_Chart_Of_Accounts_Upload!$E:$E,0),MATCH("ACCT_NO",QS_Chart_Of_Accounts_Upload!$C$1:$O$1,0))</f>
        <v>7380</v>
      </c>
      <c r="B43" s="430" t="s">
        <v>377</v>
      </c>
      <c r="C43" s="708">
        <v>0</v>
      </c>
      <c r="D43" s="708">
        <v>0</v>
      </c>
      <c r="E43" s="708">
        <v>0</v>
      </c>
      <c r="F43" s="708">
        <v>0</v>
      </c>
      <c r="G43" s="708">
        <v>0</v>
      </c>
      <c r="H43" s="708">
        <v>0</v>
      </c>
      <c r="I43" s="708">
        <v>0</v>
      </c>
      <c r="J43" s="708">
        <v>0</v>
      </c>
      <c r="K43" s="708">
        <v>0</v>
      </c>
      <c r="L43" s="708">
        <v>0</v>
      </c>
      <c r="M43" s="708">
        <v>0</v>
      </c>
      <c r="N43" s="708">
        <v>0</v>
      </c>
      <c r="O43" s="703">
        <f t="shared" si="5"/>
        <v>0</v>
      </c>
      <c r="P43" s="717"/>
      <c r="Q43" s="62"/>
      <c r="R43" s="62"/>
      <c r="AD43" s="132"/>
    </row>
    <row r="44" spans="1:30">
      <c r="A44" s="319">
        <f>INDEX(QS_Chart_Of_Accounts_Upload!$C:$O,MATCH(B44,QS_Chart_Of_Accounts_Upload!$E:$E,0),MATCH("ACCT_NO",QS_Chart_Of_Accounts_Upload!$C$1:$O$1,0))</f>
        <v>7390</v>
      </c>
      <c r="B44" s="430" t="s">
        <v>378</v>
      </c>
      <c r="C44" s="708">
        <v>0</v>
      </c>
      <c r="D44" s="708">
        <v>0</v>
      </c>
      <c r="E44" s="708">
        <v>0</v>
      </c>
      <c r="F44" s="708">
        <v>0</v>
      </c>
      <c r="G44" s="708">
        <v>0</v>
      </c>
      <c r="H44" s="708">
        <v>0</v>
      </c>
      <c r="I44" s="708">
        <v>0</v>
      </c>
      <c r="J44" s="708">
        <v>0</v>
      </c>
      <c r="K44" s="708">
        <v>0</v>
      </c>
      <c r="L44" s="708">
        <v>0</v>
      </c>
      <c r="M44" s="708">
        <v>0</v>
      </c>
      <c r="N44" s="708">
        <v>0</v>
      </c>
      <c r="O44" s="703">
        <f t="shared" si="5"/>
        <v>0</v>
      </c>
      <c r="P44" s="717"/>
      <c r="Q44" s="62"/>
      <c r="R44" s="62"/>
      <c r="AD44" s="132"/>
    </row>
    <row r="45" spans="1:30">
      <c r="A45" s="319">
        <f>INDEX(QS_Chart_Of_Accounts_Upload!$C:$O,MATCH(B45,QS_Chart_Of_Accounts_Upload!$E:$E,0),MATCH("ACCT_NO",QS_Chart_Of_Accounts_Upload!$C$1:$O$1,0))</f>
        <v>7400</v>
      </c>
      <c r="B45" s="430" t="s">
        <v>379</v>
      </c>
      <c r="C45" s="704">
        <f>+$T$45</f>
        <v>200</v>
      </c>
      <c r="D45" s="704">
        <f t="shared" ref="D45:N45" si="8">+$T$45</f>
        <v>200</v>
      </c>
      <c r="E45" s="704">
        <f t="shared" si="8"/>
        <v>200</v>
      </c>
      <c r="F45" s="704">
        <f t="shared" si="8"/>
        <v>200</v>
      </c>
      <c r="G45" s="704">
        <f t="shared" si="8"/>
        <v>200</v>
      </c>
      <c r="H45" s="704">
        <f t="shared" si="8"/>
        <v>200</v>
      </c>
      <c r="I45" s="704">
        <f t="shared" si="8"/>
        <v>200</v>
      </c>
      <c r="J45" s="704">
        <f t="shared" si="8"/>
        <v>200</v>
      </c>
      <c r="K45" s="704">
        <f t="shared" si="8"/>
        <v>200</v>
      </c>
      <c r="L45" s="704">
        <f t="shared" si="8"/>
        <v>200</v>
      </c>
      <c r="M45" s="704">
        <f t="shared" si="8"/>
        <v>200</v>
      </c>
      <c r="N45" s="704">
        <f t="shared" si="8"/>
        <v>200</v>
      </c>
      <c r="O45" s="703">
        <f t="shared" si="5"/>
        <v>2400</v>
      </c>
      <c r="P45" s="717"/>
      <c r="Q45" s="62"/>
      <c r="R45" s="62"/>
      <c r="S45" s="108" t="s">
        <v>941</v>
      </c>
      <c r="T45" s="709">
        <v>200</v>
      </c>
      <c r="AD45" s="132"/>
    </row>
    <row r="46" spans="1:30">
      <c r="A46" s="319">
        <f>INDEX(QS_Chart_Of_Accounts_Upload!$C:$O,MATCH(B46,QS_Chart_Of_Accounts_Upload!$E:$E,0),MATCH("ACCT_NO",QS_Chart_Of_Accounts_Upload!$C$1:$O$1,0))</f>
        <v>7410</v>
      </c>
      <c r="B46" s="430" t="s">
        <v>380</v>
      </c>
      <c r="C46" s="708">
        <v>0</v>
      </c>
      <c r="D46" s="708">
        <v>0</v>
      </c>
      <c r="E46" s="708">
        <v>0</v>
      </c>
      <c r="F46" s="708">
        <v>0</v>
      </c>
      <c r="G46" s="708">
        <v>0</v>
      </c>
      <c r="H46" s="708">
        <v>0</v>
      </c>
      <c r="I46" s="708">
        <v>0</v>
      </c>
      <c r="J46" s="708">
        <v>0</v>
      </c>
      <c r="K46" s="708">
        <v>0</v>
      </c>
      <c r="L46" s="708">
        <v>0</v>
      </c>
      <c r="M46" s="708">
        <v>0</v>
      </c>
      <c r="N46" s="708">
        <v>0</v>
      </c>
      <c r="O46" s="703">
        <f t="shared" si="5"/>
        <v>0</v>
      </c>
      <c r="P46" s="717"/>
      <c r="Q46" s="62"/>
      <c r="R46" s="62"/>
      <c r="T46" s="707"/>
      <c r="V46" s="709"/>
      <c r="X46" s="707"/>
      <c r="Z46" s="707"/>
      <c r="AD46" s="132"/>
    </row>
    <row r="47" spans="1:30">
      <c r="A47" s="319">
        <f>INDEX(QS_Chart_Of_Accounts_Upload!$C:$O,MATCH(B47,QS_Chart_Of_Accounts_Upload!$E:$E,0),MATCH("ACCT_NO",QS_Chart_Of_Accounts_Upload!$C$1:$O$1,0))</f>
        <v>7420</v>
      </c>
      <c r="B47" s="430" t="s">
        <v>381</v>
      </c>
      <c r="C47" s="704">
        <f t="shared" ref="C47:N47" si="9">+$T$47</f>
        <v>0</v>
      </c>
      <c r="D47" s="704">
        <f t="shared" si="9"/>
        <v>0</v>
      </c>
      <c r="E47" s="704">
        <f t="shared" si="9"/>
        <v>0</v>
      </c>
      <c r="F47" s="704">
        <f t="shared" si="9"/>
        <v>0</v>
      </c>
      <c r="G47" s="704">
        <f t="shared" si="9"/>
        <v>0</v>
      </c>
      <c r="H47" s="704">
        <f t="shared" si="9"/>
        <v>0</v>
      </c>
      <c r="I47" s="704">
        <f t="shared" si="9"/>
        <v>0</v>
      </c>
      <c r="J47" s="704">
        <f t="shared" si="9"/>
        <v>0</v>
      </c>
      <c r="K47" s="704">
        <f t="shared" si="9"/>
        <v>0</v>
      </c>
      <c r="L47" s="704">
        <f t="shared" si="9"/>
        <v>0</v>
      </c>
      <c r="M47" s="704">
        <f t="shared" si="9"/>
        <v>0</v>
      </c>
      <c r="N47" s="704">
        <f t="shared" si="9"/>
        <v>0</v>
      </c>
      <c r="O47" s="703">
        <f t="shared" si="5"/>
        <v>0</v>
      </c>
      <c r="P47" s="717"/>
      <c r="Q47" s="62"/>
      <c r="R47" s="62"/>
      <c r="S47" s="108" t="s">
        <v>775</v>
      </c>
      <c r="T47" s="709">
        <v>0</v>
      </c>
      <c r="AD47" s="132"/>
    </row>
    <row r="48" spans="1:30">
      <c r="A48" s="319">
        <f>INDEX(QS_Chart_Of_Accounts_Upload!$C:$O,MATCH(B48,QS_Chart_Of_Accounts_Upload!$E:$E,0),MATCH("ACCT_NO",QS_Chart_Of_Accounts_Upload!$C$1:$O$1,0))</f>
        <v>7430</v>
      </c>
      <c r="B48" s="430" t="s">
        <v>382</v>
      </c>
      <c r="C48" s="708">
        <v>0</v>
      </c>
      <c r="D48" s="708">
        <v>0</v>
      </c>
      <c r="E48" s="708">
        <v>0</v>
      </c>
      <c r="F48" s="708">
        <v>0</v>
      </c>
      <c r="G48" s="708">
        <v>0</v>
      </c>
      <c r="H48" s="708">
        <v>0</v>
      </c>
      <c r="I48" s="708">
        <v>0</v>
      </c>
      <c r="J48" s="708">
        <v>0</v>
      </c>
      <c r="K48" s="708">
        <v>0</v>
      </c>
      <c r="L48" s="708">
        <v>0</v>
      </c>
      <c r="M48" s="708">
        <v>0</v>
      </c>
      <c r="N48" s="708">
        <v>0</v>
      </c>
      <c r="O48" s="719">
        <f t="shared" si="5"/>
        <v>0</v>
      </c>
      <c r="P48" s="717"/>
      <c r="Q48" s="62"/>
      <c r="R48" s="62"/>
      <c r="AD48" s="132"/>
    </row>
    <row r="49" spans="1:38">
      <c r="A49" s="319">
        <f>INDEX(QS_Chart_Of_Accounts_Upload!$C:$O,MATCH(B49,QS_Chart_Of_Accounts_Upload!$E:$E,0),MATCH("ACCT_NO",QS_Chart_Of_Accounts_Upload!$C$1:$O$1,0))</f>
        <v>7440</v>
      </c>
      <c r="B49" s="430" t="s">
        <v>383</v>
      </c>
      <c r="C49" s="667">
        <f>$T$49*'GPR Worksheet'!$C$22+'Operating Expenses'!$V$49</f>
        <v>79.05</v>
      </c>
      <c r="D49" s="667">
        <f>$T$49*'GPR Worksheet'!$C$22</f>
        <v>29.049999999999997</v>
      </c>
      <c r="E49" s="667">
        <f>$T$49*'GPR Worksheet'!$C$22+'Operating Expenses'!$V$49</f>
        <v>79.05</v>
      </c>
      <c r="F49" s="667">
        <f>$T$49*'GPR Worksheet'!$C$22</f>
        <v>29.049999999999997</v>
      </c>
      <c r="G49" s="667">
        <f>$T$49*'GPR Worksheet'!$C$22+'Operating Expenses'!$V$49</f>
        <v>79.05</v>
      </c>
      <c r="H49" s="667">
        <f>$T$49*'GPR Worksheet'!$C$22</f>
        <v>29.049999999999997</v>
      </c>
      <c r="I49" s="667">
        <f>$T$49*'GPR Worksheet'!$C$22+'Operating Expenses'!$V$49</f>
        <v>79.05</v>
      </c>
      <c r="J49" s="667">
        <f>$T$49*'GPR Worksheet'!$C$22</f>
        <v>29.049999999999997</v>
      </c>
      <c r="K49" s="667">
        <f>$T$49*'GPR Worksheet'!$C$22+'Operating Expenses'!$V$49</f>
        <v>79.05</v>
      </c>
      <c r="L49" s="667">
        <f>$T$49*'GPR Worksheet'!$C$22</f>
        <v>29.049999999999997</v>
      </c>
      <c r="M49" s="667">
        <f>$T$49*'GPR Worksheet'!$C$22+'Operating Expenses'!$V$49</f>
        <v>79.05</v>
      </c>
      <c r="N49" s="667">
        <f>$T$49*'GPR Worksheet'!$C$22</f>
        <v>29.049999999999997</v>
      </c>
      <c r="O49" s="703">
        <f t="shared" si="5"/>
        <v>648.59999999999991</v>
      </c>
      <c r="P49" s="717"/>
      <c r="Q49" s="62"/>
      <c r="R49" s="62"/>
      <c r="S49" s="108" t="s">
        <v>138</v>
      </c>
      <c r="T49" s="707">
        <v>0.35</v>
      </c>
      <c r="U49" s="108" t="s">
        <v>936</v>
      </c>
      <c r="V49" s="709">
        <v>50</v>
      </c>
      <c r="AD49" s="132"/>
    </row>
    <row r="50" spans="1:38">
      <c r="A50" s="319">
        <f>INDEX(QS_Chart_Of_Accounts_Upload!$C:$O,MATCH(B50,QS_Chart_Of_Accounts_Upload!$E:$E,0),MATCH("ACCT_NO",QS_Chart_Of_Accounts_Upload!$C$1:$O$1,0))</f>
        <v>7450</v>
      </c>
      <c r="B50" s="430" t="s">
        <v>384</v>
      </c>
      <c r="C50" s="708">
        <v>0</v>
      </c>
      <c r="D50" s="708">
        <v>0</v>
      </c>
      <c r="E50" s="708">
        <v>0</v>
      </c>
      <c r="F50" s="708">
        <v>0</v>
      </c>
      <c r="G50" s="708">
        <v>0</v>
      </c>
      <c r="H50" s="708">
        <v>0</v>
      </c>
      <c r="I50" s="708">
        <v>0</v>
      </c>
      <c r="J50" s="708">
        <v>0</v>
      </c>
      <c r="K50" s="708">
        <v>0</v>
      </c>
      <c r="L50" s="708">
        <v>0</v>
      </c>
      <c r="M50" s="708">
        <v>0</v>
      </c>
      <c r="N50" s="708">
        <v>0</v>
      </c>
      <c r="O50" s="720">
        <f t="shared" si="5"/>
        <v>0</v>
      </c>
      <c r="P50" s="717"/>
      <c r="Q50" s="62"/>
      <c r="R50" s="62"/>
      <c r="AD50" s="132"/>
    </row>
    <row r="51" spans="1:38">
      <c r="A51" s="319">
        <f>INDEX(QS_Chart_Of_Accounts_Upload!$C:$O,MATCH(B51,QS_Chart_Of_Accounts_Upload!$E:$E,0),MATCH("ACCT_NO",QS_Chart_Of_Accounts_Upload!$C$1:$O$1,0))</f>
        <v>7460</v>
      </c>
      <c r="B51" s="430" t="s">
        <v>385</v>
      </c>
      <c r="C51" s="708">
        <v>0</v>
      </c>
      <c r="D51" s="708">
        <v>0</v>
      </c>
      <c r="E51" s="708">
        <v>0</v>
      </c>
      <c r="F51" s="708">
        <v>0</v>
      </c>
      <c r="G51" s="708">
        <v>0</v>
      </c>
      <c r="H51" s="708">
        <v>0</v>
      </c>
      <c r="I51" s="708">
        <v>0</v>
      </c>
      <c r="J51" s="708">
        <v>0</v>
      </c>
      <c r="K51" s="708">
        <v>0</v>
      </c>
      <c r="L51" s="708">
        <v>0</v>
      </c>
      <c r="M51" s="708">
        <v>0</v>
      </c>
      <c r="N51" s="708">
        <v>0</v>
      </c>
      <c r="O51" s="703">
        <f t="shared" si="5"/>
        <v>0</v>
      </c>
      <c r="P51" s="717"/>
      <c r="Q51" s="62"/>
      <c r="R51" s="62"/>
      <c r="T51" s="707"/>
      <c r="AD51" s="132"/>
    </row>
    <row r="52" spans="1:38" ht="112">
      <c r="A52" s="319">
        <v>7470</v>
      </c>
      <c r="B52" s="430" t="s">
        <v>1129</v>
      </c>
      <c r="C52" s="704">
        <f>+$T$52*'GPR Worksheet'!$C$22</f>
        <v>1078.17</v>
      </c>
      <c r="D52" s="704">
        <f>+$T$52*'GPR Worksheet'!$C$22</f>
        <v>1078.17</v>
      </c>
      <c r="E52" s="704">
        <f>+$T$52*'GPR Worksheet'!$C$22</f>
        <v>1078.17</v>
      </c>
      <c r="F52" s="704">
        <f>+$T$52*'GPR Worksheet'!$C$22</f>
        <v>1078.17</v>
      </c>
      <c r="G52" s="704">
        <f>+$T$52*'GPR Worksheet'!$C$22</f>
        <v>1078.17</v>
      </c>
      <c r="H52" s="704">
        <f>+$T$52*'GPR Worksheet'!$C$22</f>
        <v>1078.17</v>
      </c>
      <c r="I52" s="704">
        <f>+$T$52*'GPR Worksheet'!$C$22</f>
        <v>1078.17</v>
      </c>
      <c r="J52" s="704">
        <f>+$T$52*'GPR Worksheet'!$C$22</f>
        <v>1078.17</v>
      </c>
      <c r="K52" s="704">
        <f>+$T$52*'GPR Worksheet'!$C$22</f>
        <v>1078.17</v>
      </c>
      <c r="L52" s="704">
        <f>+$T$52*'GPR Worksheet'!$C$22</f>
        <v>1078.17</v>
      </c>
      <c r="M52" s="704">
        <f>+$T$52*'GPR Worksheet'!$C$22</f>
        <v>1078.17</v>
      </c>
      <c r="N52" s="704">
        <f>+$T$52*'GPR Worksheet'!$C$22</f>
        <v>1078.17</v>
      </c>
      <c r="O52" s="703">
        <f t="shared" si="5"/>
        <v>12938.04</v>
      </c>
      <c r="P52" s="717"/>
      <c r="Q52" s="62" t="s">
        <v>1196</v>
      </c>
      <c r="R52" s="62"/>
      <c r="S52" s="108" t="s">
        <v>138</v>
      </c>
      <c r="T52" s="707">
        <v>12.99</v>
      </c>
      <c r="V52" s="707"/>
      <c r="X52" s="707"/>
      <c r="Z52" s="709"/>
      <c r="AB52" s="709"/>
      <c r="AD52" s="927"/>
      <c r="AE52" s="709"/>
      <c r="AK52" s="108" t="s">
        <v>518</v>
      </c>
      <c r="AL52" s="108" t="s">
        <v>1033</v>
      </c>
    </row>
    <row r="53" spans="1:38">
      <c r="A53" s="319">
        <v>7470.1</v>
      </c>
      <c r="B53" s="430" t="s">
        <v>1114</v>
      </c>
      <c r="C53" s="704">
        <f>+$T$53</f>
        <v>0</v>
      </c>
      <c r="D53" s="704">
        <f t="shared" ref="D53:N53" si="10">+$T$53</f>
        <v>0</v>
      </c>
      <c r="E53" s="704">
        <f t="shared" si="10"/>
        <v>0</v>
      </c>
      <c r="F53" s="704">
        <f t="shared" si="10"/>
        <v>0</v>
      </c>
      <c r="G53" s="704">
        <f t="shared" si="10"/>
        <v>0</v>
      </c>
      <c r="H53" s="704">
        <f t="shared" si="10"/>
        <v>0</v>
      </c>
      <c r="I53" s="704">
        <f t="shared" si="10"/>
        <v>0</v>
      </c>
      <c r="J53" s="704">
        <f t="shared" si="10"/>
        <v>0</v>
      </c>
      <c r="K53" s="704">
        <f t="shared" si="10"/>
        <v>0</v>
      </c>
      <c r="L53" s="704">
        <f t="shared" si="10"/>
        <v>0</v>
      </c>
      <c r="M53" s="704">
        <f t="shared" si="10"/>
        <v>0</v>
      </c>
      <c r="N53" s="704">
        <f t="shared" si="10"/>
        <v>0</v>
      </c>
      <c r="O53" s="703">
        <f t="shared" si="5"/>
        <v>0</v>
      </c>
      <c r="P53" s="717"/>
      <c r="Q53" s="62"/>
      <c r="R53" s="62"/>
      <c r="S53" s="108" t="s">
        <v>941</v>
      </c>
      <c r="T53" s="709">
        <v>0</v>
      </c>
      <c r="V53" s="707"/>
      <c r="X53" s="707"/>
      <c r="Z53" s="709"/>
      <c r="AB53" s="709"/>
      <c r="AD53" s="927"/>
      <c r="AE53" s="709"/>
    </row>
    <row r="54" spans="1:38">
      <c r="A54" s="319">
        <v>7470.2</v>
      </c>
      <c r="B54" s="1027" t="s">
        <v>1130</v>
      </c>
      <c r="C54" s="704">
        <f>+$T$54+$V$54+$X$54</f>
        <v>559</v>
      </c>
      <c r="D54" s="704">
        <f t="shared" ref="D54:N54" si="11">+$T$54+$V$54</f>
        <v>309</v>
      </c>
      <c r="E54" s="704">
        <f t="shared" si="11"/>
        <v>309</v>
      </c>
      <c r="F54" s="704">
        <f>+$T$54+$V$54+$X$54</f>
        <v>559</v>
      </c>
      <c r="G54" s="704">
        <f t="shared" si="11"/>
        <v>309</v>
      </c>
      <c r="H54" s="704">
        <f t="shared" si="11"/>
        <v>309</v>
      </c>
      <c r="I54" s="704">
        <f>+$T$54+$V$54+$X$54</f>
        <v>559</v>
      </c>
      <c r="J54" s="704">
        <f t="shared" si="11"/>
        <v>309</v>
      </c>
      <c r="K54" s="704">
        <f t="shared" si="11"/>
        <v>309</v>
      </c>
      <c r="L54" s="704">
        <f>+$T$54+$V$54+$X$54</f>
        <v>559</v>
      </c>
      <c r="M54" s="704">
        <f t="shared" si="11"/>
        <v>309</v>
      </c>
      <c r="N54" s="704">
        <f t="shared" si="11"/>
        <v>309</v>
      </c>
      <c r="O54" s="703">
        <f t="shared" si="5"/>
        <v>4708</v>
      </c>
      <c r="P54" s="717"/>
      <c r="Q54" s="62"/>
      <c r="R54" s="62"/>
      <c r="S54" s="108" t="s">
        <v>1153</v>
      </c>
      <c r="T54" s="709">
        <v>179</v>
      </c>
      <c r="U54" s="108" t="s">
        <v>1152</v>
      </c>
      <c r="V54" s="705">
        <v>130</v>
      </c>
      <c r="W54" s="108" t="s">
        <v>1159</v>
      </c>
      <c r="X54" s="705">
        <v>250</v>
      </c>
      <c r="Z54" s="709"/>
      <c r="AB54" s="709"/>
      <c r="AD54" s="927"/>
      <c r="AE54" s="709"/>
    </row>
    <row r="55" spans="1:38">
      <c r="A55" s="319">
        <v>7470.3</v>
      </c>
      <c r="B55" s="430" t="s">
        <v>1131</v>
      </c>
      <c r="C55" s="704">
        <f>+$T$55</f>
        <v>0</v>
      </c>
      <c r="D55" s="704">
        <f t="shared" ref="D55:N55" si="12">+$T$55</f>
        <v>0</v>
      </c>
      <c r="E55" s="704">
        <f t="shared" si="12"/>
        <v>0</v>
      </c>
      <c r="F55" s="704">
        <f t="shared" si="12"/>
        <v>0</v>
      </c>
      <c r="G55" s="704">
        <f t="shared" si="12"/>
        <v>0</v>
      </c>
      <c r="H55" s="704">
        <f t="shared" si="12"/>
        <v>0</v>
      </c>
      <c r="I55" s="704">
        <f t="shared" si="12"/>
        <v>0</v>
      </c>
      <c r="J55" s="704">
        <f t="shared" si="12"/>
        <v>0</v>
      </c>
      <c r="K55" s="704">
        <f t="shared" si="12"/>
        <v>0</v>
      </c>
      <c r="L55" s="704">
        <f t="shared" si="12"/>
        <v>0</v>
      </c>
      <c r="M55" s="704">
        <f t="shared" si="12"/>
        <v>0</v>
      </c>
      <c r="N55" s="704">
        <f t="shared" si="12"/>
        <v>0</v>
      </c>
      <c r="O55" s="703">
        <f t="shared" si="5"/>
        <v>0</v>
      </c>
      <c r="P55" s="717"/>
      <c r="Q55" s="62"/>
      <c r="R55" s="62"/>
      <c r="S55" s="108" t="s">
        <v>941</v>
      </c>
      <c r="T55" s="709">
        <v>0</v>
      </c>
      <c r="V55" s="707"/>
      <c r="X55" s="707"/>
      <c r="Z55" s="709"/>
      <c r="AB55" s="709"/>
      <c r="AD55" s="927"/>
      <c r="AE55" s="709"/>
    </row>
    <row r="56" spans="1:38">
      <c r="A56" s="319">
        <f>INDEX(QS_Chart_Of_Accounts_Upload!$C:$O,MATCH(B56,QS_Chart_Of_Accounts_Upload!$E:$E,0),MATCH("ACCT_NO",QS_Chart_Of_Accounts_Upload!$C$1:$O$1,0))</f>
        <v>7465</v>
      </c>
      <c r="B56" s="430" t="s">
        <v>1049</v>
      </c>
      <c r="C56" s="708">
        <v>0</v>
      </c>
      <c r="D56" s="708">
        <v>0</v>
      </c>
      <c r="E56" s="708">
        <v>0</v>
      </c>
      <c r="F56" s="708">
        <v>0</v>
      </c>
      <c r="G56" s="708">
        <v>0</v>
      </c>
      <c r="H56" s="708">
        <v>0</v>
      </c>
      <c r="I56" s="708">
        <v>0</v>
      </c>
      <c r="J56" s="708">
        <v>0</v>
      </c>
      <c r="K56" s="708">
        <v>0</v>
      </c>
      <c r="L56" s="708">
        <v>0</v>
      </c>
      <c r="M56" s="708">
        <v>0</v>
      </c>
      <c r="N56" s="708">
        <v>0</v>
      </c>
      <c r="O56" s="703">
        <f t="shared" si="5"/>
        <v>0</v>
      </c>
      <c r="P56" s="717"/>
      <c r="Q56" s="62"/>
      <c r="R56" s="62"/>
      <c r="T56" s="709"/>
      <c r="V56" s="707"/>
      <c r="X56" s="707"/>
      <c r="Z56" s="709"/>
      <c r="AD56" s="132"/>
    </row>
    <row r="57" spans="1:38">
      <c r="A57" s="319">
        <f>INDEX(QS_Chart_Of_Accounts_Upload!$C:$O,MATCH(B57,QS_Chart_Of_Accounts_Upload!$E:$E,0),MATCH("ACCT_NO",QS_Chart_Of_Accounts_Upload!$C$1:$O$1,0))</f>
        <v>4910</v>
      </c>
      <c r="B57" s="430" t="s">
        <v>277</v>
      </c>
      <c r="C57" s="708">
        <v>0</v>
      </c>
      <c r="D57" s="708">
        <v>0</v>
      </c>
      <c r="E57" s="708">
        <v>0</v>
      </c>
      <c r="F57" s="708">
        <v>0</v>
      </c>
      <c r="G57" s="708">
        <v>0</v>
      </c>
      <c r="H57" s="708">
        <v>0</v>
      </c>
      <c r="I57" s="708">
        <v>0</v>
      </c>
      <c r="J57" s="708">
        <v>0</v>
      </c>
      <c r="K57" s="708">
        <v>0</v>
      </c>
      <c r="L57" s="708">
        <v>0</v>
      </c>
      <c r="M57" s="708">
        <v>0</v>
      </c>
      <c r="N57" s="708">
        <v>0</v>
      </c>
      <c r="O57" s="703">
        <f t="shared" si="5"/>
        <v>0</v>
      </c>
      <c r="P57" s="717"/>
      <c r="Q57" s="62"/>
      <c r="R57" s="62"/>
      <c r="AD57" s="132"/>
    </row>
    <row r="58" spans="1:38">
      <c r="A58" s="319">
        <f>INDEX(QS_Chart_Of_Accounts_Upload!$C:$O,MATCH(B58,QS_Chart_Of_Accounts_Upload!$E:$E,0),MATCH("ACCT_NO",QS_Chart_Of_Accounts_Upload!$C$1:$O$1,0))</f>
        <v>7480</v>
      </c>
      <c r="B58" s="430" t="s">
        <v>387</v>
      </c>
      <c r="C58" s="708">
        <v>400</v>
      </c>
      <c r="D58" s="708">
        <v>400</v>
      </c>
      <c r="E58" s="708">
        <v>400</v>
      </c>
      <c r="F58" s="708">
        <v>400</v>
      </c>
      <c r="G58" s="708">
        <v>400</v>
      </c>
      <c r="H58" s="708">
        <v>400</v>
      </c>
      <c r="I58" s="708">
        <v>400</v>
      </c>
      <c r="J58" s="708">
        <v>400</v>
      </c>
      <c r="K58" s="708">
        <v>400</v>
      </c>
      <c r="L58" s="708">
        <v>400</v>
      </c>
      <c r="M58" s="708">
        <v>400</v>
      </c>
      <c r="N58" s="708">
        <v>400</v>
      </c>
      <c r="O58" s="703">
        <f t="shared" si="5"/>
        <v>4800</v>
      </c>
      <c r="P58" s="717"/>
      <c r="Q58" s="62"/>
      <c r="R58" s="62"/>
      <c r="AD58" s="132"/>
    </row>
    <row r="59" spans="1:38">
      <c r="A59" s="319">
        <f>INDEX(QS_Chart_Of_Accounts_Upload!$C:$O,MATCH(B59,QS_Chart_Of_Accounts_Upload!$E:$E,0),MATCH("ACCT_NO",QS_Chart_Of_Accounts_Upload!$C$1:$O$1,0))</f>
        <v>7485</v>
      </c>
      <c r="B59" s="430" t="s">
        <v>388</v>
      </c>
      <c r="C59" s="708">
        <v>0</v>
      </c>
      <c r="D59" s="708">
        <v>0</v>
      </c>
      <c r="E59" s="708">
        <v>0</v>
      </c>
      <c r="F59" s="708">
        <v>0</v>
      </c>
      <c r="G59" s="708">
        <v>0</v>
      </c>
      <c r="H59" s="708">
        <v>0</v>
      </c>
      <c r="I59" s="708">
        <v>0</v>
      </c>
      <c r="J59" s="708">
        <v>0</v>
      </c>
      <c r="K59" s="708">
        <v>0</v>
      </c>
      <c r="L59" s="708">
        <v>0</v>
      </c>
      <c r="M59" s="708">
        <v>0</v>
      </c>
      <c r="N59" s="708">
        <v>0</v>
      </c>
      <c r="O59" s="703">
        <f t="shared" si="5"/>
        <v>0</v>
      </c>
      <c r="P59" s="717"/>
      <c r="Q59" s="62"/>
      <c r="R59" s="62"/>
      <c r="AD59" s="132"/>
    </row>
    <row r="60" spans="1:38" ht="14">
      <c r="A60" s="319">
        <f>INDEX(QS_Chart_Of_Accounts_Upload!$C:$O,MATCH(B60,QS_Chart_Of_Accounts_Upload!$E:$E,0),MATCH("ACCT_NO",QS_Chart_Of_Accounts_Upload!$C$1:$O$1,0))</f>
        <v>7490</v>
      </c>
      <c r="B60" s="430" t="s">
        <v>389</v>
      </c>
      <c r="C60" s="704">
        <f>IF(MONTH(C20)=3,$T$60+$V$60+$X$60,$T$60+$V$60)</f>
        <v>375</v>
      </c>
      <c r="D60" s="704">
        <f t="shared" ref="D60:N60" si="13">IF(MONTH(D20)=3,$T$60+$V$60+$X$60,$T$60+$V$60)</f>
        <v>375</v>
      </c>
      <c r="E60" s="704">
        <f t="shared" si="13"/>
        <v>375</v>
      </c>
      <c r="F60" s="704">
        <f t="shared" si="13"/>
        <v>375</v>
      </c>
      <c r="G60" s="704">
        <f t="shared" si="13"/>
        <v>375</v>
      </c>
      <c r="H60" s="704">
        <f t="shared" si="13"/>
        <v>375</v>
      </c>
      <c r="I60" s="704">
        <f t="shared" si="13"/>
        <v>625</v>
      </c>
      <c r="J60" s="704">
        <f t="shared" si="13"/>
        <v>375</v>
      </c>
      <c r="K60" s="704">
        <f t="shared" si="13"/>
        <v>375</v>
      </c>
      <c r="L60" s="704">
        <f t="shared" si="13"/>
        <v>375</v>
      </c>
      <c r="M60" s="704">
        <f t="shared" si="13"/>
        <v>375</v>
      </c>
      <c r="N60" s="704">
        <f t="shared" si="13"/>
        <v>375</v>
      </c>
      <c r="O60" s="703">
        <f t="shared" si="5"/>
        <v>4750</v>
      </c>
      <c r="P60" s="717"/>
      <c r="Q60" s="62" t="s">
        <v>1041</v>
      </c>
      <c r="R60" s="62"/>
      <c r="S60" s="108" t="s">
        <v>1004</v>
      </c>
      <c r="T60" s="709">
        <v>250</v>
      </c>
      <c r="U60" s="108" t="s">
        <v>1005</v>
      </c>
      <c r="V60" s="709">
        <v>125</v>
      </c>
      <c r="W60" s="108" t="s">
        <v>1135</v>
      </c>
      <c r="X60" s="709">
        <v>250</v>
      </c>
      <c r="AD60" s="132"/>
    </row>
    <row r="61" spans="1:38">
      <c r="A61" s="319">
        <f>INDEX(QS_Chart_Of_Accounts_Upload!$C:$O,MATCH(B61,QS_Chart_Of_Accounts_Upload!$E:$E,0),MATCH("ACCT_NO",QS_Chart_Of_Accounts_Upload!$C$1:$O$1,0))</f>
        <v>7500</v>
      </c>
      <c r="B61" s="430" t="s">
        <v>390</v>
      </c>
      <c r="C61" s="708">
        <v>0</v>
      </c>
      <c r="D61" s="708">
        <v>0</v>
      </c>
      <c r="E61" s="708">
        <v>0</v>
      </c>
      <c r="F61" s="708">
        <v>0</v>
      </c>
      <c r="G61" s="708">
        <v>0</v>
      </c>
      <c r="H61" s="708">
        <v>0</v>
      </c>
      <c r="I61" s="708">
        <v>0</v>
      </c>
      <c r="J61" s="708">
        <v>0</v>
      </c>
      <c r="K61" s="708">
        <v>0</v>
      </c>
      <c r="L61" s="708">
        <v>0</v>
      </c>
      <c r="M61" s="708">
        <v>0</v>
      </c>
      <c r="N61" s="708">
        <v>0</v>
      </c>
      <c r="O61" s="703">
        <f t="shared" si="5"/>
        <v>0</v>
      </c>
      <c r="P61" s="717"/>
      <c r="Q61" s="62"/>
      <c r="R61" s="62"/>
      <c r="AD61" s="132"/>
    </row>
    <row r="62" spans="1:38">
      <c r="A62" s="319">
        <f>INDEX(QS_Chart_Of_Accounts_Upload!$C:$O,MATCH(B62,QS_Chart_Of_Accounts_Upload!$E:$E,0),MATCH("ACCT_NO",QS_Chart_Of_Accounts_Upload!$C$1:$O$1,0))</f>
        <v>7510</v>
      </c>
      <c r="B62" s="430" t="s">
        <v>391</v>
      </c>
      <c r="C62" s="708">
        <v>0</v>
      </c>
      <c r="D62" s="708">
        <v>0</v>
      </c>
      <c r="E62" s="708">
        <v>0</v>
      </c>
      <c r="F62" s="708">
        <v>0</v>
      </c>
      <c r="G62" s="708">
        <v>0</v>
      </c>
      <c r="H62" s="708">
        <v>0</v>
      </c>
      <c r="I62" s="708">
        <v>0</v>
      </c>
      <c r="J62" s="708">
        <v>0</v>
      </c>
      <c r="K62" s="708">
        <v>0</v>
      </c>
      <c r="L62" s="708">
        <v>0</v>
      </c>
      <c r="M62" s="708">
        <v>0</v>
      </c>
      <c r="N62" s="708">
        <v>0</v>
      </c>
      <c r="O62" s="703">
        <f t="shared" si="5"/>
        <v>0</v>
      </c>
      <c r="P62" s="721"/>
      <c r="Q62" s="62"/>
      <c r="R62" s="62"/>
      <c r="AD62" s="132"/>
    </row>
    <row r="63" spans="1:38">
      <c r="A63" s="319">
        <f>INDEX(QS_Chart_Of_Accounts_Upload!$C:$O,MATCH(B63,QS_Chart_Of_Accounts_Upload!$E:$E,0),MATCH("ACCT_NO",QS_Chart_Of_Accounts_Upload!$C$1:$O$1,0))</f>
        <v>8111</v>
      </c>
      <c r="B63" s="430" t="s">
        <v>405</v>
      </c>
      <c r="C63" s="708">
        <v>0</v>
      </c>
      <c r="D63" s="708">
        <v>0</v>
      </c>
      <c r="E63" s="708">
        <v>0</v>
      </c>
      <c r="F63" s="708">
        <v>0</v>
      </c>
      <c r="G63" s="708">
        <v>0</v>
      </c>
      <c r="H63" s="708">
        <v>0</v>
      </c>
      <c r="I63" s="708">
        <v>0</v>
      </c>
      <c r="J63" s="708">
        <v>0</v>
      </c>
      <c r="K63" s="708">
        <v>0</v>
      </c>
      <c r="L63" s="708">
        <v>0</v>
      </c>
      <c r="M63" s="708">
        <v>0</v>
      </c>
      <c r="N63" s="708">
        <v>0</v>
      </c>
      <c r="O63" s="703">
        <f t="shared" si="5"/>
        <v>0</v>
      </c>
      <c r="P63" s="722"/>
      <c r="Q63" s="723"/>
      <c r="R63" s="723"/>
      <c r="S63" s="2"/>
      <c r="T63" s="461"/>
      <c r="U63" s="2"/>
      <c r="AD63" s="132"/>
    </row>
    <row r="64" spans="1:38" ht="14">
      <c r="A64" s="319">
        <f>INDEX(QS_Chart_Of_Accounts_Upload!$C:$O,MATCH(B64,QS_Chart_Of_Accounts_Upload!$E:$E,0),MATCH("ACCT_NO",QS_Chart_Of_Accounts_Upload!$C$1:$O$1,0))</f>
        <v>7720</v>
      </c>
      <c r="B64" s="430" t="s">
        <v>394</v>
      </c>
      <c r="C64" s="667">
        <f>$T$64*'GPR Worksheet'!$C$22</f>
        <v>224.10000000000002</v>
      </c>
      <c r="D64" s="667">
        <f>$T$64*'GPR Worksheet'!$C$22</f>
        <v>224.10000000000002</v>
      </c>
      <c r="E64" s="667">
        <f>$T$64*'GPR Worksheet'!$C$22</f>
        <v>224.10000000000002</v>
      </c>
      <c r="F64" s="667">
        <f>$T$64*'GPR Worksheet'!$C$22</f>
        <v>224.10000000000002</v>
      </c>
      <c r="G64" s="667">
        <f>$T$64*'GPR Worksheet'!$C$22</f>
        <v>224.10000000000002</v>
      </c>
      <c r="H64" s="667">
        <f>$T$64*'GPR Worksheet'!$C$22</f>
        <v>224.10000000000002</v>
      </c>
      <c r="I64" s="667">
        <f>$T$64*'GPR Worksheet'!$C$22</f>
        <v>224.10000000000002</v>
      </c>
      <c r="J64" s="667">
        <f>$T$64*'GPR Worksheet'!$C$22</f>
        <v>224.10000000000002</v>
      </c>
      <c r="K64" s="667">
        <f>$T$64*'GPR Worksheet'!$C$22</f>
        <v>224.10000000000002</v>
      </c>
      <c r="L64" s="667">
        <f>$T$64*'GPR Worksheet'!$C$22</f>
        <v>224.10000000000002</v>
      </c>
      <c r="M64" s="667">
        <f>$T$64*'GPR Worksheet'!$C$22</f>
        <v>224.10000000000002</v>
      </c>
      <c r="N64" s="667">
        <f>$T$64*'GPR Worksheet'!$C$22</f>
        <v>224.10000000000002</v>
      </c>
      <c r="O64" s="703">
        <f>+SUBTOTAL(9,C64:N64)</f>
        <v>2689.1999999999994</v>
      </c>
      <c r="P64" s="717"/>
      <c r="Q64" s="62" t="s">
        <v>1194</v>
      </c>
      <c r="R64" s="62"/>
      <c r="S64" s="108" t="s">
        <v>138</v>
      </c>
      <c r="T64" s="707">
        <v>2.7</v>
      </c>
      <c r="AD64" s="132"/>
    </row>
    <row r="65" spans="1:34">
      <c r="A65" s="319"/>
      <c r="B65" s="430"/>
      <c r="C65" s="436"/>
      <c r="D65" s="436"/>
      <c r="E65" s="436"/>
      <c r="F65" s="436"/>
      <c r="G65" s="436"/>
      <c r="H65" s="436"/>
      <c r="I65" s="436"/>
      <c r="J65" s="436"/>
      <c r="K65" s="436"/>
      <c r="L65" s="436"/>
      <c r="M65" s="436"/>
      <c r="N65" s="436"/>
      <c r="O65" s="437"/>
      <c r="P65" s="456"/>
      <c r="Q65" s="724"/>
      <c r="R65" s="724"/>
      <c r="S65" s="2"/>
      <c r="T65" s="461"/>
      <c r="AD65" s="132"/>
    </row>
    <row r="66" spans="1:34" ht="14" thickBot="1">
      <c r="A66" s="319"/>
      <c r="B66" s="427" t="s">
        <v>13</v>
      </c>
      <c r="C66" s="725">
        <f>SUM(C21:C65)</f>
        <v>4655.3200000000006</v>
      </c>
      <c r="D66" s="725">
        <f t="shared" ref="D66:N66" si="14">SUM(D21:D65)</f>
        <v>3887.32</v>
      </c>
      <c r="E66" s="725">
        <f t="shared" si="14"/>
        <v>3987.32</v>
      </c>
      <c r="F66" s="725">
        <f t="shared" si="14"/>
        <v>4287.3200000000006</v>
      </c>
      <c r="G66" s="725">
        <f t="shared" si="14"/>
        <v>4817.3200000000006</v>
      </c>
      <c r="H66" s="725">
        <f t="shared" si="14"/>
        <v>5692.3200000000006</v>
      </c>
      <c r="I66" s="725">
        <f t="shared" si="14"/>
        <v>6938.3200000000006</v>
      </c>
      <c r="J66" s="725">
        <f t="shared" si="14"/>
        <v>6388.3200000000006</v>
      </c>
      <c r="K66" s="725">
        <f t="shared" si="14"/>
        <v>6488.3200000000006</v>
      </c>
      <c r="L66" s="725">
        <f t="shared" si="14"/>
        <v>6738.3200000000006</v>
      </c>
      <c r="M66" s="725">
        <f t="shared" si="14"/>
        <v>6538.3200000000006</v>
      </c>
      <c r="N66" s="725">
        <f t="shared" si="14"/>
        <v>6438.3200000000006</v>
      </c>
      <c r="O66" s="689">
        <f>+SUBTOTAL(9,C66:N66)</f>
        <v>66856.840000000011</v>
      </c>
      <c r="P66" s="726"/>
      <c r="Q66" s="714"/>
      <c r="R66" s="714"/>
      <c r="S66" s="63"/>
      <c r="T66" s="715"/>
      <c r="U66" s="101"/>
      <c r="V66" s="101"/>
      <c r="W66" s="101"/>
      <c r="X66" s="101"/>
      <c r="Y66" s="101"/>
      <c r="Z66" s="101"/>
      <c r="AA66" s="101"/>
      <c r="AB66" s="101"/>
      <c r="AC66" s="101"/>
      <c r="AD66" s="640"/>
    </row>
    <row r="67" spans="1:34" ht="14" thickTop="1"/>
    <row r="70" spans="1:34" s="697" customFormat="1">
      <c r="A70" s="690" t="s">
        <v>206</v>
      </c>
      <c r="B70" s="691" t="s">
        <v>25</v>
      </c>
      <c r="C70" s="692">
        <f>'Operating Budget'!F4</f>
        <v>45901</v>
      </c>
      <c r="D70" s="692">
        <f>'Operating Budget'!G4</f>
        <v>45961</v>
      </c>
      <c r="E70" s="692">
        <f>'Operating Budget'!H4</f>
        <v>45991</v>
      </c>
      <c r="F70" s="692">
        <f>'Operating Budget'!I4</f>
        <v>46022</v>
      </c>
      <c r="G70" s="692">
        <f>'Operating Budget'!J4</f>
        <v>46053</v>
      </c>
      <c r="H70" s="692">
        <f>'Operating Budget'!K4</f>
        <v>46081</v>
      </c>
      <c r="I70" s="692">
        <f>'Operating Budget'!L4</f>
        <v>46112</v>
      </c>
      <c r="J70" s="692">
        <f>'Operating Budget'!M4</f>
        <v>46142</v>
      </c>
      <c r="K70" s="692">
        <f>'Operating Budget'!N4</f>
        <v>46173</v>
      </c>
      <c r="L70" s="692">
        <f>'Operating Budget'!O4</f>
        <v>46203</v>
      </c>
      <c r="M70" s="692">
        <f>'Operating Budget'!P4</f>
        <v>46234</v>
      </c>
      <c r="N70" s="692">
        <f>'Operating Budget'!Q4</f>
        <v>46265</v>
      </c>
      <c r="O70" s="693" t="str">
        <f>'Operating Budget'!R4</f>
        <v>Year 1 Total</v>
      </c>
      <c r="P70" s="694"/>
      <c r="Q70" s="695" t="s">
        <v>23</v>
      </c>
      <c r="R70" s="696"/>
      <c r="S70" s="1085" t="s">
        <v>924</v>
      </c>
      <c r="T70" s="1086"/>
      <c r="U70" s="1086"/>
      <c r="V70" s="1086"/>
      <c r="W70" s="1086"/>
      <c r="X70" s="1087"/>
    </row>
    <row r="71" spans="1:34" ht="1.5" customHeight="1">
      <c r="A71" s="319"/>
      <c r="B71" s="427"/>
      <c r="C71" s="699"/>
      <c r="D71" s="699"/>
      <c r="E71" s="699"/>
      <c r="F71" s="699"/>
      <c r="G71" s="699"/>
      <c r="H71" s="699"/>
      <c r="I71" s="699"/>
      <c r="J71" s="699"/>
      <c r="K71" s="699"/>
      <c r="L71" s="699"/>
      <c r="M71" s="699"/>
      <c r="N71" s="699"/>
      <c r="O71" s="700"/>
      <c r="P71" s="442"/>
      <c r="Q71" s="716"/>
      <c r="R71" s="426"/>
      <c r="S71" s="131"/>
    </row>
    <row r="72" spans="1:34">
      <c r="A72" s="319">
        <f>INDEX(QS_Chart_Of_Accounts_Upload!$C:$O,MATCH(B72,QS_Chart_Of_Accounts_Upload!$E:$E,0),MATCH("ACCT_NO",QS_Chart_Of_Accounts_Upload!$C$1:$O$1,0))</f>
        <v>5270</v>
      </c>
      <c r="B72" s="430" t="s">
        <v>293</v>
      </c>
      <c r="C72" s="667">
        <f>+IF($S$72="Access Gate Included",$T$72,0)</f>
        <v>0</v>
      </c>
      <c r="D72" s="667">
        <v>0</v>
      </c>
      <c r="E72" s="667">
        <v>0</v>
      </c>
      <c r="F72" s="667">
        <f>+IF($S$72="Access Gate Included",$T$72,0)</f>
        <v>0</v>
      </c>
      <c r="G72" s="667">
        <v>0</v>
      </c>
      <c r="H72" s="667">
        <v>0</v>
      </c>
      <c r="I72" s="667">
        <f>+IF($S$72="Access Gate Included",$T$72,0)</f>
        <v>0</v>
      </c>
      <c r="J72" s="667">
        <v>0</v>
      </c>
      <c r="K72" s="667">
        <v>0</v>
      </c>
      <c r="L72" s="667">
        <f>+IF($S$72="Access Gate Included",$T$72,0)</f>
        <v>0</v>
      </c>
      <c r="M72" s="667">
        <v>0</v>
      </c>
      <c r="N72" s="667">
        <v>0</v>
      </c>
      <c r="O72" s="703">
        <f t="shared" ref="O72:O113" si="15">+SUBTOTAL(9,C72:N72)</f>
        <v>0</v>
      </c>
      <c r="P72" s="442"/>
      <c r="Q72" s="666"/>
      <c r="R72" s="452"/>
      <c r="S72" s="131" t="s">
        <v>937</v>
      </c>
      <c r="T72" s="709">
        <f>+IF(S72="Access Gate Included",500, 0)</f>
        <v>0</v>
      </c>
      <c r="V72" s="709"/>
      <c r="X72" s="132"/>
      <c r="AF72" s="108" t="s">
        <v>937</v>
      </c>
      <c r="AG72" s="108" t="s">
        <v>938</v>
      </c>
      <c r="AH72" s="108" t="s">
        <v>937</v>
      </c>
    </row>
    <row r="73" spans="1:34">
      <c r="A73" s="319">
        <f>INDEX(QS_Chart_Of_Accounts_Upload!$C:$O,MATCH(B73,QS_Chart_Of_Accounts_Upload!$E:$E,0),MATCH("ACCT_NO",QS_Chart_Of_Accounts_Upload!$C$1:$O$1,0))</f>
        <v>5280</v>
      </c>
      <c r="B73" s="430" t="s">
        <v>295</v>
      </c>
      <c r="C73" s="708">
        <v>0</v>
      </c>
      <c r="D73" s="708">
        <v>0</v>
      </c>
      <c r="E73" s="708">
        <v>0</v>
      </c>
      <c r="F73" s="708">
        <v>0</v>
      </c>
      <c r="G73" s="708">
        <v>0</v>
      </c>
      <c r="H73" s="708">
        <v>0</v>
      </c>
      <c r="I73" s="708">
        <v>0</v>
      </c>
      <c r="J73" s="708">
        <v>0</v>
      </c>
      <c r="K73" s="708">
        <v>0</v>
      </c>
      <c r="L73" s="708">
        <v>0</v>
      </c>
      <c r="M73" s="708">
        <v>0</v>
      </c>
      <c r="N73" s="708">
        <v>0</v>
      </c>
      <c r="O73" s="703">
        <f t="shared" si="15"/>
        <v>0</v>
      </c>
      <c r="P73" s="442"/>
      <c r="Q73" s="727"/>
      <c r="R73" s="728"/>
      <c r="S73" s="131"/>
      <c r="X73" s="132"/>
    </row>
    <row r="74" spans="1:34">
      <c r="A74" s="319">
        <f>INDEX(QS_Chart_Of_Accounts_Upload!$C:$O,MATCH(B74,QS_Chart_Of_Accounts_Upload!$E:$E,0),MATCH("ACCT_NO",QS_Chart_Of_Accounts_Upload!$C$1:$O$1,0))</f>
        <v>5290</v>
      </c>
      <c r="B74" s="430" t="s">
        <v>296</v>
      </c>
      <c r="C74" s="708">
        <v>0</v>
      </c>
      <c r="D74" s="708">
        <v>0</v>
      </c>
      <c r="E74" s="708">
        <v>0</v>
      </c>
      <c r="F74" s="708">
        <v>0</v>
      </c>
      <c r="G74" s="708">
        <v>0</v>
      </c>
      <c r="H74" s="708">
        <v>0</v>
      </c>
      <c r="I74" s="708">
        <v>0</v>
      </c>
      <c r="J74" s="708">
        <v>50</v>
      </c>
      <c r="K74" s="708">
        <v>50</v>
      </c>
      <c r="L74" s="708">
        <v>75</v>
      </c>
      <c r="M74" s="708">
        <v>75</v>
      </c>
      <c r="N74" s="708">
        <v>75</v>
      </c>
      <c r="O74" s="703">
        <f t="shared" si="15"/>
        <v>325</v>
      </c>
      <c r="P74" s="442"/>
      <c r="Q74" s="727"/>
      <c r="R74" s="728"/>
      <c r="S74" s="131"/>
      <c r="X74" s="132"/>
    </row>
    <row r="75" spans="1:34">
      <c r="A75" s="319">
        <f>INDEX(QS_Chart_Of_Accounts_Upload!$C:$O,MATCH(B75,QS_Chart_Of_Accounts_Upload!$E:$E,0),MATCH("ACCT_NO",QS_Chart_Of_Accounts_Upload!$C$1:$O$1,0))</f>
        <v>5300</v>
      </c>
      <c r="B75" s="430" t="s">
        <v>151</v>
      </c>
      <c r="C75" s="708">
        <v>0</v>
      </c>
      <c r="D75" s="708">
        <v>0</v>
      </c>
      <c r="E75" s="708">
        <v>0</v>
      </c>
      <c r="F75" s="708">
        <v>0</v>
      </c>
      <c r="G75" s="708">
        <v>0</v>
      </c>
      <c r="H75" s="708">
        <v>0</v>
      </c>
      <c r="I75" s="708">
        <v>0</v>
      </c>
      <c r="J75" s="708">
        <v>0</v>
      </c>
      <c r="K75" s="708">
        <v>0</v>
      </c>
      <c r="L75" s="708">
        <v>0</v>
      </c>
      <c r="M75" s="708">
        <v>0</v>
      </c>
      <c r="N75" s="708">
        <v>0</v>
      </c>
      <c r="O75" s="703">
        <f t="shared" si="15"/>
        <v>0</v>
      </c>
      <c r="P75" s="442"/>
      <c r="Q75" s="727"/>
      <c r="R75" s="728"/>
      <c r="S75" s="131"/>
      <c r="X75" s="132"/>
    </row>
    <row r="76" spans="1:34">
      <c r="A76" s="319">
        <f>INDEX(QS_Chart_Of_Accounts_Upload!$C:$O,MATCH(B76,QS_Chart_Of_Accounts_Upload!$E:$E,0),MATCH("ACCT_NO",QS_Chart_Of_Accounts_Upload!$C$1:$O$1,0))</f>
        <v>6009.1</v>
      </c>
      <c r="B76" s="430" t="s">
        <v>297</v>
      </c>
      <c r="C76" s="708">
        <v>0</v>
      </c>
      <c r="D76" s="708">
        <v>0</v>
      </c>
      <c r="E76" s="708">
        <v>0</v>
      </c>
      <c r="F76" s="708">
        <v>0</v>
      </c>
      <c r="G76" s="708">
        <v>0</v>
      </c>
      <c r="H76" s="708">
        <v>0</v>
      </c>
      <c r="I76" s="708">
        <v>0</v>
      </c>
      <c r="J76" s="708">
        <v>0</v>
      </c>
      <c r="K76" s="708">
        <v>0</v>
      </c>
      <c r="L76" s="708">
        <v>0</v>
      </c>
      <c r="M76" s="708">
        <v>0</v>
      </c>
      <c r="N76" s="708">
        <v>0</v>
      </c>
      <c r="O76" s="703">
        <f t="shared" si="15"/>
        <v>0</v>
      </c>
      <c r="P76" s="442"/>
      <c r="Q76" s="727"/>
      <c r="R76" s="728"/>
      <c r="S76" s="131"/>
      <c r="X76" s="132"/>
    </row>
    <row r="77" spans="1:34">
      <c r="A77" s="319">
        <f>INDEX(QS_Chart_Of_Accounts_Upload!$C:$O,MATCH(B77,QS_Chart_Of_Accounts_Upload!$E:$E,0),MATCH("ACCT_NO",QS_Chart_Of_Accounts_Upload!$C$1:$O$1,0))</f>
        <v>6010</v>
      </c>
      <c r="B77" s="430" t="s">
        <v>298</v>
      </c>
      <c r="C77" s="708">
        <v>0</v>
      </c>
      <c r="D77" s="708">
        <v>0</v>
      </c>
      <c r="E77" s="708">
        <v>50</v>
      </c>
      <c r="F77" s="708">
        <v>0</v>
      </c>
      <c r="G77" s="708">
        <v>0</v>
      </c>
      <c r="H77" s="708">
        <v>0</v>
      </c>
      <c r="I77" s="708">
        <v>50</v>
      </c>
      <c r="J77" s="708">
        <v>50</v>
      </c>
      <c r="K77" s="708">
        <v>50</v>
      </c>
      <c r="L77" s="708">
        <v>75</v>
      </c>
      <c r="M77" s="708">
        <v>75</v>
      </c>
      <c r="N77" s="708">
        <v>100</v>
      </c>
      <c r="O77" s="703">
        <f t="shared" si="15"/>
        <v>450</v>
      </c>
      <c r="P77" s="442"/>
      <c r="Q77" s="727"/>
      <c r="R77" s="728"/>
      <c r="S77" s="131"/>
      <c r="X77" s="132"/>
    </row>
    <row r="78" spans="1:34">
      <c r="A78" s="319">
        <f>INDEX(QS_Chart_Of_Accounts_Upload!$C:$O,MATCH(B78,QS_Chart_Of_Accounts_Upload!$E:$E,0),MATCH("ACCT_NO",QS_Chart_Of_Accounts_Upload!$C$1:$O$1,0))</f>
        <v>6020</v>
      </c>
      <c r="B78" s="430" t="s">
        <v>299</v>
      </c>
      <c r="C78" s="708">
        <v>0</v>
      </c>
      <c r="D78" s="708">
        <v>0</v>
      </c>
      <c r="E78" s="708">
        <v>50</v>
      </c>
      <c r="F78" s="708">
        <v>0</v>
      </c>
      <c r="G78" s="708">
        <v>0</v>
      </c>
      <c r="H78" s="708">
        <v>0</v>
      </c>
      <c r="I78" s="708">
        <v>50</v>
      </c>
      <c r="J78" s="708">
        <v>50</v>
      </c>
      <c r="K78" s="708">
        <v>50</v>
      </c>
      <c r="L78" s="708">
        <v>75</v>
      </c>
      <c r="M78" s="708">
        <v>75</v>
      </c>
      <c r="N78" s="708">
        <v>100</v>
      </c>
      <c r="O78" s="703">
        <f t="shared" si="15"/>
        <v>450</v>
      </c>
      <c r="P78" s="442"/>
      <c r="Q78" s="666"/>
      <c r="R78" s="452"/>
      <c r="S78" s="131"/>
      <c r="X78" s="132"/>
    </row>
    <row r="79" spans="1:34">
      <c r="A79" s="319">
        <f>INDEX(QS_Chart_Of_Accounts_Upload!$C:$O,MATCH(B79,QS_Chart_Of_Accounts_Upload!$E:$E,0),MATCH("ACCT_NO",QS_Chart_Of_Accounts_Upload!$C$1:$O$1,0))</f>
        <v>6100</v>
      </c>
      <c r="B79" s="430" t="s">
        <v>300</v>
      </c>
      <c r="C79" s="708">
        <v>0</v>
      </c>
      <c r="D79" s="708">
        <v>0</v>
      </c>
      <c r="E79" s="708">
        <v>0</v>
      </c>
      <c r="F79" s="708">
        <v>0</v>
      </c>
      <c r="G79" s="708">
        <v>0</v>
      </c>
      <c r="H79" s="708">
        <v>0</v>
      </c>
      <c r="I79" s="708">
        <v>0</v>
      </c>
      <c r="J79" s="708">
        <v>0</v>
      </c>
      <c r="K79" s="708">
        <v>0</v>
      </c>
      <c r="L79" s="708">
        <v>0</v>
      </c>
      <c r="M79" s="708">
        <v>0</v>
      </c>
      <c r="N79" s="708">
        <v>0</v>
      </c>
      <c r="O79" s="703">
        <f t="shared" si="15"/>
        <v>0</v>
      </c>
      <c r="P79" s="442"/>
      <c r="Q79" s="727"/>
      <c r="R79" s="728"/>
      <c r="S79" s="131"/>
      <c r="X79" s="132"/>
    </row>
    <row r="80" spans="1:34">
      <c r="A80" s="319">
        <f>INDEX(QS_Chart_Of_Accounts_Upload!$C:$O,MATCH(B80,QS_Chart_Of_Accounts_Upload!$E:$E,0),MATCH("ACCT_NO",QS_Chart_Of_Accounts_Upload!$C$1:$O$1,0))</f>
        <v>6120</v>
      </c>
      <c r="B80" s="430" t="s">
        <v>301</v>
      </c>
      <c r="C80" s="708">
        <v>0</v>
      </c>
      <c r="D80" s="708">
        <v>0</v>
      </c>
      <c r="E80" s="708">
        <v>0</v>
      </c>
      <c r="F80" s="708">
        <v>0</v>
      </c>
      <c r="G80" s="708">
        <v>0</v>
      </c>
      <c r="H80" s="708">
        <v>0</v>
      </c>
      <c r="I80" s="708">
        <v>0</v>
      </c>
      <c r="J80" s="708">
        <v>0</v>
      </c>
      <c r="K80" s="708">
        <v>0</v>
      </c>
      <c r="L80" s="708">
        <v>0</v>
      </c>
      <c r="M80" s="708">
        <v>0</v>
      </c>
      <c r="N80" s="708">
        <v>0</v>
      </c>
      <c r="O80" s="703">
        <f t="shared" si="15"/>
        <v>0</v>
      </c>
      <c r="P80" s="442"/>
      <c r="Q80" s="666"/>
      <c r="R80" s="452"/>
      <c r="S80" s="131"/>
      <c r="X80" s="132"/>
    </row>
    <row r="81" spans="1:24">
      <c r="A81" s="319">
        <f>INDEX(QS_Chart_Of_Accounts_Upload!$C:$O,MATCH(B81,QS_Chart_Of_Accounts_Upload!$E:$E,0),MATCH("ACCT_NO",QS_Chart_Of_Accounts_Upload!$C$1:$O$1,0))</f>
        <v>6121</v>
      </c>
      <c r="B81" s="430" t="s">
        <v>302</v>
      </c>
      <c r="C81" s="708">
        <v>0</v>
      </c>
      <c r="D81" s="708">
        <v>0</v>
      </c>
      <c r="E81" s="708">
        <v>0</v>
      </c>
      <c r="F81" s="708">
        <v>0</v>
      </c>
      <c r="G81" s="708">
        <v>0</v>
      </c>
      <c r="H81" s="708">
        <v>0</v>
      </c>
      <c r="I81" s="708">
        <v>0</v>
      </c>
      <c r="J81" s="708">
        <v>0</v>
      </c>
      <c r="K81" s="708">
        <v>0</v>
      </c>
      <c r="L81" s="708">
        <v>0</v>
      </c>
      <c r="M81" s="708">
        <v>0</v>
      </c>
      <c r="N81" s="708">
        <v>0</v>
      </c>
      <c r="O81" s="703">
        <f t="shared" si="15"/>
        <v>0</v>
      </c>
      <c r="P81" s="442"/>
      <c r="Q81" s="727"/>
      <c r="R81" s="728"/>
      <c r="S81" s="131"/>
      <c r="X81" s="132"/>
    </row>
    <row r="82" spans="1:24">
      <c r="A82" s="319">
        <f>INDEX(QS_Chart_Of_Accounts_Upload!$C:$O,MATCH(B82,QS_Chart_Of_Accounts_Upload!$E:$E,0),MATCH("ACCT_NO",QS_Chart_Of_Accounts_Upload!$C$1:$O$1,0))</f>
        <v>6130</v>
      </c>
      <c r="B82" s="430" t="s">
        <v>303</v>
      </c>
      <c r="C82" s="708">
        <v>0</v>
      </c>
      <c r="D82" s="708">
        <v>0</v>
      </c>
      <c r="E82" s="708">
        <v>0</v>
      </c>
      <c r="F82" s="708">
        <v>0</v>
      </c>
      <c r="G82" s="708">
        <v>0</v>
      </c>
      <c r="H82" s="708">
        <v>0</v>
      </c>
      <c r="I82" s="708">
        <v>0</v>
      </c>
      <c r="J82" s="708">
        <v>0</v>
      </c>
      <c r="K82" s="708">
        <v>0</v>
      </c>
      <c r="L82" s="708">
        <v>0</v>
      </c>
      <c r="M82" s="708">
        <v>0</v>
      </c>
      <c r="N82" s="708">
        <v>0</v>
      </c>
      <c r="O82" s="703">
        <f t="shared" si="15"/>
        <v>0</v>
      </c>
      <c r="P82" s="442"/>
      <c r="Q82" s="727"/>
      <c r="R82" s="728"/>
      <c r="S82" s="131"/>
      <c r="X82" s="132"/>
    </row>
    <row r="83" spans="1:24">
      <c r="A83" s="319">
        <f>INDEX(QS_Chart_Of_Accounts_Upload!$C:$O,MATCH(B83,QS_Chart_Of_Accounts_Upload!$E:$E,0),MATCH("ACCT_NO",QS_Chart_Of_Accounts_Upload!$C$1:$O$1,0))</f>
        <v>6140</v>
      </c>
      <c r="B83" s="430" t="s">
        <v>304</v>
      </c>
      <c r="C83" s="708">
        <v>0</v>
      </c>
      <c r="D83" s="708">
        <v>0</v>
      </c>
      <c r="E83" s="708">
        <v>0</v>
      </c>
      <c r="F83" s="708">
        <v>0</v>
      </c>
      <c r="G83" s="708">
        <v>0</v>
      </c>
      <c r="H83" s="708">
        <v>0</v>
      </c>
      <c r="I83" s="708">
        <v>0</v>
      </c>
      <c r="J83" s="708">
        <v>0</v>
      </c>
      <c r="K83" s="708">
        <v>0</v>
      </c>
      <c r="L83" s="708">
        <v>0</v>
      </c>
      <c r="M83" s="708">
        <v>0</v>
      </c>
      <c r="N83" s="708">
        <v>0</v>
      </c>
      <c r="O83" s="703">
        <f t="shared" si="15"/>
        <v>0</v>
      </c>
      <c r="P83" s="442"/>
      <c r="Q83" s="727"/>
      <c r="R83" s="728"/>
      <c r="S83" s="131"/>
      <c r="X83" s="132"/>
    </row>
    <row r="84" spans="1:24">
      <c r="A84" s="319">
        <f>INDEX(QS_Chart_Of_Accounts_Upload!$C:$O,MATCH(B84,QS_Chart_Of_Accounts_Upload!$E:$E,0),MATCH("ACCT_NO",QS_Chart_Of_Accounts_Upload!$C$1:$O$1,0))</f>
        <v>6145.1</v>
      </c>
      <c r="B84" s="430" t="s">
        <v>305</v>
      </c>
      <c r="C84" s="708">
        <v>0</v>
      </c>
      <c r="D84" s="708">
        <v>0</v>
      </c>
      <c r="E84" s="708">
        <v>0</v>
      </c>
      <c r="F84" s="708">
        <v>0</v>
      </c>
      <c r="G84" s="708">
        <v>0</v>
      </c>
      <c r="H84" s="708">
        <v>0</v>
      </c>
      <c r="I84" s="708">
        <v>0</v>
      </c>
      <c r="J84" s="708">
        <v>0</v>
      </c>
      <c r="K84" s="708">
        <v>0</v>
      </c>
      <c r="L84" s="708">
        <v>0</v>
      </c>
      <c r="M84" s="708">
        <v>0</v>
      </c>
      <c r="N84" s="708">
        <v>0</v>
      </c>
      <c r="O84" s="703">
        <f t="shared" si="15"/>
        <v>0</v>
      </c>
      <c r="P84" s="442"/>
      <c r="Q84" s="727"/>
      <c r="R84" s="728"/>
      <c r="S84" s="131"/>
      <c r="X84" s="132"/>
    </row>
    <row r="85" spans="1:24">
      <c r="A85" s="319">
        <f>INDEX(QS_Chart_Of_Accounts_Upload!$C:$O,MATCH(B85,QS_Chart_Of_Accounts_Upload!$E:$E,0),MATCH("ACCT_NO",QS_Chart_Of_Accounts_Upload!$C$1:$O$1,0))</f>
        <v>6146</v>
      </c>
      <c r="B85" s="430" t="s">
        <v>306</v>
      </c>
      <c r="C85" s="708">
        <v>0</v>
      </c>
      <c r="D85" s="708">
        <v>0</v>
      </c>
      <c r="E85" s="708">
        <v>0</v>
      </c>
      <c r="F85" s="708">
        <v>0</v>
      </c>
      <c r="G85" s="708">
        <v>0</v>
      </c>
      <c r="H85" s="708">
        <v>0</v>
      </c>
      <c r="I85" s="708">
        <v>0</v>
      </c>
      <c r="J85" s="708">
        <v>0</v>
      </c>
      <c r="K85" s="708">
        <v>0</v>
      </c>
      <c r="L85" s="708">
        <v>0</v>
      </c>
      <c r="M85" s="708">
        <v>0</v>
      </c>
      <c r="N85" s="708">
        <v>0</v>
      </c>
      <c r="O85" s="703">
        <f t="shared" si="15"/>
        <v>0</v>
      </c>
      <c r="P85" s="442"/>
      <c r="Q85" s="727"/>
      <c r="R85" s="728"/>
      <c r="S85" s="131"/>
      <c r="X85" s="132"/>
    </row>
    <row r="86" spans="1:24">
      <c r="A86" s="319">
        <f>INDEX(QS_Chart_Of_Accounts_Upload!$C:$O,MATCH(B86,QS_Chart_Of_Accounts_Upload!$E:$E,0),MATCH("ACCT_NO",QS_Chart_Of_Accounts_Upload!$C$1:$O$1,0))</f>
        <v>6160</v>
      </c>
      <c r="B86" s="430" t="s">
        <v>307</v>
      </c>
      <c r="C86" s="708">
        <v>0</v>
      </c>
      <c r="D86" s="708">
        <v>0</v>
      </c>
      <c r="E86" s="708">
        <v>50</v>
      </c>
      <c r="F86" s="708">
        <v>0</v>
      </c>
      <c r="G86" s="708">
        <v>0</v>
      </c>
      <c r="H86" s="708">
        <v>0</v>
      </c>
      <c r="I86" s="708">
        <v>50</v>
      </c>
      <c r="J86" s="708">
        <v>50</v>
      </c>
      <c r="K86" s="708">
        <v>50</v>
      </c>
      <c r="L86" s="708">
        <v>75</v>
      </c>
      <c r="M86" s="708">
        <v>75</v>
      </c>
      <c r="N86" s="708">
        <v>100</v>
      </c>
      <c r="O86" s="703">
        <f t="shared" si="15"/>
        <v>450</v>
      </c>
      <c r="P86" s="442"/>
      <c r="Q86" s="727"/>
      <c r="R86" s="728"/>
      <c r="S86" s="131"/>
      <c r="X86" s="132"/>
    </row>
    <row r="87" spans="1:24">
      <c r="A87" s="319">
        <f>INDEX(QS_Chart_Of_Accounts_Upload!$C:$O,MATCH(B87,QS_Chart_Of_Accounts_Upload!$E:$E,0),MATCH("ACCT_NO",QS_Chart_Of_Accounts_Upload!$C$1:$O$1,0))</f>
        <v>6165</v>
      </c>
      <c r="B87" s="430" t="s">
        <v>308</v>
      </c>
      <c r="C87" s="708">
        <v>0</v>
      </c>
      <c r="D87" s="708">
        <v>0</v>
      </c>
      <c r="E87" s="708">
        <v>0</v>
      </c>
      <c r="F87" s="708">
        <v>0</v>
      </c>
      <c r="G87" s="708">
        <v>0</v>
      </c>
      <c r="H87" s="708">
        <v>0</v>
      </c>
      <c r="I87" s="708">
        <v>0</v>
      </c>
      <c r="J87" s="708">
        <v>0</v>
      </c>
      <c r="K87" s="708">
        <v>0</v>
      </c>
      <c r="L87" s="708">
        <v>0</v>
      </c>
      <c r="M87" s="708">
        <v>0</v>
      </c>
      <c r="N87" s="708">
        <v>0</v>
      </c>
      <c r="O87" s="703">
        <f t="shared" si="15"/>
        <v>0</v>
      </c>
      <c r="P87" s="442"/>
      <c r="Q87" s="727"/>
      <c r="R87" s="728"/>
      <c r="S87" s="131"/>
      <c r="X87" s="132"/>
    </row>
    <row r="88" spans="1:24">
      <c r="A88" s="319">
        <f>INDEX(QS_Chart_Of_Accounts_Upload!$C:$O,MATCH(B88,QS_Chart_Of_Accounts_Upload!$E:$E,0),MATCH("ACCT_NO",QS_Chart_Of_Accounts_Upload!$C$1:$O$1,0))</f>
        <v>6170</v>
      </c>
      <c r="B88" s="430" t="s">
        <v>309</v>
      </c>
      <c r="C88" s="708">
        <v>0</v>
      </c>
      <c r="D88" s="708">
        <v>0</v>
      </c>
      <c r="E88" s="708">
        <v>0</v>
      </c>
      <c r="F88" s="708">
        <v>0</v>
      </c>
      <c r="G88" s="708">
        <v>0</v>
      </c>
      <c r="H88" s="708">
        <v>0</v>
      </c>
      <c r="I88" s="708">
        <v>0</v>
      </c>
      <c r="J88" s="708">
        <v>0</v>
      </c>
      <c r="K88" s="708">
        <v>0</v>
      </c>
      <c r="L88" s="708">
        <v>0</v>
      </c>
      <c r="M88" s="708">
        <v>0</v>
      </c>
      <c r="N88" s="708">
        <v>0</v>
      </c>
      <c r="O88" s="703">
        <f t="shared" si="15"/>
        <v>0</v>
      </c>
      <c r="P88" s="442"/>
      <c r="Q88" s="727"/>
      <c r="R88" s="728"/>
      <c r="S88" s="131"/>
      <c r="X88" s="132"/>
    </row>
    <row r="89" spans="1:24">
      <c r="A89" s="319">
        <f>INDEX(QS_Chart_Of_Accounts_Upload!$C:$O,MATCH(B89,QS_Chart_Of_Accounts_Upload!$E:$E,0),MATCH("ACCT_NO",QS_Chart_Of_Accounts_Upload!$C$1:$O$1,0))</f>
        <v>6180</v>
      </c>
      <c r="B89" s="430" t="s">
        <v>310</v>
      </c>
      <c r="C89" s="708">
        <v>0</v>
      </c>
      <c r="D89" s="708">
        <v>0</v>
      </c>
      <c r="E89" s="708">
        <v>0</v>
      </c>
      <c r="F89" s="708">
        <v>0</v>
      </c>
      <c r="G89" s="708">
        <v>0</v>
      </c>
      <c r="H89" s="708">
        <v>0</v>
      </c>
      <c r="I89" s="708">
        <v>0</v>
      </c>
      <c r="J89" s="708">
        <v>0</v>
      </c>
      <c r="K89" s="708">
        <v>0</v>
      </c>
      <c r="L89" s="708">
        <v>0</v>
      </c>
      <c r="M89" s="708">
        <v>0</v>
      </c>
      <c r="N89" s="708">
        <v>0</v>
      </c>
      <c r="O89" s="703">
        <f t="shared" si="15"/>
        <v>0</v>
      </c>
      <c r="P89" s="442"/>
      <c r="Q89" s="727"/>
      <c r="R89" s="728"/>
      <c r="S89" s="131"/>
      <c r="X89" s="132"/>
    </row>
    <row r="90" spans="1:24">
      <c r="A90" s="319">
        <f>INDEX(QS_Chart_Of_Accounts_Upload!$C:$O,MATCH(B90,QS_Chart_Of_Accounts_Upload!$E:$E,0),MATCH("ACCT_NO",QS_Chart_Of_Accounts_Upload!$C$1:$O$1,0))</f>
        <v>6190</v>
      </c>
      <c r="B90" s="430" t="s">
        <v>311</v>
      </c>
      <c r="C90" s="708">
        <v>0</v>
      </c>
      <c r="D90" s="708">
        <v>0</v>
      </c>
      <c r="E90" s="708">
        <v>0</v>
      </c>
      <c r="F90" s="708">
        <v>0</v>
      </c>
      <c r="G90" s="708">
        <v>0</v>
      </c>
      <c r="H90" s="708">
        <v>0</v>
      </c>
      <c r="I90" s="708">
        <v>0</v>
      </c>
      <c r="J90" s="708">
        <v>0</v>
      </c>
      <c r="K90" s="708">
        <v>0</v>
      </c>
      <c r="L90" s="708">
        <v>0</v>
      </c>
      <c r="M90" s="708">
        <v>0</v>
      </c>
      <c r="N90" s="708">
        <v>0</v>
      </c>
      <c r="O90" s="703">
        <f t="shared" si="15"/>
        <v>0</v>
      </c>
      <c r="P90" s="442"/>
      <c r="Q90" s="727"/>
      <c r="R90" s="728"/>
      <c r="S90" s="131"/>
      <c r="X90" s="132"/>
    </row>
    <row r="91" spans="1:24">
      <c r="A91" s="319">
        <f>INDEX(QS_Chart_Of_Accounts_Upload!$C:$O,MATCH(B91,QS_Chart_Of_Accounts_Upload!$E:$E,0),MATCH("ACCT_NO",QS_Chart_Of_Accounts_Upload!$C$1:$O$1,0))</f>
        <v>6200</v>
      </c>
      <c r="B91" s="430" t="s">
        <v>312</v>
      </c>
      <c r="C91" s="708">
        <v>0</v>
      </c>
      <c r="D91" s="708">
        <v>0</v>
      </c>
      <c r="E91" s="708">
        <v>0</v>
      </c>
      <c r="F91" s="708">
        <v>0</v>
      </c>
      <c r="G91" s="708">
        <v>0</v>
      </c>
      <c r="H91" s="708">
        <v>0</v>
      </c>
      <c r="I91" s="708">
        <v>0</v>
      </c>
      <c r="J91" s="708">
        <v>0</v>
      </c>
      <c r="K91" s="708">
        <v>0</v>
      </c>
      <c r="L91" s="708">
        <v>0</v>
      </c>
      <c r="M91" s="708">
        <v>0</v>
      </c>
      <c r="N91" s="708">
        <v>0</v>
      </c>
      <c r="O91" s="703">
        <f t="shared" si="15"/>
        <v>0</v>
      </c>
      <c r="P91" s="442"/>
      <c r="Q91" s="727"/>
      <c r="R91" s="728"/>
      <c r="S91" s="131"/>
      <c r="X91" s="132"/>
    </row>
    <row r="92" spans="1:24">
      <c r="A92" s="319">
        <f>INDEX(QS_Chart_Of_Accounts_Upload!$C:$O,MATCH(B92,QS_Chart_Of_Accounts_Upload!$E:$E,0),MATCH("ACCT_NO",QS_Chart_Of_Accounts_Upload!$C$1:$O$1,0))</f>
        <v>6210</v>
      </c>
      <c r="B92" s="430" t="s">
        <v>313</v>
      </c>
      <c r="C92" s="708">
        <v>0</v>
      </c>
      <c r="D92" s="708">
        <v>0</v>
      </c>
      <c r="E92" s="708">
        <v>0</v>
      </c>
      <c r="F92" s="708">
        <v>0</v>
      </c>
      <c r="G92" s="708">
        <v>0</v>
      </c>
      <c r="H92" s="708">
        <v>0</v>
      </c>
      <c r="I92" s="708">
        <v>0</v>
      </c>
      <c r="J92" s="708">
        <v>0</v>
      </c>
      <c r="K92" s="708">
        <v>0</v>
      </c>
      <c r="L92" s="708">
        <v>0</v>
      </c>
      <c r="M92" s="708">
        <v>0</v>
      </c>
      <c r="N92" s="708">
        <v>0</v>
      </c>
      <c r="O92" s="703">
        <f t="shared" si="15"/>
        <v>0</v>
      </c>
      <c r="P92" s="442"/>
      <c r="Q92" s="727"/>
      <c r="R92" s="728"/>
      <c r="S92" s="131"/>
      <c r="X92" s="132"/>
    </row>
    <row r="93" spans="1:24">
      <c r="A93" s="319">
        <f>INDEX(QS_Chart_Of_Accounts_Upload!$C:$O,MATCH(B93,QS_Chart_Of_Accounts_Upload!$E:$E,0),MATCH("ACCT_NO",QS_Chart_Of_Accounts_Upload!$C$1:$O$1,0))</f>
        <v>6220</v>
      </c>
      <c r="B93" s="430" t="s">
        <v>152</v>
      </c>
      <c r="C93" s="708">
        <v>0</v>
      </c>
      <c r="D93" s="708">
        <v>0</v>
      </c>
      <c r="E93" s="708">
        <v>0</v>
      </c>
      <c r="F93" s="708">
        <v>0</v>
      </c>
      <c r="G93" s="708">
        <v>0</v>
      </c>
      <c r="H93" s="708">
        <v>0</v>
      </c>
      <c r="I93" s="708">
        <v>0</v>
      </c>
      <c r="J93" s="708">
        <v>0</v>
      </c>
      <c r="K93" s="708">
        <v>0</v>
      </c>
      <c r="L93" s="708">
        <v>0</v>
      </c>
      <c r="M93" s="708">
        <v>0</v>
      </c>
      <c r="N93" s="708">
        <v>0</v>
      </c>
      <c r="O93" s="703">
        <f t="shared" si="15"/>
        <v>0</v>
      </c>
      <c r="P93" s="442"/>
      <c r="Q93" s="727"/>
      <c r="R93" s="728"/>
      <c r="S93" s="131"/>
      <c r="X93" s="132"/>
    </row>
    <row r="94" spans="1:24">
      <c r="A94" s="319">
        <f>INDEX(QS_Chart_Of_Accounts_Upload!$C:$O,MATCH(B94,QS_Chart_Of_Accounts_Upload!$E:$E,0),MATCH("ACCT_NO",QS_Chart_Of_Accounts_Upload!$C$1:$O$1,0))</f>
        <v>6225</v>
      </c>
      <c r="B94" s="430" t="s">
        <v>314</v>
      </c>
      <c r="C94" s="708">
        <v>0</v>
      </c>
      <c r="D94" s="708">
        <v>0</v>
      </c>
      <c r="E94" s="708">
        <v>0</v>
      </c>
      <c r="F94" s="708">
        <v>0</v>
      </c>
      <c r="G94" s="708">
        <v>0</v>
      </c>
      <c r="H94" s="708">
        <v>0</v>
      </c>
      <c r="I94" s="708">
        <v>0</v>
      </c>
      <c r="J94" s="708">
        <v>0</v>
      </c>
      <c r="K94" s="708">
        <v>0</v>
      </c>
      <c r="L94" s="708">
        <v>0</v>
      </c>
      <c r="M94" s="708">
        <v>0</v>
      </c>
      <c r="N94" s="708">
        <v>0</v>
      </c>
      <c r="O94" s="703">
        <f t="shared" si="15"/>
        <v>0</v>
      </c>
      <c r="P94" s="442"/>
      <c r="Q94" s="729"/>
      <c r="R94" s="730"/>
      <c r="S94" s="131"/>
      <c r="X94" s="132"/>
    </row>
    <row r="95" spans="1:24">
      <c r="A95" s="319">
        <f>INDEX(QS_Chart_Of_Accounts_Upload!$C:$O,MATCH(B95,QS_Chart_Of_Accounts_Upload!$E:$E,0),MATCH("ACCT_NO",QS_Chart_Of_Accounts_Upload!$C$1:$O$1,0))</f>
        <v>6230</v>
      </c>
      <c r="B95" s="430" t="s">
        <v>17</v>
      </c>
      <c r="C95" s="708">
        <v>0</v>
      </c>
      <c r="D95" s="708">
        <v>0</v>
      </c>
      <c r="E95" s="708">
        <v>0</v>
      </c>
      <c r="F95" s="708">
        <v>0</v>
      </c>
      <c r="G95" s="708">
        <v>0</v>
      </c>
      <c r="H95" s="708">
        <v>0</v>
      </c>
      <c r="I95" s="708">
        <v>500</v>
      </c>
      <c r="J95" s="708">
        <v>0</v>
      </c>
      <c r="K95" s="708">
        <v>0</v>
      </c>
      <c r="L95" s="708">
        <v>0</v>
      </c>
      <c r="M95" s="708">
        <v>0</v>
      </c>
      <c r="N95" s="708">
        <v>500</v>
      </c>
      <c r="O95" s="703">
        <f t="shared" si="15"/>
        <v>1000</v>
      </c>
      <c r="P95" s="442"/>
      <c r="Q95" s="727"/>
      <c r="R95" s="728"/>
      <c r="S95" s="131"/>
      <c r="X95" s="132"/>
    </row>
    <row r="96" spans="1:24">
      <c r="A96" s="319">
        <f>INDEX(QS_Chart_Of_Accounts_Upload!$C:$O,MATCH(B96,QS_Chart_Of_Accounts_Upload!$E:$E,0),MATCH("ACCT_NO",QS_Chart_Of_Accounts_Upload!$C$1:$O$1,0))</f>
        <v>6230.1</v>
      </c>
      <c r="B96" s="430" t="s">
        <v>315</v>
      </c>
      <c r="C96" s="708">
        <v>0</v>
      </c>
      <c r="D96" s="708">
        <v>0</v>
      </c>
      <c r="E96" s="708">
        <v>83</v>
      </c>
      <c r="F96" s="708">
        <v>0</v>
      </c>
      <c r="G96" s="708">
        <v>0</v>
      </c>
      <c r="H96" s="708">
        <v>83</v>
      </c>
      <c r="I96" s="708">
        <v>0</v>
      </c>
      <c r="J96" s="708">
        <v>0</v>
      </c>
      <c r="K96" s="708">
        <v>83</v>
      </c>
      <c r="L96" s="708">
        <v>0</v>
      </c>
      <c r="M96" s="708">
        <v>0</v>
      </c>
      <c r="N96" s="708">
        <v>83</v>
      </c>
      <c r="O96" s="703">
        <f t="shared" si="15"/>
        <v>332</v>
      </c>
      <c r="P96" s="442"/>
      <c r="Q96" s="727"/>
      <c r="R96" s="728"/>
      <c r="S96" s="131"/>
      <c r="X96" s="132"/>
    </row>
    <row r="97" spans="1:24">
      <c r="A97" s="319">
        <f>INDEX(QS_Chart_Of_Accounts_Upload!$C:$O,MATCH(B97,QS_Chart_Of_Accounts_Upload!$E:$E,0),MATCH("ACCT_NO",QS_Chart_Of_Accounts_Upload!$C$1:$O$1,0))</f>
        <v>6240</v>
      </c>
      <c r="B97" s="430" t="s">
        <v>316</v>
      </c>
      <c r="C97" s="708">
        <v>0</v>
      </c>
      <c r="D97" s="708">
        <v>0</v>
      </c>
      <c r="E97" s="708">
        <v>0</v>
      </c>
      <c r="F97" s="708">
        <v>0</v>
      </c>
      <c r="G97" s="708">
        <v>0</v>
      </c>
      <c r="H97" s="708">
        <v>0</v>
      </c>
      <c r="I97" s="708">
        <v>0</v>
      </c>
      <c r="J97" s="708">
        <v>0</v>
      </c>
      <c r="K97" s="708">
        <v>0</v>
      </c>
      <c r="L97" s="708">
        <v>0</v>
      </c>
      <c r="M97" s="708">
        <v>0</v>
      </c>
      <c r="N97" s="708">
        <v>0</v>
      </c>
      <c r="O97" s="703">
        <f t="shared" si="15"/>
        <v>0</v>
      </c>
      <c r="P97" s="442"/>
      <c r="Q97" s="727"/>
      <c r="R97" s="728"/>
      <c r="S97" s="131"/>
      <c r="X97" s="132"/>
    </row>
    <row r="98" spans="1:24">
      <c r="A98" s="319">
        <f>INDEX(QS_Chart_Of_Accounts_Upload!$C:$O,MATCH(B98,QS_Chart_Of_Accounts_Upload!$E:$E,0),MATCH("ACCT_NO",QS_Chart_Of_Accounts_Upload!$C$1:$O$1,0))</f>
        <v>6250</v>
      </c>
      <c r="B98" s="430" t="s">
        <v>317</v>
      </c>
      <c r="C98" s="708">
        <v>0</v>
      </c>
      <c r="D98" s="708">
        <v>0</v>
      </c>
      <c r="E98" s="708">
        <v>50</v>
      </c>
      <c r="F98" s="708">
        <v>0</v>
      </c>
      <c r="G98" s="708">
        <v>0</v>
      </c>
      <c r="H98" s="708">
        <v>0</v>
      </c>
      <c r="I98" s="708">
        <v>50</v>
      </c>
      <c r="J98" s="708">
        <v>50</v>
      </c>
      <c r="K98" s="708">
        <v>75</v>
      </c>
      <c r="L98" s="708">
        <v>75</v>
      </c>
      <c r="M98" s="708">
        <v>100</v>
      </c>
      <c r="N98" s="708">
        <v>100</v>
      </c>
      <c r="O98" s="703">
        <f t="shared" si="15"/>
        <v>500</v>
      </c>
      <c r="P98" s="442"/>
      <c r="Q98" s="727"/>
      <c r="R98" s="728"/>
      <c r="S98" s="131"/>
      <c r="X98" s="132"/>
    </row>
    <row r="99" spans="1:24">
      <c r="A99" s="319">
        <f>INDEX(QS_Chart_Of_Accounts_Upload!$C:$O,MATCH(B99,QS_Chart_Of_Accounts_Upload!$E:$E,0),MATCH("ACCT_NO",QS_Chart_Of_Accounts_Upload!$C$1:$O$1,0))</f>
        <v>6260</v>
      </c>
      <c r="B99" s="430" t="s">
        <v>16</v>
      </c>
      <c r="C99" s="708">
        <v>0</v>
      </c>
      <c r="D99" s="708">
        <v>0</v>
      </c>
      <c r="E99" s="708">
        <v>50</v>
      </c>
      <c r="F99" s="708">
        <v>0</v>
      </c>
      <c r="G99" s="708">
        <v>0</v>
      </c>
      <c r="H99" s="708">
        <v>0</v>
      </c>
      <c r="I99" s="708">
        <v>50</v>
      </c>
      <c r="J99" s="708">
        <v>50</v>
      </c>
      <c r="K99" s="708">
        <v>50</v>
      </c>
      <c r="L99" s="708">
        <v>50</v>
      </c>
      <c r="M99" s="708">
        <v>50</v>
      </c>
      <c r="N99" s="708">
        <v>50</v>
      </c>
      <c r="O99" s="703">
        <f t="shared" si="15"/>
        <v>350</v>
      </c>
      <c r="P99" s="442"/>
      <c r="Q99" s="666"/>
      <c r="R99" s="452"/>
      <c r="S99" s="131"/>
      <c r="T99" s="707"/>
      <c r="X99" s="132"/>
    </row>
    <row r="100" spans="1:24">
      <c r="A100" s="319">
        <f>INDEX(QS_Chart_Of_Accounts_Upload!$C:$O,MATCH(B100,QS_Chart_Of_Accounts_Upload!$E:$E,0),MATCH("ACCT_NO",QS_Chart_Of_Accounts_Upload!$C$1:$O$1,0))</f>
        <v>6270</v>
      </c>
      <c r="B100" s="430" t="s">
        <v>318</v>
      </c>
      <c r="C100" s="708">
        <v>0</v>
      </c>
      <c r="D100" s="708">
        <v>0</v>
      </c>
      <c r="E100" s="708">
        <v>0</v>
      </c>
      <c r="F100" s="708">
        <v>0</v>
      </c>
      <c r="G100" s="708">
        <v>0</v>
      </c>
      <c r="H100" s="708">
        <v>0</v>
      </c>
      <c r="I100" s="708">
        <v>0</v>
      </c>
      <c r="J100" s="708">
        <v>0</v>
      </c>
      <c r="K100" s="708">
        <v>0</v>
      </c>
      <c r="L100" s="708">
        <v>0</v>
      </c>
      <c r="M100" s="708">
        <v>0</v>
      </c>
      <c r="N100" s="708">
        <v>0</v>
      </c>
      <c r="O100" s="703">
        <f t="shared" si="15"/>
        <v>0</v>
      </c>
      <c r="P100" s="442"/>
      <c r="Q100" s="727"/>
      <c r="R100" s="728"/>
      <c r="S100" s="131"/>
      <c r="X100" s="132"/>
    </row>
    <row r="101" spans="1:24">
      <c r="A101" s="319">
        <f>INDEX(QS_Chart_Of_Accounts_Upload!$C:$O,MATCH(B101,QS_Chart_Of_Accounts_Upload!$E:$E,0),MATCH("ACCT_NO",QS_Chart_Of_Accounts_Upload!$C$1:$O$1,0))</f>
        <v>6280</v>
      </c>
      <c r="B101" s="430" t="s">
        <v>319</v>
      </c>
      <c r="C101" s="708">
        <v>0</v>
      </c>
      <c r="D101" s="708">
        <v>0</v>
      </c>
      <c r="E101" s="708">
        <v>0</v>
      </c>
      <c r="F101" s="708">
        <v>0</v>
      </c>
      <c r="G101" s="708">
        <v>0</v>
      </c>
      <c r="H101" s="708">
        <v>0</v>
      </c>
      <c r="I101" s="708">
        <v>0</v>
      </c>
      <c r="J101" s="708">
        <v>0</v>
      </c>
      <c r="K101" s="708">
        <v>0</v>
      </c>
      <c r="L101" s="708">
        <v>0</v>
      </c>
      <c r="M101" s="708">
        <v>0</v>
      </c>
      <c r="N101" s="708">
        <v>0</v>
      </c>
      <c r="O101" s="703">
        <f t="shared" si="15"/>
        <v>0</v>
      </c>
      <c r="P101" s="442"/>
      <c r="Q101" s="727"/>
      <c r="R101" s="728"/>
      <c r="S101" s="131"/>
      <c r="X101" s="132"/>
    </row>
    <row r="102" spans="1:24">
      <c r="A102" s="319">
        <f>INDEX(QS_Chart_Of_Accounts_Upload!$C:$O,MATCH(B102,QS_Chart_Of_Accounts_Upload!$E:$E,0),MATCH("ACCT_NO",QS_Chart_Of_Accounts_Upload!$C$1:$O$1,0))</f>
        <v>6290</v>
      </c>
      <c r="B102" s="430" t="s">
        <v>468</v>
      </c>
      <c r="C102" s="708">
        <v>0</v>
      </c>
      <c r="D102" s="708">
        <v>0</v>
      </c>
      <c r="E102" s="708">
        <v>0</v>
      </c>
      <c r="F102" s="708">
        <v>0</v>
      </c>
      <c r="G102" s="708">
        <v>0</v>
      </c>
      <c r="H102" s="708">
        <v>0</v>
      </c>
      <c r="I102" s="708">
        <v>0</v>
      </c>
      <c r="J102" s="708">
        <v>0</v>
      </c>
      <c r="K102" s="708">
        <v>0</v>
      </c>
      <c r="L102" s="708">
        <v>0</v>
      </c>
      <c r="M102" s="708">
        <v>0</v>
      </c>
      <c r="N102" s="708">
        <v>0</v>
      </c>
      <c r="O102" s="703">
        <f t="shared" si="15"/>
        <v>0</v>
      </c>
      <c r="P102" s="442"/>
      <c r="Q102" s="727"/>
      <c r="R102" s="728"/>
      <c r="S102" s="131"/>
      <c r="X102" s="132"/>
    </row>
    <row r="103" spans="1:24">
      <c r="A103" s="319">
        <f>INDEX(QS_Chart_Of_Accounts_Upload!$C:$O,MATCH(B103,QS_Chart_Of_Accounts_Upload!$E:$E,0),MATCH("ACCT_NO",QS_Chart_Of_Accounts_Upload!$C$1:$O$1,0))</f>
        <v>6300</v>
      </c>
      <c r="B103" s="430" t="s">
        <v>320</v>
      </c>
      <c r="C103" s="708">
        <v>0</v>
      </c>
      <c r="D103" s="708">
        <v>0</v>
      </c>
      <c r="E103" s="708">
        <v>50</v>
      </c>
      <c r="F103" s="708">
        <v>0</v>
      </c>
      <c r="G103" s="708">
        <v>0</v>
      </c>
      <c r="H103" s="708">
        <v>0</v>
      </c>
      <c r="I103" s="708">
        <v>50</v>
      </c>
      <c r="J103" s="708">
        <v>50</v>
      </c>
      <c r="K103" s="708">
        <v>75</v>
      </c>
      <c r="L103" s="708">
        <v>75</v>
      </c>
      <c r="M103" s="708">
        <v>100</v>
      </c>
      <c r="N103" s="708">
        <v>100</v>
      </c>
      <c r="O103" s="703">
        <f t="shared" si="15"/>
        <v>500</v>
      </c>
      <c r="P103" s="442"/>
      <c r="Q103" s="727"/>
      <c r="R103" s="728"/>
      <c r="S103" s="131"/>
      <c r="X103" s="132"/>
    </row>
    <row r="104" spans="1:24">
      <c r="A104" s="319">
        <f>INDEX(QS_Chart_Of_Accounts_Upload!$C:$O,MATCH(B104,QS_Chart_Of_Accounts_Upload!$E:$E,0),MATCH("ACCT_NO",QS_Chart_Of_Accounts_Upload!$C$1:$O$1,0))</f>
        <v>6310</v>
      </c>
      <c r="B104" s="430" t="s">
        <v>321</v>
      </c>
      <c r="C104" s="708">
        <v>0</v>
      </c>
      <c r="D104" s="708">
        <v>0</v>
      </c>
      <c r="E104" s="708">
        <v>0</v>
      </c>
      <c r="F104" s="708">
        <v>0</v>
      </c>
      <c r="G104" s="708">
        <v>0</v>
      </c>
      <c r="H104" s="708">
        <v>0</v>
      </c>
      <c r="I104" s="708">
        <v>0</v>
      </c>
      <c r="J104" s="708">
        <v>0</v>
      </c>
      <c r="K104" s="708">
        <v>0</v>
      </c>
      <c r="L104" s="708">
        <v>0</v>
      </c>
      <c r="M104" s="708">
        <v>0</v>
      </c>
      <c r="N104" s="708">
        <v>0</v>
      </c>
      <c r="O104" s="703">
        <f t="shared" si="15"/>
        <v>0</v>
      </c>
      <c r="P104" s="442"/>
      <c r="Q104" s="727"/>
      <c r="R104" s="728"/>
      <c r="S104" s="131"/>
      <c r="X104" s="132"/>
    </row>
    <row r="105" spans="1:24">
      <c r="A105" s="319">
        <f>INDEX(QS_Chart_Of_Accounts_Upload!$C:$O,MATCH(B105,QS_Chart_Of_Accounts_Upload!$E:$E,0),MATCH("ACCT_NO",QS_Chart_Of_Accounts_Upload!$C$1:$O$1,0))</f>
        <v>6320</v>
      </c>
      <c r="B105" s="430" t="s">
        <v>19</v>
      </c>
      <c r="C105" s="708">
        <v>0</v>
      </c>
      <c r="D105" s="708">
        <v>0</v>
      </c>
      <c r="E105" s="708">
        <v>0</v>
      </c>
      <c r="F105" s="708">
        <v>0</v>
      </c>
      <c r="G105" s="708">
        <v>0</v>
      </c>
      <c r="H105" s="708">
        <v>0</v>
      </c>
      <c r="I105" s="708">
        <v>0</v>
      </c>
      <c r="J105" s="708">
        <v>0</v>
      </c>
      <c r="K105" s="708">
        <v>0</v>
      </c>
      <c r="L105" s="708">
        <v>0</v>
      </c>
      <c r="M105" s="708">
        <v>0</v>
      </c>
      <c r="N105" s="708">
        <v>0</v>
      </c>
      <c r="O105" s="703">
        <f t="shared" si="15"/>
        <v>0</v>
      </c>
      <c r="P105" s="442"/>
      <c r="Q105" s="727"/>
      <c r="R105" s="728"/>
      <c r="S105" s="131"/>
      <c r="X105" s="132"/>
    </row>
    <row r="106" spans="1:24">
      <c r="A106" s="319">
        <f>INDEX(QS_Chart_Of_Accounts_Upload!$C:$O,MATCH(B106,QS_Chart_Of_Accounts_Upload!$E:$E,0),MATCH("ACCT_NO",QS_Chart_Of_Accounts_Upload!$C$1:$O$1,0))</f>
        <v>6330</v>
      </c>
      <c r="B106" s="430" t="s">
        <v>322</v>
      </c>
      <c r="C106" s="706">
        <f>+$T$106</f>
        <v>100</v>
      </c>
      <c r="D106" s="708">
        <v>0</v>
      </c>
      <c r="E106" s="708">
        <v>0</v>
      </c>
      <c r="F106" s="706">
        <f>+$T$106</f>
        <v>100</v>
      </c>
      <c r="G106" s="708">
        <v>0</v>
      </c>
      <c r="H106" s="708">
        <v>0</v>
      </c>
      <c r="I106" s="706">
        <f>+$T$106</f>
        <v>100</v>
      </c>
      <c r="J106" s="708">
        <v>0</v>
      </c>
      <c r="K106" s="708">
        <v>0</v>
      </c>
      <c r="L106" s="706">
        <f>+$T$106</f>
        <v>100</v>
      </c>
      <c r="M106" s="708">
        <v>0</v>
      </c>
      <c r="N106" s="708">
        <v>0</v>
      </c>
      <c r="O106" s="703">
        <f t="shared" si="15"/>
        <v>400</v>
      </c>
      <c r="P106" s="442"/>
      <c r="Q106" s="727"/>
      <c r="R106" s="728"/>
      <c r="S106" s="131" t="s">
        <v>1160</v>
      </c>
      <c r="T106" s="709">
        <v>100</v>
      </c>
      <c r="X106" s="132"/>
    </row>
    <row r="107" spans="1:24">
      <c r="A107" s="319">
        <f>INDEX(QS_Chart_Of_Accounts_Upload!$C:$O,MATCH(B107,QS_Chart_Of_Accounts_Upload!$E:$E,0),MATCH("ACCT_NO",QS_Chart_Of_Accounts_Upload!$C$1:$O$1,0))</f>
        <v>6331</v>
      </c>
      <c r="B107" s="430" t="s">
        <v>323</v>
      </c>
      <c r="C107" s="708">
        <v>0</v>
      </c>
      <c r="D107" s="708">
        <v>0</v>
      </c>
      <c r="E107" s="708">
        <v>0</v>
      </c>
      <c r="F107" s="708">
        <v>0</v>
      </c>
      <c r="G107" s="708">
        <v>0</v>
      </c>
      <c r="H107" s="708">
        <v>0</v>
      </c>
      <c r="I107" s="708">
        <v>0</v>
      </c>
      <c r="J107" s="708">
        <v>0</v>
      </c>
      <c r="K107" s="708">
        <v>0</v>
      </c>
      <c r="L107" s="708">
        <v>0</v>
      </c>
      <c r="M107" s="708">
        <v>0</v>
      </c>
      <c r="N107" s="708">
        <v>0</v>
      </c>
      <c r="O107" s="703">
        <f t="shared" si="15"/>
        <v>0</v>
      </c>
      <c r="P107" s="442"/>
      <c r="Q107" s="727"/>
      <c r="R107" s="728"/>
      <c r="S107" s="131"/>
      <c r="X107" s="132"/>
    </row>
    <row r="108" spans="1:24">
      <c r="A108" s="319">
        <f>INDEX(QS_Chart_Of_Accounts_Upload!$C:$O,MATCH(B108,QS_Chart_Of_Accounts_Upload!$E:$E,0),MATCH("ACCT_NO",QS_Chart_Of_Accounts_Upload!$C$1:$O$1,0))</f>
        <v>6340</v>
      </c>
      <c r="B108" s="697" t="s">
        <v>324</v>
      </c>
      <c r="C108" s="708">
        <v>0</v>
      </c>
      <c r="D108" s="708">
        <v>0</v>
      </c>
      <c r="E108" s="708">
        <v>0</v>
      </c>
      <c r="F108" s="708">
        <v>0</v>
      </c>
      <c r="G108" s="708">
        <v>0</v>
      </c>
      <c r="H108" s="708">
        <v>0</v>
      </c>
      <c r="I108" s="708">
        <v>0</v>
      </c>
      <c r="J108" s="708">
        <v>0</v>
      </c>
      <c r="K108" s="708">
        <v>0</v>
      </c>
      <c r="L108" s="708">
        <v>0</v>
      </c>
      <c r="M108" s="708">
        <v>0</v>
      </c>
      <c r="N108" s="708">
        <v>0</v>
      </c>
      <c r="O108" s="703">
        <f t="shared" si="15"/>
        <v>0</v>
      </c>
      <c r="P108" s="442"/>
      <c r="Q108" s="727"/>
      <c r="R108" s="728"/>
      <c r="S108" s="131"/>
      <c r="X108" s="132"/>
    </row>
    <row r="109" spans="1:24">
      <c r="A109" s="319">
        <f>INDEX(QS_Chart_Of_Accounts_Upload!$C:$O,MATCH(B109,QS_Chart_Of_Accounts_Upload!$E:$E,0),MATCH("ACCT_NO",QS_Chart_Of_Accounts_Upload!$C$1:$O$1,0))</f>
        <v>6350</v>
      </c>
      <c r="B109" s="697" t="s">
        <v>325</v>
      </c>
      <c r="C109" s="708">
        <v>0</v>
      </c>
      <c r="D109" s="708">
        <v>0</v>
      </c>
      <c r="E109" s="708">
        <v>0</v>
      </c>
      <c r="F109" s="708">
        <v>0</v>
      </c>
      <c r="G109" s="708">
        <v>0</v>
      </c>
      <c r="H109" s="708">
        <v>0</v>
      </c>
      <c r="I109" s="708">
        <v>0</v>
      </c>
      <c r="J109" s="708">
        <v>0</v>
      </c>
      <c r="K109" s="708">
        <v>0</v>
      </c>
      <c r="L109" s="708">
        <v>0</v>
      </c>
      <c r="M109" s="708">
        <v>0</v>
      </c>
      <c r="N109" s="708">
        <v>0</v>
      </c>
      <c r="O109" s="703">
        <f t="shared" si="15"/>
        <v>0</v>
      </c>
      <c r="P109" s="442"/>
      <c r="Q109" s="727"/>
      <c r="R109" s="728"/>
      <c r="S109" s="131"/>
      <c r="X109" s="132"/>
    </row>
    <row r="110" spans="1:24">
      <c r="A110" s="319">
        <f>INDEX(QS_Chart_Of_Accounts_Upload!$C:$O,MATCH(B110,QS_Chart_Of_Accounts_Upload!$E:$E,0),MATCH("ACCT_NO",QS_Chart_Of_Accounts_Upload!$C$1:$O$1,0))</f>
        <v>6351</v>
      </c>
      <c r="B110" s="697" t="s">
        <v>185</v>
      </c>
      <c r="C110" s="704">
        <f t="shared" ref="C110:N110" si="16">+$T$110</f>
        <v>195</v>
      </c>
      <c r="D110" s="704">
        <f t="shared" si="16"/>
        <v>195</v>
      </c>
      <c r="E110" s="704">
        <f t="shared" si="16"/>
        <v>195</v>
      </c>
      <c r="F110" s="704">
        <f t="shared" si="16"/>
        <v>195</v>
      </c>
      <c r="G110" s="704">
        <f t="shared" si="16"/>
        <v>195</v>
      </c>
      <c r="H110" s="704">
        <f t="shared" si="16"/>
        <v>195</v>
      </c>
      <c r="I110" s="704">
        <f t="shared" si="16"/>
        <v>195</v>
      </c>
      <c r="J110" s="704">
        <f t="shared" si="16"/>
        <v>195</v>
      </c>
      <c r="K110" s="704">
        <f t="shared" si="16"/>
        <v>195</v>
      </c>
      <c r="L110" s="704">
        <f t="shared" si="16"/>
        <v>195</v>
      </c>
      <c r="M110" s="704">
        <f t="shared" si="16"/>
        <v>195</v>
      </c>
      <c r="N110" s="704">
        <f t="shared" si="16"/>
        <v>195</v>
      </c>
      <c r="O110" s="703">
        <f t="shared" si="15"/>
        <v>2340</v>
      </c>
      <c r="P110" s="442"/>
      <c r="Q110" s="727"/>
      <c r="R110" s="728"/>
      <c r="S110" s="131" t="s">
        <v>941</v>
      </c>
      <c r="T110" s="709">
        <v>195</v>
      </c>
      <c r="X110" s="132"/>
    </row>
    <row r="111" spans="1:24">
      <c r="A111" s="319">
        <f>INDEX(QS_Chart_Of_Accounts_Upload!$C:$O,MATCH(B111,QS_Chart_Of_Accounts_Upload!$E:$E,0),MATCH("ACCT_NO",QS_Chart_Of_Accounts_Upload!$C$1:$O$1,0))</f>
        <v>6360</v>
      </c>
      <c r="B111" s="697" t="s">
        <v>326</v>
      </c>
      <c r="C111" s="708">
        <v>0</v>
      </c>
      <c r="D111" s="708">
        <v>0</v>
      </c>
      <c r="E111" s="708">
        <v>0</v>
      </c>
      <c r="F111" s="708">
        <v>0</v>
      </c>
      <c r="G111" s="708">
        <v>0</v>
      </c>
      <c r="H111" s="708">
        <v>0</v>
      </c>
      <c r="I111" s="708">
        <v>0</v>
      </c>
      <c r="J111" s="708">
        <v>0</v>
      </c>
      <c r="K111" s="708">
        <v>0</v>
      </c>
      <c r="L111" s="708">
        <v>0</v>
      </c>
      <c r="M111" s="708">
        <v>0</v>
      </c>
      <c r="N111" s="708">
        <v>0</v>
      </c>
      <c r="O111" s="703">
        <f t="shared" si="15"/>
        <v>0</v>
      </c>
      <c r="P111" s="442"/>
      <c r="Q111" s="727"/>
      <c r="R111" s="728"/>
      <c r="S111" s="131"/>
      <c r="X111" s="132"/>
    </row>
    <row r="112" spans="1:24">
      <c r="A112" s="319">
        <f>INDEX(QS_Chart_Of_Accounts_Upload!$C:$O,MATCH(B112,QS_Chart_Of_Accounts_Upload!$E:$E,0),MATCH("ACCT_NO",QS_Chart_Of_Accounts_Upload!$C$1:$O$1,0))</f>
        <v>6367</v>
      </c>
      <c r="B112" s="697" t="s">
        <v>327</v>
      </c>
      <c r="C112" s="708">
        <v>0</v>
      </c>
      <c r="D112" s="708">
        <v>0</v>
      </c>
      <c r="E112" s="708">
        <v>0</v>
      </c>
      <c r="F112" s="708">
        <v>0</v>
      </c>
      <c r="G112" s="708">
        <v>0</v>
      </c>
      <c r="H112" s="708">
        <v>0</v>
      </c>
      <c r="I112" s="708">
        <v>0</v>
      </c>
      <c r="J112" s="708">
        <v>0</v>
      </c>
      <c r="K112" s="708">
        <v>0</v>
      </c>
      <c r="L112" s="708">
        <v>0</v>
      </c>
      <c r="M112" s="708">
        <v>0</v>
      </c>
      <c r="N112" s="708">
        <v>0</v>
      </c>
      <c r="O112" s="703">
        <f t="shared" si="15"/>
        <v>0</v>
      </c>
      <c r="P112" s="442"/>
      <c r="Q112" s="727"/>
      <c r="R112" s="728"/>
      <c r="S112" s="131"/>
      <c r="X112" s="132"/>
    </row>
    <row r="113" spans="1:32">
      <c r="A113" s="319">
        <f>INDEX(QS_Chart_Of_Accounts_Upload!$C:$O,MATCH(B113,QS_Chart_Of_Accounts_Upload!$E:$E,0),MATCH("ACCT_NO",QS_Chart_Of_Accounts_Upload!$C$1:$O$1,0))</f>
        <v>6370</v>
      </c>
      <c r="B113" s="430" t="s">
        <v>328</v>
      </c>
      <c r="C113" s="708">
        <v>0</v>
      </c>
      <c r="D113" s="708">
        <v>0</v>
      </c>
      <c r="E113" s="708">
        <v>0</v>
      </c>
      <c r="F113" s="708">
        <v>0</v>
      </c>
      <c r="G113" s="708">
        <v>0</v>
      </c>
      <c r="H113" s="708">
        <v>0</v>
      </c>
      <c r="I113" s="708">
        <v>0</v>
      </c>
      <c r="J113" s="708">
        <v>0</v>
      </c>
      <c r="K113" s="708">
        <v>0</v>
      </c>
      <c r="L113" s="708">
        <v>0</v>
      </c>
      <c r="M113" s="708">
        <v>0</v>
      </c>
      <c r="N113" s="708">
        <v>0</v>
      </c>
      <c r="O113" s="703">
        <f t="shared" si="15"/>
        <v>0</v>
      </c>
      <c r="P113" s="456"/>
      <c r="Q113" s="727"/>
      <c r="R113" s="728"/>
      <c r="S113" s="131"/>
      <c r="X113" s="132"/>
    </row>
    <row r="114" spans="1:32" ht="3" customHeight="1">
      <c r="A114" s="319"/>
      <c r="B114" s="430"/>
      <c r="C114" s="466"/>
      <c r="D114" s="466"/>
      <c r="E114" s="466"/>
      <c r="F114" s="466"/>
      <c r="G114" s="466"/>
      <c r="H114" s="466"/>
      <c r="I114" s="466"/>
      <c r="J114" s="466"/>
      <c r="K114" s="466"/>
      <c r="L114" s="466"/>
      <c r="M114" s="466"/>
      <c r="N114" s="466"/>
      <c r="O114" s="465"/>
      <c r="P114" s="456"/>
      <c r="Q114" s="731"/>
      <c r="R114" s="732"/>
      <c r="S114" s="131"/>
      <c r="X114" s="132"/>
    </row>
    <row r="115" spans="1:32" ht="14" thickBot="1">
      <c r="A115" s="319"/>
      <c r="B115" s="427" t="s">
        <v>46</v>
      </c>
      <c r="C115" s="688">
        <f t="shared" ref="C115:N115" si="17">SUM(C71:C114)</f>
        <v>295</v>
      </c>
      <c r="D115" s="688">
        <f t="shared" si="17"/>
        <v>195</v>
      </c>
      <c r="E115" s="688">
        <f t="shared" si="17"/>
        <v>578</v>
      </c>
      <c r="F115" s="688">
        <f t="shared" si="17"/>
        <v>295</v>
      </c>
      <c r="G115" s="688">
        <f t="shared" si="17"/>
        <v>195</v>
      </c>
      <c r="H115" s="688">
        <f t="shared" si="17"/>
        <v>278</v>
      </c>
      <c r="I115" s="688">
        <f t="shared" si="17"/>
        <v>1095</v>
      </c>
      <c r="J115" s="688">
        <f t="shared" si="17"/>
        <v>545</v>
      </c>
      <c r="K115" s="688">
        <f t="shared" si="17"/>
        <v>678</v>
      </c>
      <c r="L115" s="688">
        <f t="shared" si="17"/>
        <v>795</v>
      </c>
      <c r="M115" s="688">
        <f t="shared" si="17"/>
        <v>745</v>
      </c>
      <c r="N115" s="688">
        <f t="shared" si="17"/>
        <v>1403</v>
      </c>
      <c r="O115" s="689">
        <f>+SUBTOTAL(9,C115:N115)</f>
        <v>7097</v>
      </c>
      <c r="P115" s="733"/>
      <c r="Q115" s="278"/>
      <c r="S115" s="639"/>
      <c r="T115" s="734"/>
      <c r="U115" s="101"/>
      <c r="V115" s="101"/>
      <c r="W115" s="101"/>
      <c r="X115" s="640"/>
    </row>
    <row r="116" spans="1:32" ht="14" thickTop="1"/>
    <row r="118" spans="1:32">
      <c r="A118" s="525"/>
      <c r="B118" s="525"/>
      <c r="C118" s="525"/>
      <c r="D118" s="525"/>
      <c r="E118" s="525"/>
      <c r="F118" s="525"/>
      <c r="G118" s="525"/>
      <c r="H118" s="525"/>
      <c r="I118" s="525"/>
      <c r="J118" s="525"/>
      <c r="K118" s="525"/>
      <c r="L118" s="525"/>
      <c r="M118" s="525"/>
      <c r="N118" s="525"/>
      <c r="O118" s="525"/>
      <c r="P118" s="525"/>
      <c r="Q118" s="525"/>
      <c r="R118" s="525"/>
      <c r="S118" s="525"/>
      <c r="T118" s="580"/>
    </row>
    <row r="119" spans="1:32" s="697" customFormat="1">
      <c r="A119" s="690" t="s">
        <v>206</v>
      </c>
      <c r="B119" s="691" t="s">
        <v>36</v>
      </c>
      <c r="C119" s="692">
        <f t="shared" ref="C119:O119" si="18">C70</f>
        <v>45901</v>
      </c>
      <c r="D119" s="692">
        <f t="shared" si="18"/>
        <v>45961</v>
      </c>
      <c r="E119" s="692">
        <f t="shared" si="18"/>
        <v>45991</v>
      </c>
      <c r="F119" s="692">
        <f t="shared" si="18"/>
        <v>46022</v>
      </c>
      <c r="G119" s="692">
        <f t="shared" si="18"/>
        <v>46053</v>
      </c>
      <c r="H119" s="692">
        <f t="shared" si="18"/>
        <v>46081</v>
      </c>
      <c r="I119" s="692">
        <f t="shared" si="18"/>
        <v>46112</v>
      </c>
      <c r="J119" s="692">
        <f t="shared" si="18"/>
        <v>46142</v>
      </c>
      <c r="K119" s="692">
        <f t="shared" si="18"/>
        <v>46173</v>
      </c>
      <c r="L119" s="692">
        <f t="shared" si="18"/>
        <v>46203</v>
      </c>
      <c r="M119" s="692">
        <f t="shared" si="18"/>
        <v>46234</v>
      </c>
      <c r="N119" s="692">
        <f t="shared" si="18"/>
        <v>46265</v>
      </c>
      <c r="O119" s="693" t="str">
        <f t="shared" si="18"/>
        <v>Year 1 Total</v>
      </c>
      <c r="P119" s="694"/>
      <c r="Q119" s="695" t="s">
        <v>23</v>
      </c>
      <c r="R119" s="696"/>
      <c r="S119" s="1085" t="s">
        <v>924</v>
      </c>
      <c r="T119" s="1086"/>
      <c r="U119" s="1086"/>
      <c r="V119" s="1086"/>
      <c r="W119" s="1086"/>
      <c r="X119" s="1087"/>
    </row>
    <row r="120" spans="1:32" ht="3.75" customHeight="1">
      <c r="A120" s="319"/>
      <c r="B120" s="427"/>
      <c r="C120" s="699"/>
      <c r="D120" s="699"/>
      <c r="E120" s="699"/>
      <c r="F120" s="699"/>
      <c r="G120" s="699"/>
      <c r="H120" s="699"/>
      <c r="I120" s="699"/>
      <c r="J120" s="699"/>
      <c r="K120" s="699"/>
      <c r="L120" s="699"/>
      <c r="M120" s="699"/>
      <c r="N120" s="699"/>
      <c r="O120" s="700"/>
      <c r="P120" s="442"/>
      <c r="Q120" s="701"/>
      <c r="R120" s="426"/>
      <c r="S120" s="735"/>
      <c r="T120" s="736"/>
      <c r="U120" s="164"/>
      <c r="V120" s="164"/>
      <c r="W120" s="164"/>
      <c r="X120" s="164"/>
    </row>
    <row r="121" spans="1:32" ht="14">
      <c r="A121" s="319">
        <f>INDEX(QS_Chart_Of_Accounts_Upload!$C:$O,MATCH(B121,QS_Chart_Of_Accounts_Upload!$E:$E,0),MATCH("ACCT_NO",QS_Chart_Of_Accounts_Upload!$C$1:$O$1,0))</f>
        <v>6508</v>
      </c>
      <c r="B121" s="439" t="s">
        <v>199</v>
      </c>
      <c r="C121" s="704">
        <f>+$T$121*'Revenue Worksheet'!D18</f>
        <v>800</v>
      </c>
      <c r="D121" s="704">
        <f>+$T$121*'Revenue Worksheet'!E18</f>
        <v>920</v>
      </c>
      <c r="E121" s="704">
        <f>+$T$121*'Revenue Worksheet'!F18</f>
        <v>920</v>
      </c>
      <c r="F121" s="704">
        <f>+$T$121*'Revenue Worksheet'!G18</f>
        <v>920</v>
      </c>
      <c r="G121" s="704">
        <f>+$T$121*'Revenue Worksheet'!H18</f>
        <v>1720</v>
      </c>
      <c r="H121" s="704">
        <f>+$T$121*'Revenue Worksheet'!I18</f>
        <v>2720</v>
      </c>
      <c r="I121" s="704">
        <f>+$T$121*'Revenue Worksheet'!J18</f>
        <v>3280</v>
      </c>
      <c r="J121" s="704">
        <f>+$T$121*'Revenue Worksheet'!K18</f>
        <v>3280</v>
      </c>
      <c r="K121" s="704">
        <f>+$T$121*'Revenue Worksheet'!L18</f>
        <v>3280</v>
      </c>
      <c r="L121" s="704">
        <f>+$T$121*'Revenue Worksheet'!M18</f>
        <v>3280</v>
      </c>
      <c r="M121" s="704">
        <f>+$T$121*'Revenue Worksheet'!N18</f>
        <v>3280</v>
      </c>
      <c r="N121" s="704">
        <f>+$T$121*'Revenue Worksheet'!O18</f>
        <v>3280</v>
      </c>
      <c r="O121" s="703">
        <f t="shared" ref="O121:O140" si="19">+SUBTOTAL(9,C121:N121)</f>
        <v>27680</v>
      </c>
      <c r="P121" s="442"/>
      <c r="Q121" s="727" t="s">
        <v>1030</v>
      </c>
      <c r="R121" s="728"/>
      <c r="S121" s="131" t="s">
        <v>910</v>
      </c>
      <c r="T121" s="709">
        <v>40</v>
      </c>
      <c r="X121" s="132"/>
    </row>
    <row r="122" spans="1:32">
      <c r="A122" s="319">
        <f>INDEX(QS_Chart_Of_Accounts_Upload!$C:$O,MATCH(B122,QS_Chart_Of_Accounts_Upload!$E:$E,0),MATCH("ACCT_NO",QS_Chart_Of_Accounts_Upload!$C$1:$O$1,0))</f>
        <v>6510</v>
      </c>
      <c r="B122" s="430" t="s">
        <v>149</v>
      </c>
      <c r="C122" s="708">
        <v>0</v>
      </c>
      <c r="D122" s="708">
        <v>0</v>
      </c>
      <c r="E122" s="708">
        <v>0</v>
      </c>
      <c r="F122" s="708">
        <v>0</v>
      </c>
      <c r="G122" s="708">
        <v>0</v>
      </c>
      <c r="H122" s="708">
        <v>0</v>
      </c>
      <c r="I122" s="708">
        <v>0</v>
      </c>
      <c r="J122" s="708">
        <v>0</v>
      </c>
      <c r="K122" s="708">
        <v>0</v>
      </c>
      <c r="L122" s="708">
        <v>0</v>
      </c>
      <c r="M122" s="708">
        <v>0</v>
      </c>
      <c r="N122" s="708">
        <v>0</v>
      </c>
      <c r="O122" s="703">
        <f t="shared" si="19"/>
        <v>0</v>
      </c>
      <c r="P122" s="442"/>
      <c r="Q122" s="727"/>
      <c r="R122" s="728"/>
      <c r="S122" s="131"/>
      <c r="X122" s="132"/>
    </row>
    <row r="123" spans="1:32">
      <c r="A123" s="319">
        <f>INDEX(QS_Chart_Of_Accounts_Upload!$C:$O,MATCH(B123,QS_Chart_Of_Accounts_Upload!$E:$E,0),MATCH("ACCT_NO",QS_Chart_Of_Accounts_Upload!$C$1:$O$1,0))</f>
        <v>6510.1</v>
      </c>
      <c r="B123" s="697" t="s">
        <v>330</v>
      </c>
      <c r="C123" s="708">
        <v>0</v>
      </c>
      <c r="D123" s="708">
        <v>0</v>
      </c>
      <c r="E123" s="708">
        <v>0</v>
      </c>
      <c r="F123" s="708">
        <v>0</v>
      </c>
      <c r="G123" s="708">
        <v>0</v>
      </c>
      <c r="H123" s="708">
        <v>0</v>
      </c>
      <c r="I123" s="708">
        <v>0</v>
      </c>
      <c r="J123" s="708">
        <v>0</v>
      </c>
      <c r="K123" s="708">
        <v>0</v>
      </c>
      <c r="L123" s="708">
        <v>0</v>
      </c>
      <c r="M123" s="708">
        <v>0</v>
      </c>
      <c r="N123" s="708">
        <v>0</v>
      </c>
      <c r="O123" s="703">
        <f t="shared" si="19"/>
        <v>0</v>
      </c>
      <c r="P123" s="442"/>
      <c r="Q123" s="727"/>
      <c r="R123" s="728"/>
      <c r="S123" s="131"/>
      <c r="X123" s="132"/>
    </row>
    <row r="124" spans="1:32">
      <c r="A124" s="319">
        <f>INDEX(QS_Chart_Of_Accounts_Upload!$C:$O,MATCH(B124,QS_Chart_Of_Accounts_Upload!$E:$E,0),MATCH("ACCT_NO",QS_Chart_Of_Accounts_Upload!$C$1:$O$1,0))</f>
        <v>6512</v>
      </c>
      <c r="B124" s="430" t="s">
        <v>153</v>
      </c>
      <c r="C124" s="704">
        <f t="shared" ref="C124:N124" si="20">+$T$124</f>
        <v>89</v>
      </c>
      <c r="D124" s="704">
        <f t="shared" si="20"/>
        <v>89</v>
      </c>
      <c r="E124" s="704">
        <f t="shared" si="20"/>
        <v>89</v>
      </c>
      <c r="F124" s="704">
        <f t="shared" si="20"/>
        <v>89</v>
      </c>
      <c r="G124" s="704">
        <f t="shared" si="20"/>
        <v>89</v>
      </c>
      <c r="H124" s="704">
        <f t="shared" si="20"/>
        <v>89</v>
      </c>
      <c r="I124" s="704">
        <f t="shared" si="20"/>
        <v>89</v>
      </c>
      <c r="J124" s="704">
        <f t="shared" si="20"/>
        <v>89</v>
      </c>
      <c r="K124" s="704">
        <f t="shared" si="20"/>
        <v>89</v>
      </c>
      <c r="L124" s="704">
        <f t="shared" si="20"/>
        <v>89</v>
      </c>
      <c r="M124" s="704">
        <f t="shared" si="20"/>
        <v>89</v>
      </c>
      <c r="N124" s="704">
        <f t="shared" si="20"/>
        <v>89</v>
      </c>
      <c r="O124" s="703">
        <f t="shared" si="19"/>
        <v>1068</v>
      </c>
      <c r="P124" s="442"/>
      <c r="Q124" s="727"/>
      <c r="R124" s="728"/>
      <c r="S124" s="131" t="s">
        <v>941</v>
      </c>
      <c r="T124" s="709">
        <v>89</v>
      </c>
      <c r="X124" s="132"/>
    </row>
    <row r="125" spans="1:32">
      <c r="A125" s="319">
        <f>INDEX(QS_Chart_Of_Accounts_Upload!$C:$O,MATCH(B125,QS_Chart_Of_Accounts_Upload!$E:$E,0),MATCH("ACCT_NO",QS_Chart_Of_Accounts_Upload!$C$1:$O$1,0))</f>
        <v>6515</v>
      </c>
      <c r="B125" s="430" t="s">
        <v>331</v>
      </c>
      <c r="C125" s="704">
        <f t="shared" ref="C125:N125" si="21">+$T$125*$V$125</f>
        <v>0</v>
      </c>
      <c r="D125" s="704">
        <f t="shared" si="21"/>
        <v>0</v>
      </c>
      <c r="E125" s="704">
        <f t="shared" si="21"/>
        <v>0</v>
      </c>
      <c r="F125" s="704">
        <f t="shared" si="21"/>
        <v>0</v>
      </c>
      <c r="G125" s="704">
        <f t="shared" si="21"/>
        <v>0</v>
      </c>
      <c r="H125" s="704">
        <f t="shared" si="21"/>
        <v>0</v>
      </c>
      <c r="I125" s="704">
        <f t="shared" si="21"/>
        <v>0</v>
      </c>
      <c r="J125" s="704">
        <f t="shared" si="21"/>
        <v>0</v>
      </c>
      <c r="K125" s="704">
        <f t="shared" si="21"/>
        <v>0</v>
      </c>
      <c r="L125" s="704">
        <f t="shared" si="21"/>
        <v>0</v>
      </c>
      <c r="M125" s="704">
        <f t="shared" si="21"/>
        <v>0</v>
      </c>
      <c r="N125" s="704">
        <f t="shared" si="21"/>
        <v>0</v>
      </c>
      <c r="O125" s="703">
        <f t="shared" si="19"/>
        <v>0</v>
      </c>
      <c r="P125" s="442"/>
      <c r="Q125" s="727"/>
      <c r="R125" s="728"/>
      <c r="S125" s="131" t="s">
        <v>939</v>
      </c>
      <c r="T125" s="737">
        <v>0</v>
      </c>
      <c r="U125" s="108" t="s">
        <v>940</v>
      </c>
      <c r="V125" s="709">
        <v>500</v>
      </c>
      <c r="X125" s="132"/>
      <c r="AF125" s="108">
        <v>0</v>
      </c>
    </row>
    <row r="126" spans="1:32">
      <c r="A126" s="319">
        <f>INDEX(QS_Chart_Of_Accounts_Upload!$C:$O,MATCH(B126,QS_Chart_Of_Accounts_Upload!$E:$E,0),MATCH("ACCT_NO",QS_Chart_Of_Accounts_Upload!$C$1:$O$1,0))</f>
        <v>6516</v>
      </c>
      <c r="B126" s="430" t="s">
        <v>332</v>
      </c>
      <c r="C126" s="708">
        <v>0</v>
      </c>
      <c r="D126" s="708">
        <v>0</v>
      </c>
      <c r="E126" s="708">
        <v>0</v>
      </c>
      <c r="F126" s="708">
        <v>0</v>
      </c>
      <c r="G126" s="708">
        <v>0</v>
      </c>
      <c r="H126" s="708">
        <v>0</v>
      </c>
      <c r="I126" s="708">
        <v>0</v>
      </c>
      <c r="J126" s="708">
        <v>0</v>
      </c>
      <c r="K126" s="708">
        <v>0</v>
      </c>
      <c r="L126" s="708">
        <v>0</v>
      </c>
      <c r="M126" s="708">
        <v>0</v>
      </c>
      <c r="N126" s="708">
        <v>0</v>
      </c>
      <c r="O126" s="703">
        <f t="shared" si="19"/>
        <v>0</v>
      </c>
      <c r="P126" s="442"/>
      <c r="Q126" s="727"/>
      <c r="R126" s="728"/>
      <c r="S126" s="131"/>
      <c r="X126" s="132"/>
      <c r="AF126" s="108">
        <v>1</v>
      </c>
    </row>
    <row r="127" spans="1:32">
      <c r="A127" s="319">
        <f>INDEX(QS_Chart_Of_Accounts_Upload!$C:$O,MATCH(B127,QS_Chart_Of_Accounts_Upload!$E:$E,0),MATCH("ACCT_NO",QS_Chart_Of_Accounts_Upload!$C$1:$O$1,0))</f>
        <v>6517</v>
      </c>
      <c r="B127" s="430" t="s">
        <v>333</v>
      </c>
      <c r="C127" s="708">
        <v>0</v>
      </c>
      <c r="D127" s="708">
        <v>0</v>
      </c>
      <c r="E127" s="708">
        <v>0</v>
      </c>
      <c r="F127" s="708">
        <v>0</v>
      </c>
      <c r="G127" s="708">
        <v>0</v>
      </c>
      <c r="H127" s="708">
        <v>0</v>
      </c>
      <c r="I127" s="708">
        <v>0</v>
      </c>
      <c r="J127" s="708">
        <v>0</v>
      </c>
      <c r="K127" s="708">
        <v>0</v>
      </c>
      <c r="L127" s="708">
        <v>0</v>
      </c>
      <c r="M127" s="708">
        <v>0</v>
      </c>
      <c r="N127" s="708">
        <v>0</v>
      </c>
      <c r="O127" s="703">
        <f t="shared" si="19"/>
        <v>0</v>
      </c>
      <c r="P127" s="442"/>
      <c r="Q127" s="727"/>
      <c r="R127" s="728"/>
      <c r="S127" s="131"/>
      <c r="X127" s="132"/>
      <c r="AF127" s="108">
        <v>2</v>
      </c>
    </row>
    <row r="128" spans="1:32">
      <c r="A128" s="319">
        <f>INDEX(QS_Chart_Of_Accounts_Upload!$C:$O,MATCH(B128,QS_Chart_Of_Accounts_Upload!$E:$E,0),MATCH("ACCT_NO",QS_Chart_Of_Accounts_Upload!$C$1:$O$1,0))</f>
        <v>6518</v>
      </c>
      <c r="B128" s="430" t="s">
        <v>334</v>
      </c>
      <c r="C128" s="708">
        <v>0</v>
      </c>
      <c r="D128" s="708">
        <v>0</v>
      </c>
      <c r="E128" s="708">
        <v>0</v>
      </c>
      <c r="F128" s="708">
        <v>0</v>
      </c>
      <c r="G128" s="708">
        <v>0</v>
      </c>
      <c r="H128" s="708">
        <v>0</v>
      </c>
      <c r="I128" s="708">
        <v>0</v>
      </c>
      <c r="J128" s="708">
        <v>0</v>
      </c>
      <c r="K128" s="708">
        <v>0</v>
      </c>
      <c r="L128" s="708">
        <v>0</v>
      </c>
      <c r="M128" s="708">
        <v>0</v>
      </c>
      <c r="N128" s="708">
        <v>0</v>
      </c>
      <c r="O128" s="703">
        <f t="shared" si="19"/>
        <v>0</v>
      </c>
      <c r="P128" s="442"/>
      <c r="Q128" s="727"/>
      <c r="R128" s="728"/>
      <c r="S128" s="131"/>
      <c r="X128" s="132"/>
      <c r="AF128" s="108">
        <v>3</v>
      </c>
    </row>
    <row r="129" spans="1:32">
      <c r="A129" s="319">
        <f>INDEX(QS_Chart_Of_Accounts_Upload!$C:$O,MATCH(B129,QS_Chart_Of_Accounts_Upload!$E:$E,0),MATCH("ACCT_NO",QS_Chart_Of_Accounts_Upload!$C$1:$O$1,0))</f>
        <v>6520</v>
      </c>
      <c r="B129" s="430" t="s">
        <v>335</v>
      </c>
      <c r="C129" s="708">
        <v>95</v>
      </c>
      <c r="D129" s="708">
        <v>95</v>
      </c>
      <c r="E129" s="708">
        <v>95</v>
      </c>
      <c r="F129" s="708">
        <v>95</v>
      </c>
      <c r="G129" s="708">
        <v>95</v>
      </c>
      <c r="H129" s="708">
        <v>95</v>
      </c>
      <c r="I129" s="708">
        <v>95</v>
      </c>
      <c r="J129" s="708">
        <v>95</v>
      </c>
      <c r="K129" s="708">
        <v>95</v>
      </c>
      <c r="L129" s="708">
        <v>95</v>
      </c>
      <c r="M129" s="708">
        <v>95</v>
      </c>
      <c r="N129" s="708">
        <v>95</v>
      </c>
      <c r="O129" s="703">
        <f t="shared" si="19"/>
        <v>1140</v>
      </c>
      <c r="P129" s="442"/>
      <c r="Q129" s="727"/>
      <c r="R129" s="728"/>
      <c r="S129" s="131"/>
      <c r="X129" s="132"/>
      <c r="AF129" s="108">
        <v>4</v>
      </c>
    </row>
    <row r="130" spans="1:32">
      <c r="A130" s="319">
        <f>INDEX(QS_Chart_Of_Accounts_Upload!$C:$O,MATCH(B130,QS_Chart_Of_Accounts_Upload!$E:$E,0),MATCH("ACCT_NO",QS_Chart_Of_Accounts_Upload!$C$1:$O$1,0))</f>
        <v>6525</v>
      </c>
      <c r="B130" s="430" t="s">
        <v>336</v>
      </c>
      <c r="C130" s="708">
        <v>0</v>
      </c>
      <c r="D130" s="708">
        <v>0</v>
      </c>
      <c r="E130" s="708">
        <v>0</v>
      </c>
      <c r="F130" s="708">
        <v>0</v>
      </c>
      <c r="G130" s="708">
        <v>0</v>
      </c>
      <c r="H130" s="708">
        <v>2500</v>
      </c>
      <c r="I130" s="708">
        <v>0</v>
      </c>
      <c r="J130" s="708">
        <v>0</v>
      </c>
      <c r="K130" s="708">
        <v>0</v>
      </c>
      <c r="L130" s="708">
        <v>0</v>
      </c>
      <c r="M130" s="708">
        <v>0</v>
      </c>
      <c r="N130" s="708">
        <v>0</v>
      </c>
      <c r="O130" s="703">
        <f t="shared" si="19"/>
        <v>2500</v>
      </c>
      <c r="P130" s="442"/>
      <c r="Q130" s="727"/>
      <c r="R130" s="728"/>
      <c r="S130" s="131"/>
      <c r="X130" s="132"/>
    </row>
    <row r="131" spans="1:32">
      <c r="A131" s="319">
        <f>INDEX(QS_Chart_Of_Accounts_Upload!$C:$O,MATCH(B131,QS_Chart_Of_Accounts_Upload!$E:$E,0),MATCH("ACCT_NO",QS_Chart_Of_Accounts_Upload!$C$1:$O$1,0))</f>
        <v>6540</v>
      </c>
      <c r="B131" s="430" t="s">
        <v>338</v>
      </c>
      <c r="C131" s="704">
        <f>+$T$131</f>
        <v>200</v>
      </c>
      <c r="D131" s="704">
        <f t="shared" ref="D131:N131" si="22">+$T$131</f>
        <v>200</v>
      </c>
      <c r="E131" s="704">
        <f t="shared" si="22"/>
        <v>200</v>
      </c>
      <c r="F131" s="704">
        <f t="shared" si="22"/>
        <v>200</v>
      </c>
      <c r="G131" s="704">
        <f t="shared" si="22"/>
        <v>200</v>
      </c>
      <c r="H131" s="704">
        <f t="shared" si="22"/>
        <v>200</v>
      </c>
      <c r="I131" s="704">
        <f t="shared" si="22"/>
        <v>200</v>
      </c>
      <c r="J131" s="704">
        <f t="shared" si="22"/>
        <v>200</v>
      </c>
      <c r="K131" s="704">
        <f t="shared" si="22"/>
        <v>200</v>
      </c>
      <c r="L131" s="704">
        <f t="shared" si="22"/>
        <v>200</v>
      </c>
      <c r="M131" s="704">
        <f t="shared" si="22"/>
        <v>200</v>
      </c>
      <c r="N131" s="704">
        <f t="shared" si="22"/>
        <v>200</v>
      </c>
      <c r="O131" s="703">
        <f t="shared" si="19"/>
        <v>2400</v>
      </c>
      <c r="P131" s="442"/>
      <c r="Q131" s="727"/>
      <c r="R131" s="728"/>
      <c r="S131" s="131" t="s">
        <v>941</v>
      </c>
      <c r="T131" s="709">
        <v>200</v>
      </c>
      <c r="X131" s="132"/>
    </row>
    <row r="132" spans="1:32">
      <c r="A132" s="319">
        <f>INDEX(QS_Chart_Of_Accounts_Upload!$C:$O,MATCH(B132,QS_Chart_Of_Accounts_Upload!$E:$E,0),MATCH("ACCT_NO",QS_Chart_Of_Accounts_Upload!$C$1:$O$1,0))</f>
        <v>6550</v>
      </c>
      <c r="B132" s="430" t="s">
        <v>339</v>
      </c>
      <c r="C132" s="708">
        <v>800</v>
      </c>
      <c r="D132" s="708">
        <v>800</v>
      </c>
      <c r="E132" s="708">
        <v>800</v>
      </c>
      <c r="F132" s="708">
        <v>800</v>
      </c>
      <c r="G132" s="708">
        <v>800</v>
      </c>
      <c r="H132" s="708">
        <v>800</v>
      </c>
      <c r="I132" s="708">
        <v>800</v>
      </c>
      <c r="J132" s="708">
        <v>800</v>
      </c>
      <c r="K132" s="708">
        <v>800</v>
      </c>
      <c r="L132" s="708">
        <v>800</v>
      </c>
      <c r="M132" s="708">
        <v>800</v>
      </c>
      <c r="N132" s="708">
        <v>800</v>
      </c>
      <c r="O132" s="703">
        <f t="shared" si="19"/>
        <v>9600</v>
      </c>
      <c r="P132" s="442"/>
      <c r="Q132" s="727"/>
      <c r="R132" s="728"/>
      <c r="S132" s="131"/>
      <c r="X132" s="132"/>
    </row>
    <row r="133" spans="1:32">
      <c r="A133" s="319">
        <f>INDEX(QS_Chart_Of_Accounts_Upload!$C:$O,MATCH(B133,QS_Chart_Of_Accounts_Upload!$E:$E,0),MATCH("ACCT_NO",QS_Chart_Of_Accounts_Upload!$C$1:$O$1,0))</f>
        <v>6560</v>
      </c>
      <c r="B133" s="430" t="s">
        <v>340</v>
      </c>
      <c r="C133" s="708"/>
      <c r="D133" s="708">
        <v>0</v>
      </c>
      <c r="E133" s="708">
        <v>1040</v>
      </c>
      <c r="F133" s="708">
        <v>0</v>
      </c>
      <c r="G133" s="708">
        <v>0</v>
      </c>
      <c r="H133" s="708">
        <v>0</v>
      </c>
      <c r="I133" s="708">
        <v>1040</v>
      </c>
      <c r="J133" s="708">
        <v>0</v>
      </c>
      <c r="K133" s="708">
        <v>0</v>
      </c>
      <c r="L133" s="708">
        <v>0</v>
      </c>
      <c r="M133" s="708">
        <v>0</v>
      </c>
      <c r="N133" s="708">
        <v>0</v>
      </c>
      <c r="O133" s="703">
        <f t="shared" si="19"/>
        <v>2080</v>
      </c>
      <c r="P133" s="442"/>
      <c r="Q133" s="727"/>
      <c r="R133" s="728"/>
      <c r="S133" s="131"/>
      <c r="X133" s="132"/>
    </row>
    <row r="134" spans="1:32">
      <c r="A134" s="319">
        <f>INDEX(QS_Chart_Of_Accounts_Upload!$C:$O,MATCH(B134,QS_Chart_Of_Accounts_Upload!$E:$E,0),MATCH("ACCT_NO",QS_Chart_Of_Accounts_Upload!$C$1:$O$1,0))</f>
        <v>6570</v>
      </c>
      <c r="B134" s="430" t="s">
        <v>22</v>
      </c>
      <c r="C134" s="704">
        <f>+$T$134*'GPR Worksheet'!$C$22</f>
        <v>124.5</v>
      </c>
      <c r="D134" s="704">
        <f>+$T$134*'GPR Worksheet'!$C$22</f>
        <v>124.5</v>
      </c>
      <c r="E134" s="704">
        <f>+$T$134*'GPR Worksheet'!$C$22</f>
        <v>124.5</v>
      </c>
      <c r="F134" s="704">
        <f>+$T$134*'GPR Worksheet'!$C$22</f>
        <v>124.5</v>
      </c>
      <c r="G134" s="704">
        <f>+$T$134*'GPR Worksheet'!$C$22</f>
        <v>124.5</v>
      </c>
      <c r="H134" s="704">
        <f>+$T$134*'GPR Worksheet'!$C$22</f>
        <v>124.5</v>
      </c>
      <c r="I134" s="704">
        <f>+$T$134*'GPR Worksheet'!$C$22</f>
        <v>124.5</v>
      </c>
      <c r="J134" s="704">
        <f>+$T$134*'GPR Worksheet'!$C$22</f>
        <v>124.5</v>
      </c>
      <c r="K134" s="704">
        <f>+$T$134*'GPR Worksheet'!$C$22</f>
        <v>124.5</v>
      </c>
      <c r="L134" s="704">
        <f>+$T$134*'GPR Worksheet'!$C$22</f>
        <v>124.5</v>
      </c>
      <c r="M134" s="704">
        <f>+$T$134*'GPR Worksheet'!$C$22</f>
        <v>124.5</v>
      </c>
      <c r="N134" s="704">
        <f>+$T$134*'GPR Worksheet'!$C$22</f>
        <v>124.5</v>
      </c>
      <c r="O134" s="703">
        <f t="shared" si="19"/>
        <v>1494</v>
      </c>
      <c r="P134" s="442"/>
      <c r="Q134" s="727"/>
      <c r="R134" s="728"/>
      <c r="S134" s="131" t="s">
        <v>138</v>
      </c>
      <c r="T134" s="707">
        <v>1.5</v>
      </c>
      <c r="X134" s="132"/>
    </row>
    <row r="135" spans="1:32">
      <c r="A135" s="319">
        <f>INDEX(QS_Chart_Of_Accounts_Upload!$C:$O,MATCH(B135,QS_Chart_Of_Accounts_Upload!$E:$E,0),MATCH("ACCT_NO",QS_Chart_Of_Accounts_Upload!$C$1:$O$1,0))</f>
        <v>6590</v>
      </c>
      <c r="B135" s="430" t="s">
        <v>341</v>
      </c>
      <c r="C135" s="708">
        <v>0</v>
      </c>
      <c r="D135" s="708">
        <v>0</v>
      </c>
      <c r="E135" s="708">
        <v>0</v>
      </c>
      <c r="F135" s="708">
        <v>0</v>
      </c>
      <c r="G135" s="708">
        <v>0</v>
      </c>
      <c r="H135" s="708">
        <v>0</v>
      </c>
      <c r="I135" s="708">
        <v>0</v>
      </c>
      <c r="J135" s="708">
        <v>0</v>
      </c>
      <c r="K135" s="708">
        <v>0</v>
      </c>
      <c r="L135" s="708">
        <v>0</v>
      </c>
      <c r="M135" s="708">
        <v>0</v>
      </c>
      <c r="N135" s="708">
        <v>0</v>
      </c>
      <c r="O135" s="703">
        <f t="shared" si="19"/>
        <v>0</v>
      </c>
      <c r="P135" s="442"/>
      <c r="Q135" s="727"/>
      <c r="R135" s="728"/>
      <c r="S135" s="131"/>
      <c r="X135" s="132"/>
    </row>
    <row r="136" spans="1:32">
      <c r="A136" s="319">
        <f>INDEX(QS_Chart_Of_Accounts_Upload!$C:$O,MATCH(B136,QS_Chart_Of_Accounts_Upload!$E:$E,0),MATCH("ACCT_NO",QS_Chart_Of_Accounts_Upload!$C$1:$O$1,0))</f>
        <v>6591</v>
      </c>
      <c r="B136" s="430" t="s">
        <v>342</v>
      </c>
      <c r="C136" s="708">
        <v>0</v>
      </c>
      <c r="D136" s="708">
        <v>0</v>
      </c>
      <c r="E136" s="708">
        <v>0</v>
      </c>
      <c r="F136" s="708">
        <v>0</v>
      </c>
      <c r="G136" s="708">
        <v>0</v>
      </c>
      <c r="H136" s="708">
        <v>0</v>
      </c>
      <c r="I136" s="708">
        <v>0</v>
      </c>
      <c r="J136" s="708">
        <v>0</v>
      </c>
      <c r="K136" s="708">
        <v>0</v>
      </c>
      <c r="L136" s="708">
        <v>0</v>
      </c>
      <c r="M136" s="708">
        <v>0</v>
      </c>
      <c r="N136" s="708">
        <v>0</v>
      </c>
      <c r="O136" s="703">
        <f t="shared" si="19"/>
        <v>0</v>
      </c>
      <c r="P136" s="442"/>
      <c r="Q136" s="727"/>
      <c r="R136" s="728"/>
      <c r="S136" s="131"/>
      <c r="X136" s="132"/>
    </row>
    <row r="137" spans="1:32" ht="14">
      <c r="A137" s="319">
        <f>INDEX(QS_Chart_Of_Accounts_Upload!$C:$O,MATCH(B137,QS_Chart_Of_Accounts_Upload!$E:$E,0),MATCH("ACCT_NO",QS_Chart_Of_Accounts_Upload!$C$1:$O$1,0))</f>
        <v>6610</v>
      </c>
      <c r="B137" s="430" t="s">
        <v>343</v>
      </c>
      <c r="C137" s="704">
        <f>+$T$137*'Revenue Worksheet'!D18</f>
        <v>212.60000000000002</v>
      </c>
      <c r="D137" s="704">
        <f>+$T$137*'Revenue Worksheet'!E18</f>
        <v>244.49</v>
      </c>
      <c r="E137" s="704">
        <f>+$T$137*'Revenue Worksheet'!F18</f>
        <v>244.49</v>
      </c>
      <c r="F137" s="704">
        <f>+$T$137*'Revenue Worksheet'!G18</f>
        <v>244.49</v>
      </c>
      <c r="G137" s="704">
        <f>+$T$137*'Revenue Worksheet'!H18</f>
        <v>457.09000000000003</v>
      </c>
      <c r="H137" s="704">
        <f>+$T$137*'Revenue Worksheet'!I18</f>
        <v>722.84</v>
      </c>
      <c r="I137" s="704">
        <f>+$T$137*'Revenue Worksheet'!J18</f>
        <v>871.66000000000008</v>
      </c>
      <c r="J137" s="704">
        <f>+$T$137*'Revenue Worksheet'!K18</f>
        <v>871.66000000000008</v>
      </c>
      <c r="K137" s="704">
        <f>+$T$137*'Revenue Worksheet'!L18</f>
        <v>871.66000000000008</v>
      </c>
      <c r="L137" s="704">
        <f>+$T$137*'Revenue Worksheet'!M18</f>
        <v>871.66000000000008</v>
      </c>
      <c r="M137" s="704">
        <f>+$T$137*'Revenue Worksheet'!N18</f>
        <v>871.66000000000008</v>
      </c>
      <c r="N137" s="704">
        <f>+$T$137*'Revenue Worksheet'!O18</f>
        <v>871.66000000000008</v>
      </c>
      <c r="O137" s="703">
        <f t="shared" si="19"/>
        <v>7355.9599999999991</v>
      </c>
      <c r="P137" s="442"/>
      <c r="Q137" s="727" t="s">
        <v>1034</v>
      </c>
      <c r="R137" s="728"/>
      <c r="S137" s="131" t="s">
        <v>928</v>
      </c>
      <c r="T137" s="707">
        <v>10.63</v>
      </c>
      <c r="X137" s="132"/>
    </row>
    <row r="138" spans="1:32">
      <c r="A138" s="319">
        <f>INDEX(QS_Chart_Of_Accounts_Upload!$C:$O,MATCH(B138,QS_Chart_Of_Accounts_Upload!$E:$E,0),MATCH("ACCT_NO",QS_Chart_Of_Accounts_Upload!$C$1:$O$1,0))</f>
        <v>6620</v>
      </c>
      <c r="B138" s="430" t="s">
        <v>344</v>
      </c>
      <c r="C138" s="704">
        <f>+$T$138*'Revenue Worksheet'!D18</f>
        <v>50</v>
      </c>
      <c r="D138" s="704">
        <f>+$T$138*'Revenue Worksheet'!E18</f>
        <v>57.5</v>
      </c>
      <c r="E138" s="704">
        <f>+$T$138*'Revenue Worksheet'!F18</f>
        <v>57.5</v>
      </c>
      <c r="F138" s="704">
        <f>+$T$138*'Revenue Worksheet'!G18</f>
        <v>57.5</v>
      </c>
      <c r="G138" s="704">
        <f>+$T$138*'Revenue Worksheet'!H18</f>
        <v>107.5</v>
      </c>
      <c r="H138" s="704">
        <f>+$T$138*'Revenue Worksheet'!I18</f>
        <v>170</v>
      </c>
      <c r="I138" s="704">
        <f>+$T$138*'Revenue Worksheet'!J18</f>
        <v>205</v>
      </c>
      <c r="J138" s="704">
        <f>+$T$138*'Revenue Worksheet'!K18</f>
        <v>205</v>
      </c>
      <c r="K138" s="704">
        <f>+$T$138*'Revenue Worksheet'!L18</f>
        <v>205</v>
      </c>
      <c r="L138" s="704">
        <f>+$T$138*'Revenue Worksheet'!M18</f>
        <v>205</v>
      </c>
      <c r="M138" s="704">
        <f>+$T$138*'Revenue Worksheet'!N18</f>
        <v>205</v>
      </c>
      <c r="N138" s="704">
        <f>+$T$138*'Revenue Worksheet'!O18</f>
        <v>205</v>
      </c>
      <c r="O138" s="703">
        <f t="shared" si="19"/>
        <v>1730</v>
      </c>
      <c r="P138" s="442"/>
      <c r="Q138" s="727"/>
      <c r="R138" s="728"/>
      <c r="S138" s="131" t="s">
        <v>928</v>
      </c>
      <c r="T138" s="707">
        <v>2.5</v>
      </c>
      <c r="X138" s="132"/>
    </row>
    <row r="139" spans="1:32">
      <c r="A139" s="319">
        <f>INDEX(QS_Chart_Of_Accounts_Upload!$C:$O,MATCH(B139,QS_Chart_Of_Accounts_Upload!$E:$E,0),MATCH("ACCT_NO",QS_Chart_Of_Accounts_Upload!$C$1:$O$1,0))</f>
        <v>6630</v>
      </c>
      <c r="B139" s="439" t="s">
        <v>42</v>
      </c>
      <c r="C139" s="708">
        <v>0</v>
      </c>
      <c r="D139" s="708">
        <v>0</v>
      </c>
      <c r="E139" s="708">
        <v>0</v>
      </c>
      <c r="F139" s="708">
        <v>0</v>
      </c>
      <c r="G139" s="708">
        <v>0</v>
      </c>
      <c r="H139" s="708">
        <v>0</v>
      </c>
      <c r="I139" s="708">
        <v>0</v>
      </c>
      <c r="J139" s="708">
        <v>0</v>
      </c>
      <c r="K139" s="708">
        <v>0</v>
      </c>
      <c r="L139" s="708">
        <v>0</v>
      </c>
      <c r="M139" s="708">
        <v>0</v>
      </c>
      <c r="N139" s="708">
        <v>0</v>
      </c>
      <c r="O139" s="703">
        <f t="shared" si="19"/>
        <v>0</v>
      </c>
      <c r="P139" s="442"/>
      <c r="Q139" s="727"/>
      <c r="R139" s="728"/>
      <c r="S139" s="131"/>
      <c r="X139" s="132"/>
    </row>
    <row r="140" spans="1:32">
      <c r="A140" s="319">
        <f>INDEX(QS_Chart_Of_Accounts_Upload!$C:$O,MATCH(B140,QS_Chart_Of_Accounts_Upload!$E:$E,0),MATCH("ACCT_NO",QS_Chart_Of_Accounts_Upload!$C$1:$O$1,0))</f>
        <v>6650</v>
      </c>
      <c r="B140" s="439" t="s">
        <v>345</v>
      </c>
      <c r="C140" s="708">
        <v>0</v>
      </c>
      <c r="D140" s="708">
        <v>0</v>
      </c>
      <c r="E140" s="708">
        <v>0</v>
      </c>
      <c r="F140" s="708">
        <v>0</v>
      </c>
      <c r="G140" s="708">
        <v>0</v>
      </c>
      <c r="H140" s="708">
        <v>0</v>
      </c>
      <c r="I140" s="708">
        <v>0</v>
      </c>
      <c r="J140" s="708">
        <v>0</v>
      </c>
      <c r="K140" s="708">
        <v>0</v>
      </c>
      <c r="L140" s="708">
        <v>0</v>
      </c>
      <c r="M140" s="708">
        <v>0</v>
      </c>
      <c r="N140" s="708">
        <v>0</v>
      </c>
      <c r="O140" s="703">
        <f t="shared" si="19"/>
        <v>0</v>
      </c>
      <c r="P140" s="442"/>
      <c r="Q140" s="727"/>
      <c r="R140" s="728"/>
      <c r="S140" s="131"/>
      <c r="X140" s="132"/>
    </row>
    <row r="141" spans="1:32">
      <c r="A141" s="319"/>
      <c r="B141" s="439"/>
      <c r="C141" s="466"/>
      <c r="D141" s="466"/>
      <c r="E141" s="466"/>
      <c r="F141" s="466"/>
      <c r="G141" s="466"/>
      <c r="H141" s="466"/>
      <c r="I141" s="466"/>
      <c r="J141" s="466"/>
      <c r="K141" s="466"/>
      <c r="L141" s="466"/>
      <c r="M141" s="466"/>
      <c r="N141" s="466"/>
      <c r="O141" s="465"/>
      <c r="P141" s="456"/>
      <c r="Q141" s="731"/>
      <c r="R141" s="732"/>
      <c r="S141" s="131"/>
      <c r="X141" s="132"/>
    </row>
    <row r="142" spans="1:32" ht="14" thickBot="1">
      <c r="A142" s="319"/>
      <c r="B142" s="427" t="s">
        <v>194</v>
      </c>
      <c r="C142" s="725">
        <f t="shared" ref="C142:N142" si="23">SUM(C120:C141)</f>
        <v>2371.1</v>
      </c>
      <c r="D142" s="725">
        <f t="shared" si="23"/>
        <v>2530.4899999999998</v>
      </c>
      <c r="E142" s="725">
        <f t="shared" si="23"/>
        <v>3570.49</v>
      </c>
      <c r="F142" s="725">
        <f t="shared" si="23"/>
        <v>2530.4899999999998</v>
      </c>
      <c r="G142" s="725">
        <f t="shared" si="23"/>
        <v>3593.09</v>
      </c>
      <c r="H142" s="725">
        <f t="shared" si="23"/>
        <v>7421.34</v>
      </c>
      <c r="I142" s="725">
        <f t="shared" si="23"/>
        <v>6705.16</v>
      </c>
      <c r="J142" s="725">
        <f t="shared" si="23"/>
        <v>5665.16</v>
      </c>
      <c r="K142" s="725">
        <f t="shared" si="23"/>
        <v>5665.16</v>
      </c>
      <c r="L142" s="725">
        <f t="shared" si="23"/>
        <v>5665.16</v>
      </c>
      <c r="M142" s="725">
        <f t="shared" si="23"/>
        <v>5665.16</v>
      </c>
      <c r="N142" s="725">
        <f t="shared" si="23"/>
        <v>5665.16</v>
      </c>
      <c r="O142" s="689">
        <f>+SUBTOTAL(9,C142:N142)</f>
        <v>57047.960000000006</v>
      </c>
      <c r="P142" s="726"/>
      <c r="Q142" s="738"/>
      <c r="R142" s="2"/>
      <c r="S142" s="639"/>
      <c r="T142" s="734"/>
      <c r="U142" s="101"/>
      <c r="V142" s="101"/>
      <c r="W142" s="101"/>
      <c r="X142" s="640"/>
    </row>
    <row r="143" spans="1:32" ht="14" thickTop="1"/>
    <row r="146" spans="1:25" s="697" customFormat="1">
      <c r="A146" s="690" t="s">
        <v>206</v>
      </c>
      <c r="B146" s="691" t="s">
        <v>8</v>
      </c>
      <c r="C146" s="692">
        <f t="shared" ref="C146:O146" si="24">C119</f>
        <v>45901</v>
      </c>
      <c r="D146" s="692">
        <f t="shared" si="24"/>
        <v>45961</v>
      </c>
      <c r="E146" s="692">
        <f t="shared" si="24"/>
        <v>45991</v>
      </c>
      <c r="F146" s="692">
        <f t="shared" si="24"/>
        <v>46022</v>
      </c>
      <c r="G146" s="692">
        <f t="shared" si="24"/>
        <v>46053</v>
      </c>
      <c r="H146" s="692">
        <f t="shared" si="24"/>
        <v>46081</v>
      </c>
      <c r="I146" s="692">
        <f t="shared" si="24"/>
        <v>46112</v>
      </c>
      <c r="J146" s="692">
        <f t="shared" si="24"/>
        <v>46142</v>
      </c>
      <c r="K146" s="692">
        <f t="shared" si="24"/>
        <v>46173</v>
      </c>
      <c r="L146" s="692">
        <f t="shared" si="24"/>
        <v>46203</v>
      </c>
      <c r="M146" s="692">
        <f t="shared" si="24"/>
        <v>46234</v>
      </c>
      <c r="N146" s="692">
        <f t="shared" si="24"/>
        <v>46265</v>
      </c>
      <c r="O146" s="693" t="str">
        <f t="shared" si="24"/>
        <v>Year 1 Total</v>
      </c>
      <c r="P146" s="694"/>
      <c r="Q146" s="695" t="s">
        <v>23</v>
      </c>
      <c r="R146" s="696"/>
      <c r="S146" s="1085" t="s">
        <v>924</v>
      </c>
      <c r="T146" s="1086"/>
      <c r="U146" s="1086"/>
      <c r="V146" s="1086"/>
      <c r="W146" s="1086"/>
      <c r="X146" s="1087"/>
    </row>
    <row r="147" spans="1:25" ht="5.25" customHeight="1">
      <c r="A147" s="319"/>
      <c r="B147" s="427"/>
      <c r="C147" s="699"/>
      <c r="D147" s="699"/>
      <c r="E147" s="699"/>
      <c r="F147" s="699"/>
      <c r="G147" s="699"/>
      <c r="H147" s="699"/>
      <c r="I147" s="699"/>
      <c r="J147" s="699"/>
      <c r="K147" s="699"/>
      <c r="L147" s="699"/>
      <c r="M147" s="699"/>
      <c r="N147" s="699"/>
      <c r="O147" s="700"/>
      <c r="P147" s="442"/>
      <c r="Q147" s="716"/>
      <c r="R147" s="426"/>
      <c r="S147" s="735"/>
      <c r="X147" s="132"/>
    </row>
    <row r="148" spans="1:25" ht="14">
      <c r="A148" s="319">
        <f>INDEX(QS_Chart_Of_Accounts_Upload!$C:$O,MATCH(B148,QS_Chart_Of_Accounts_Upload!$E:$E,0),MATCH("ACCT_NO",QS_Chart_Of_Accounts_Upload!$C$1:$O$1,0))</f>
        <v>8010</v>
      </c>
      <c r="B148" s="430" t="s">
        <v>397</v>
      </c>
      <c r="C148" s="704">
        <f>+$T$148</f>
        <v>7000</v>
      </c>
      <c r="D148" s="704">
        <f t="shared" ref="D148:N148" si="25">+$T$148</f>
        <v>7000</v>
      </c>
      <c r="E148" s="704">
        <f t="shared" si="25"/>
        <v>7000</v>
      </c>
      <c r="F148" s="704">
        <f t="shared" si="25"/>
        <v>7000</v>
      </c>
      <c r="G148" s="704">
        <f t="shared" si="25"/>
        <v>7000</v>
      </c>
      <c r="H148" s="704">
        <f t="shared" si="25"/>
        <v>7000</v>
      </c>
      <c r="I148" s="704">
        <f t="shared" si="25"/>
        <v>7000</v>
      </c>
      <c r="J148" s="704">
        <f t="shared" si="25"/>
        <v>7000</v>
      </c>
      <c r="K148" s="704">
        <f t="shared" si="25"/>
        <v>7000</v>
      </c>
      <c r="L148" s="704">
        <f t="shared" si="25"/>
        <v>7000</v>
      </c>
      <c r="M148" s="704">
        <f t="shared" si="25"/>
        <v>7000</v>
      </c>
      <c r="N148" s="704">
        <f t="shared" si="25"/>
        <v>7000</v>
      </c>
      <c r="O148" s="703">
        <f t="shared" ref="O148:O154" si="26">+SUBTOTAL(9,C148:N148)</f>
        <v>84000</v>
      </c>
      <c r="P148" s="722"/>
      <c r="Q148" s="727" t="s">
        <v>510</v>
      </c>
      <c r="R148" s="723"/>
      <c r="S148" s="131" t="s">
        <v>941</v>
      </c>
      <c r="T148" s="709">
        <v>7000</v>
      </c>
      <c r="U148" s="2"/>
      <c r="X148" s="132"/>
    </row>
    <row r="149" spans="1:25">
      <c r="A149" s="319">
        <f>INDEX(QS_Chart_Of_Accounts_Upload!$C:$O,MATCH(B149,QS_Chart_Of_Accounts_Upload!$E:$E,0),MATCH("ACCT_NO",QS_Chart_Of_Accounts_Upload!$C$1:$O$1,0))</f>
        <v>8015</v>
      </c>
      <c r="B149" s="430" t="s">
        <v>399</v>
      </c>
      <c r="C149" s="708">
        <v>0</v>
      </c>
      <c r="D149" s="708">
        <v>0</v>
      </c>
      <c r="E149" s="708">
        <v>0</v>
      </c>
      <c r="F149" s="708">
        <v>0</v>
      </c>
      <c r="G149" s="708">
        <v>0</v>
      </c>
      <c r="H149" s="708">
        <v>0</v>
      </c>
      <c r="I149" s="708">
        <v>0</v>
      </c>
      <c r="J149" s="708">
        <v>0</v>
      </c>
      <c r="K149" s="708">
        <v>0</v>
      </c>
      <c r="L149" s="708">
        <v>0</v>
      </c>
      <c r="M149" s="708">
        <v>0</v>
      </c>
      <c r="N149" s="708">
        <v>0</v>
      </c>
      <c r="O149" s="703">
        <f t="shared" si="26"/>
        <v>0</v>
      </c>
      <c r="P149" s="722"/>
      <c r="Q149" s="727"/>
      <c r="R149" s="723"/>
      <c r="S149" s="428"/>
      <c r="T149" s="461"/>
      <c r="U149" s="2"/>
      <c r="X149" s="132"/>
    </row>
    <row r="150" spans="1:25">
      <c r="A150" s="319">
        <f>INDEX(QS_Chart_Of_Accounts_Upload!$C:$O,MATCH(B150,QS_Chart_Of_Accounts_Upload!$E:$E,0),MATCH("ACCT_NO",QS_Chart_Of_Accounts_Upload!$C$1:$O$1,0))</f>
        <v>8025</v>
      </c>
      <c r="B150" s="430" t="s">
        <v>400</v>
      </c>
      <c r="C150" s="708">
        <v>0</v>
      </c>
      <c r="D150" s="708">
        <v>0</v>
      </c>
      <c r="E150" s="708">
        <v>0</v>
      </c>
      <c r="F150" s="708">
        <v>0</v>
      </c>
      <c r="G150" s="708">
        <v>0</v>
      </c>
      <c r="H150" s="708">
        <v>0</v>
      </c>
      <c r="I150" s="708">
        <v>0</v>
      </c>
      <c r="J150" s="708">
        <v>0</v>
      </c>
      <c r="K150" s="708">
        <v>0</v>
      </c>
      <c r="L150" s="708">
        <v>0</v>
      </c>
      <c r="M150" s="708">
        <v>0</v>
      </c>
      <c r="N150" s="708">
        <v>0</v>
      </c>
      <c r="O150" s="703">
        <f t="shared" si="26"/>
        <v>0</v>
      </c>
      <c r="P150" s="722"/>
      <c r="Q150" s="727"/>
      <c r="R150" s="723"/>
      <c r="S150" s="428"/>
      <c r="T150" s="461"/>
      <c r="U150" s="2"/>
      <c r="X150" s="132"/>
    </row>
    <row r="151" spans="1:25">
      <c r="A151" s="319">
        <f>INDEX(QS_Chart_Of_Accounts_Upload!$C:$O,MATCH(B151,QS_Chart_Of_Accounts_Upload!$E:$E,0),MATCH("ACCT_NO",QS_Chart_Of_Accounts_Upload!$C$1:$O$1,0))</f>
        <v>8100</v>
      </c>
      <c r="B151" s="430" t="s">
        <v>21</v>
      </c>
      <c r="C151" s="667">
        <f>+$T$151*'GPR Worksheet'!$H$22/12</f>
        <v>3752.25</v>
      </c>
      <c r="D151" s="667">
        <f>+$T$151*'GPR Worksheet'!$H$22/12</f>
        <v>3752.25</v>
      </c>
      <c r="E151" s="667">
        <f>+$T$151*'GPR Worksheet'!$H$22/12</f>
        <v>3752.25</v>
      </c>
      <c r="F151" s="667">
        <f>+$T$151*'GPR Worksheet'!$H$22/12</f>
        <v>3752.25</v>
      </c>
      <c r="G151" s="667">
        <f>+$T$151*'GPR Worksheet'!$H$22/12</f>
        <v>3752.25</v>
      </c>
      <c r="H151" s="667">
        <f>+$T$151*'GPR Worksheet'!$H$22/12</f>
        <v>3752.25</v>
      </c>
      <c r="I151" s="667">
        <f>+$T$151*'GPR Worksheet'!$H$22/12</f>
        <v>3752.25</v>
      </c>
      <c r="J151" s="667">
        <f>+$T$151*'GPR Worksheet'!$H$22/12</f>
        <v>3752.25</v>
      </c>
      <c r="K151" s="667">
        <f>+$T$151*'GPR Worksheet'!$H$22/12</f>
        <v>3752.25</v>
      </c>
      <c r="L151" s="667">
        <f>+$T$151*'GPR Worksheet'!$H$22/12</f>
        <v>3752.25</v>
      </c>
      <c r="M151" s="667">
        <f>+$T$151*'GPR Worksheet'!$H$22/12</f>
        <v>3752.25</v>
      </c>
      <c r="N151" s="667">
        <f>+$T$151*'GPR Worksheet'!$H$22/12</f>
        <v>3752.25</v>
      </c>
      <c r="O151" s="703">
        <f t="shared" si="26"/>
        <v>45027</v>
      </c>
      <c r="P151" s="722"/>
      <c r="Q151" s="727"/>
      <c r="R151" s="723"/>
      <c r="S151" s="428" t="s">
        <v>68</v>
      </c>
      <c r="T151" s="707">
        <v>0.5</v>
      </c>
      <c r="U151" s="2"/>
      <c r="X151" s="132"/>
    </row>
    <row r="152" spans="1:25">
      <c r="A152" s="319">
        <f>INDEX(QS_Chart_Of_Accounts_Upload!$C:$O,MATCH(B152,QS_Chart_Of_Accounts_Upload!$E:$E,0),MATCH("ACCT_NO",QS_Chart_Of_Accounts_Upload!$C$1:$O$1,0))</f>
        <v>8145</v>
      </c>
      <c r="B152" s="430" t="s">
        <v>406</v>
      </c>
      <c r="C152" s="708">
        <v>0</v>
      </c>
      <c r="D152" s="708">
        <v>0</v>
      </c>
      <c r="E152" s="708">
        <v>0</v>
      </c>
      <c r="F152" s="708">
        <v>0</v>
      </c>
      <c r="G152" s="708">
        <v>0</v>
      </c>
      <c r="H152" s="708">
        <v>0</v>
      </c>
      <c r="I152" s="708">
        <v>0</v>
      </c>
      <c r="J152" s="708">
        <v>0</v>
      </c>
      <c r="K152" s="708">
        <v>0</v>
      </c>
      <c r="L152" s="708">
        <v>0</v>
      </c>
      <c r="M152" s="708">
        <v>0</v>
      </c>
      <c r="N152" s="708">
        <v>0</v>
      </c>
      <c r="O152" s="703">
        <f t="shared" si="26"/>
        <v>0</v>
      </c>
      <c r="P152" s="722"/>
      <c r="Q152" s="727"/>
      <c r="R152" s="723"/>
      <c r="S152" s="428"/>
      <c r="T152" s="461"/>
      <c r="U152" s="2"/>
      <c r="X152" s="132"/>
    </row>
    <row r="153" spans="1:25">
      <c r="A153" s="319">
        <f>INDEX(QS_Chart_Of_Accounts_Upload!$C:$O,MATCH(B153,QS_Chart_Of_Accounts_Upload!$E:$E,0),MATCH("ACCT_NO",QS_Chart_Of_Accounts_Upload!$C$1:$O$1,0))</f>
        <v>8150</v>
      </c>
      <c r="B153" s="430" t="s">
        <v>407</v>
      </c>
      <c r="C153" s="708">
        <v>0</v>
      </c>
      <c r="D153" s="708">
        <v>0</v>
      </c>
      <c r="E153" s="708">
        <v>0</v>
      </c>
      <c r="F153" s="708">
        <v>0</v>
      </c>
      <c r="G153" s="708">
        <v>0</v>
      </c>
      <c r="H153" s="708">
        <v>0</v>
      </c>
      <c r="I153" s="708">
        <v>0</v>
      </c>
      <c r="J153" s="708">
        <v>0</v>
      </c>
      <c r="K153" s="708">
        <v>0</v>
      </c>
      <c r="L153" s="708">
        <v>0</v>
      </c>
      <c r="M153" s="708">
        <v>0</v>
      </c>
      <c r="N153" s="708">
        <v>0</v>
      </c>
      <c r="O153" s="703">
        <f t="shared" si="26"/>
        <v>0</v>
      </c>
      <c r="P153" s="722"/>
      <c r="Q153" s="727"/>
      <c r="R153" s="723"/>
      <c r="S153" s="428"/>
      <c r="T153" s="461"/>
      <c r="U153" s="2"/>
      <c r="X153" s="132"/>
    </row>
    <row r="154" spans="1:25">
      <c r="A154" s="319">
        <f>INDEX(QS_Chart_Of_Accounts_Upload!$C:$O,MATCH(B154,QS_Chart_Of_Accounts_Upload!$E:$E,0),MATCH("ACCT_NO",QS_Chart_Of_Accounts_Upload!$C$1:$O$1,0))</f>
        <v>8155</v>
      </c>
      <c r="B154" s="430" t="s">
        <v>408</v>
      </c>
      <c r="C154" s="708">
        <v>0</v>
      </c>
      <c r="D154" s="708">
        <v>0</v>
      </c>
      <c r="E154" s="708">
        <v>0</v>
      </c>
      <c r="F154" s="708">
        <v>0</v>
      </c>
      <c r="G154" s="708">
        <v>0</v>
      </c>
      <c r="H154" s="708">
        <v>0</v>
      </c>
      <c r="I154" s="708">
        <v>0</v>
      </c>
      <c r="J154" s="708">
        <v>0</v>
      </c>
      <c r="K154" s="708">
        <v>0</v>
      </c>
      <c r="L154" s="708">
        <v>0</v>
      </c>
      <c r="M154" s="708">
        <v>0</v>
      </c>
      <c r="N154" s="708">
        <v>0</v>
      </c>
      <c r="O154" s="703">
        <f t="shared" si="26"/>
        <v>0</v>
      </c>
      <c r="P154" s="739"/>
      <c r="Q154" s="727"/>
      <c r="R154" s="723"/>
      <c r="S154" s="428"/>
      <c r="T154" s="461"/>
      <c r="U154" s="2"/>
      <c r="X154" s="132"/>
    </row>
    <row r="155" spans="1:25" ht="4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740"/>
      <c r="P155" s="2"/>
      <c r="Q155" s="60"/>
      <c r="R155" s="428"/>
      <c r="S155" s="428"/>
      <c r="T155" s="461"/>
      <c r="U155" s="2"/>
      <c r="X155" s="132"/>
    </row>
    <row r="156" spans="1:25" ht="14" thickBot="1">
      <c r="A156" s="319"/>
      <c r="B156" s="427" t="s">
        <v>18</v>
      </c>
      <c r="C156" s="725">
        <f t="shared" ref="C156:N156" si="27">SUM(C147:C155)</f>
        <v>10752.25</v>
      </c>
      <c r="D156" s="725">
        <f t="shared" ref="D156:G156" si="28">SUM(D147:D155)</f>
        <v>10752.25</v>
      </c>
      <c r="E156" s="725">
        <f t="shared" si="28"/>
        <v>10752.25</v>
      </c>
      <c r="F156" s="725">
        <f t="shared" si="28"/>
        <v>10752.25</v>
      </c>
      <c r="G156" s="725">
        <f t="shared" si="28"/>
        <v>10752.25</v>
      </c>
      <c r="H156" s="725">
        <f t="shared" si="27"/>
        <v>10752.25</v>
      </c>
      <c r="I156" s="725">
        <f t="shared" si="27"/>
        <v>10752.25</v>
      </c>
      <c r="J156" s="725">
        <f t="shared" si="27"/>
        <v>10752.25</v>
      </c>
      <c r="K156" s="725">
        <f t="shared" si="27"/>
        <v>10752.25</v>
      </c>
      <c r="L156" s="725">
        <f t="shared" si="27"/>
        <v>10752.25</v>
      </c>
      <c r="M156" s="725">
        <f t="shared" si="27"/>
        <v>10752.25</v>
      </c>
      <c r="N156" s="725">
        <f t="shared" si="27"/>
        <v>10752.25</v>
      </c>
      <c r="O156" s="689">
        <f>+SUBTOTAL(9,C156:N156)</f>
        <v>129027</v>
      </c>
      <c r="P156" s="726"/>
      <c r="Q156" s="738"/>
      <c r="R156" s="2"/>
      <c r="S156" s="714"/>
      <c r="T156" s="715"/>
      <c r="U156" s="63"/>
      <c r="V156" s="101"/>
      <c r="W156" s="101"/>
      <c r="X156" s="640"/>
    </row>
    <row r="157" spans="1:25" ht="14" thickTop="1">
      <c r="A157" s="319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  <c r="L157" s="427"/>
      <c r="M157" s="427"/>
      <c r="N157" s="427"/>
      <c r="O157" s="427"/>
      <c r="P157" s="427"/>
      <c r="Q157" s="427"/>
      <c r="R157" s="427"/>
      <c r="S157" s="427"/>
      <c r="T157" s="741"/>
      <c r="U157" s="427"/>
    </row>
    <row r="158" spans="1:25" ht="15" thickBot="1">
      <c r="A158" s="319">
        <f>INDEX(QS_Chart_Of_Accounts_Upload!$C:$O,MATCH(B158,QS_Chart_Of_Accounts_Upload!$E:$E,0),MATCH("ACCT_NO",QS_Chart_Of_Accounts_Upload!$C$1:$O$1,0))</f>
        <v>7900</v>
      </c>
      <c r="B158" s="430" t="s">
        <v>7</v>
      </c>
      <c r="C158" s="742">
        <v>3500</v>
      </c>
      <c r="D158" s="742">
        <v>3500</v>
      </c>
      <c r="E158" s="742">
        <v>3500</v>
      </c>
      <c r="F158" s="742">
        <v>3500</v>
      </c>
      <c r="G158" s="742">
        <f>MAX(SUM('Operating Budget'!J77*$T$158),$V$158)</f>
        <v>4500</v>
      </c>
      <c r="H158" s="742">
        <f>MAX(SUM('Operating Budget'!K77*$T$158),$V$158)</f>
        <v>4500</v>
      </c>
      <c r="I158" s="742">
        <f>MAX(SUM('Operating Budget'!L77*$T$158),$V$158)</f>
        <v>5187.6264885542168</v>
      </c>
      <c r="J158" s="742">
        <f>MAX(SUM('Operating Budget'!M77*$T$158),$V$158)</f>
        <v>5055.2664885542172</v>
      </c>
      <c r="K158" s="742">
        <f>MAX(SUM('Operating Budget'!N77*$T$158),$V$158)</f>
        <v>5057.6964885542166</v>
      </c>
      <c r="L158" s="742">
        <f>MAX(SUM('Operating Budget'!O77*$T$158),$V$158)</f>
        <v>5062.6464885542164</v>
      </c>
      <c r="M158" s="742">
        <f>MAX(SUM('Operating Budget'!P77*$T$158),$V$158)</f>
        <v>5062.5864885542169</v>
      </c>
      <c r="N158" s="742">
        <f>MAX(SUM('Operating Budget'!Q77*$T$158),$V$158)</f>
        <v>5065.0164885542172</v>
      </c>
      <c r="O158" s="480">
        <f>+SUBTOTAL(9,C158:N158)</f>
        <v>53490.838931325306</v>
      </c>
      <c r="P158" s="726"/>
      <c r="Q158" s="743" t="s">
        <v>1167</v>
      </c>
      <c r="R158" s="744"/>
      <c r="S158" s="745" t="s">
        <v>198</v>
      </c>
      <c r="T158" s="746">
        <v>0.03</v>
      </c>
      <c r="U158" s="64" t="s">
        <v>225</v>
      </c>
      <c r="V158" s="747">
        <v>4500</v>
      </c>
    </row>
    <row r="159" spans="1:25" ht="14" thickTop="1">
      <c r="A159" s="319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  <c r="L159" s="430"/>
      <c r="M159" s="430"/>
      <c r="N159" s="430"/>
      <c r="O159" s="430"/>
      <c r="P159" s="430"/>
      <c r="Q159" s="430"/>
      <c r="R159" s="430"/>
      <c r="S159" s="430"/>
      <c r="T159" s="748"/>
      <c r="U159" s="430"/>
      <c r="V159" s="430"/>
      <c r="W159" s="430"/>
      <c r="X159" s="430"/>
      <c r="Y159" s="430"/>
    </row>
    <row r="160" spans="1:25" ht="14" thickBot="1">
      <c r="A160" s="749"/>
      <c r="B160" s="750"/>
      <c r="C160" s="750"/>
      <c r="D160" s="750"/>
      <c r="E160" s="750"/>
      <c r="F160" s="750"/>
      <c r="G160" s="750"/>
      <c r="H160" s="750"/>
      <c r="I160" s="750"/>
      <c r="J160" s="750"/>
      <c r="K160" s="750"/>
      <c r="L160" s="750"/>
      <c r="M160" s="750"/>
      <c r="N160" s="750"/>
      <c r="O160" s="750"/>
      <c r="P160" s="750"/>
      <c r="Q160" s="750"/>
      <c r="R160" s="750"/>
      <c r="S160" s="750"/>
      <c r="T160" s="751"/>
      <c r="U160" s="751"/>
      <c r="V160" s="751"/>
      <c r="W160" s="751"/>
      <c r="X160" s="751"/>
      <c r="Y160" s="430"/>
    </row>
    <row r="161" spans="25:25" ht="14" thickTop="1">
      <c r="Y161" s="430"/>
    </row>
    <row r="162" spans="25:25">
      <c r="Y162" s="430"/>
    </row>
  </sheetData>
  <mergeCells count="5">
    <mergeCell ref="S146:X146"/>
    <mergeCell ref="S4:X4"/>
    <mergeCell ref="S70:X70"/>
    <mergeCell ref="S119:X119"/>
    <mergeCell ref="R20:AD20"/>
  </mergeCells>
  <dataValidations count="2">
    <dataValidation type="list" allowBlank="1" showInputMessage="1" showErrorMessage="1" sqref="S72" xr:uid="{6DE91EFB-769A-44EE-B457-6BBA5F56825E}">
      <formula1>$AG$72:$AI$72</formula1>
    </dataValidation>
    <dataValidation type="list" allowBlank="1" showInputMessage="1" showErrorMessage="1" sqref="T125" xr:uid="{2C3EB605-8569-4CC6-89B3-5412CE89D238}">
      <formula1>$AF$125:$AF$129</formula1>
    </dataValidation>
  </dataValidations>
  <pageMargins left="0.7" right="0.7" top="0.75" bottom="0.75" header="0.3" footer="0.3"/>
  <pageSetup scale="50" orientation="landscape" r:id="rId1"/>
  <ignoredErrors>
    <ignoredError sqref="C13:N13 C9:N9 T72" unlockedFormula="1"/>
    <ignoredError sqref="D49:N49 F14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S81"/>
  <sheetViews>
    <sheetView showGridLines="0" zoomScale="80" zoomScaleNormal="80" workbookViewId="0"/>
  </sheetViews>
  <sheetFormatPr baseColWidth="10" defaultColWidth="9.1640625" defaultRowHeight="13" outlineLevelRow="1"/>
  <cols>
    <col min="1" max="1" width="9.1640625" style="108"/>
    <col min="2" max="2" width="44.5" style="108" bestFit="1" customWidth="1"/>
    <col min="3" max="14" width="9.1640625" style="108"/>
    <col min="15" max="15" width="13.33203125" style="108" customWidth="1"/>
    <col min="16" max="16" width="4" style="108" customWidth="1"/>
    <col min="17" max="17" width="49.1640625" style="108" customWidth="1"/>
    <col min="18" max="16384" width="9.1640625" style="108"/>
  </cols>
  <sheetData>
    <row r="1" spans="1:19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Non-Operating Expenses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</row>
    <row r="4" spans="1:19" s="697" customFormat="1">
      <c r="A4" s="690" t="s">
        <v>206</v>
      </c>
      <c r="B4" s="691" t="s">
        <v>209</v>
      </c>
      <c r="C4" s="692">
        <f>'Operating Budget'!F4</f>
        <v>45901</v>
      </c>
      <c r="D4" s="692">
        <f>'Operating Budget'!G4</f>
        <v>45961</v>
      </c>
      <c r="E4" s="692">
        <f>'Operating Budget'!H4</f>
        <v>45991</v>
      </c>
      <c r="F4" s="692">
        <f>'Operating Budget'!I4</f>
        <v>46022</v>
      </c>
      <c r="G4" s="692">
        <f>'Operating Budget'!J4</f>
        <v>46053</v>
      </c>
      <c r="H4" s="692">
        <f>'Operating Budget'!K4</f>
        <v>46081</v>
      </c>
      <c r="I4" s="692">
        <f>'Operating Budget'!L4</f>
        <v>46112</v>
      </c>
      <c r="J4" s="692">
        <f>'Operating Budget'!M4</f>
        <v>46142</v>
      </c>
      <c r="K4" s="692">
        <f>'Operating Budget'!N4</f>
        <v>46173</v>
      </c>
      <c r="L4" s="692">
        <f>'Operating Budget'!O4</f>
        <v>46203</v>
      </c>
      <c r="M4" s="692">
        <f>'Operating Budget'!P4</f>
        <v>46234</v>
      </c>
      <c r="N4" s="692">
        <f>'Operating Budget'!Q4</f>
        <v>46265</v>
      </c>
      <c r="O4" s="693" t="str">
        <f>'Operating Budget'!R4</f>
        <v>Year 1 Total</v>
      </c>
      <c r="P4" s="752"/>
      <c r="Q4" s="695" t="s">
        <v>23</v>
      </c>
      <c r="R4" s="753"/>
      <c r="S4" s="753"/>
    </row>
    <row r="5" spans="1:19" ht="4.5" customHeight="1">
      <c r="A5" s="2"/>
      <c r="B5" s="483"/>
      <c r="C5" s="754"/>
      <c r="D5" s="754"/>
      <c r="E5" s="754"/>
      <c r="F5" s="754"/>
      <c r="G5" s="754"/>
      <c r="H5" s="754"/>
      <c r="I5" s="754"/>
      <c r="J5" s="754"/>
      <c r="K5" s="754"/>
      <c r="L5" s="754"/>
      <c r="M5" s="754"/>
      <c r="N5" s="754"/>
      <c r="O5" s="755"/>
      <c r="P5" s="756"/>
      <c r="Q5" s="757"/>
    </row>
    <row r="6" spans="1:19" outlineLevel="1">
      <c r="A6" s="319">
        <f>INDEX(QS_Chart_Of_Accounts_Upload!$C:$O,MATCH(B6,QS_Chart_Of_Accounts_Upload!$E:$E,0),MATCH("ACCT_NO",QS_Chart_Of_Accounts_Upload!$C$1:$O$1,0))</f>
        <v>7910</v>
      </c>
      <c r="B6" s="108" t="s">
        <v>396</v>
      </c>
      <c r="C6" s="758">
        <v>0</v>
      </c>
      <c r="D6" s="758">
        <v>0</v>
      </c>
      <c r="E6" s="758">
        <v>0</v>
      </c>
      <c r="F6" s="758">
        <v>0</v>
      </c>
      <c r="G6" s="758">
        <v>0</v>
      </c>
      <c r="H6" s="758">
        <v>0</v>
      </c>
      <c r="I6" s="758">
        <v>0</v>
      </c>
      <c r="J6" s="758">
        <v>0</v>
      </c>
      <c r="K6" s="758">
        <v>0</v>
      </c>
      <c r="L6" s="758">
        <v>0</v>
      </c>
      <c r="M6" s="758">
        <v>0</v>
      </c>
      <c r="N6" s="758">
        <v>0</v>
      </c>
      <c r="O6" s="664">
        <f t="shared" ref="O6:O35" si="0">+SUBTOTAL(9,C6:N6)</f>
        <v>0</v>
      </c>
      <c r="P6" s="759"/>
      <c r="Q6" s="668"/>
    </row>
    <row r="7" spans="1:19" outlineLevel="1">
      <c r="A7" s="319">
        <f>INDEX(QS_Chart_Of_Accounts_Upload!$C:$O,MATCH(B7,QS_Chart_Of_Accounts_Upload!$E:$E,0),MATCH("ACCT_NO",QS_Chart_Of_Accounts_Upload!$C$1:$O$1,0))</f>
        <v>8080</v>
      </c>
      <c r="B7" s="108" t="s">
        <v>402</v>
      </c>
      <c r="C7" s="758">
        <v>0</v>
      </c>
      <c r="D7" s="758">
        <v>0</v>
      </c>
      <c r="E7" s="758">
        <v>0</v>
      </c>
      <c r="F7" s="758">
        <v>0</v>
      </c>
      <c r="G7" s="758">
        <v>0</v>
      </c>
      <c r="H7" s="758">
        <v>0</v>
      </c>
      <c r="I7" s="758">
        <v>0</v>
      </c>
      <c r="J7" s="758">
        <v>0</v>
      </c>
      <c r="K7" s="758">
        <v>0</v>
      </c>
      <c r="L7" s="758">
        <v>0</v>
      </c>
      <c r="M7" s="758">
        <v>0</v>
      </c>
      <c r="N7" s="758">
        <v>0</v>
      </c>
      <c r="O7" s="664">
        <f t="shared" si="0"/>
        <v>0</v>
      </c>
      <c r="P7" s="759"/>
      <c r="Q7" s="668"/>
    </row>
    <row r="8" spans="1:19" outlineLevel="1">
      <c r="A8" s="319">
        <f>INDEX(QS_Chart_Of_Accounts_Upload!$C:$O,MATCH(B8,QS_Chart_Of_Accounts_Upload!$E:$E,0),MATCH("ACCT_NO",QS_Chart_Of_Accounts_Upload!$C$1:$O$1,0))</f>
        <v>8080.1</v>
      </c>
      <c r="B8" s="108" t="s">
        <v>493</v>
      </c>
      <c r="C8" s="758">
        <v>0</v>
      </c>
      <c r="D8" s="758">
        <v>0</v>
      </c>
      <c r="E8" s="758">
        <v>0</v>
      </c>
      <c r="F8" s="758">
        <v>0</v>
      </c>
      <c r="G8" s="758">
        <v>0</v>
      </c>
      <c r="H8" s="758">
        <v>0</v>
      </c>
      <c r="I8" s="758">
        <v>0</v>
      </c>
      <c r="J8" s="758">
        <v>0</v>
      </c>
      <c r="K8" s="758">
        <v>0</v>
      </c>
      <c r="L8" s="758">
        <v>0</v>
      </c>
      <c r="M8" s="758">
        <v>0</v>
      </c>
      <c r="N8" s="758">
        <v>0</v>
      </c>
      <c r="O8" s="664">
        <f t="shared" si="0"/>
        <v>0</v>
      </c>
      <c r="P8" s="759"/>
      <c r="Q8" s="668"/>
    </row>
    <row r="9" spans="1:19" outlineLevel="1">
      <c r="A9" s="319">
        <f>INDEX(QS_Chart_Of_Accounts_Upload!$C:$O,MATCH(B9,QS_Chart_Of_Accounts_Upload!$E:$E,0),MATCH("ACCT_NO",QS_Chart_Of_Accounts_Upload!$C$1:$O$1,0))</f>
        <v>8081</v>
      </c>
      <c r="B9" s="108" t="s">
        <v>403</v>
      </c>
      <c r="C9" s="758">
        <v>0</v>
      </c>
      <c r="D9" s="758">
        <v>0</v>
      </c>
      <c r="E9" s="758">
        <v>0</v>
      </c>
      <c r="F9" s="758">
        <v>0</v>
      </c>
      <c r="G9" s="758">
        <v>0</v>
      </c>
      <c r="H9" s="758">
        <v>0</v>
      </c>
      <c r="I9" s="758">
        <v>0</v>
      </c>
      <c r="J9" s="758">
        <v>0</v>
      </c>
      <c r="K9" s="758">
        <v>0</v>
      </c>
      <c r="L9" s="758">
        <v>0</v>
      </c>
      <c r="M9" s="758">
        <v>0</v>
      </c>
      <c r="N9" s="758">
        <v>0</v>
      </c>
      <c r="O9" s="664">
        <f t="shared" si="0"/>
        <v>0</v>
      </c>
      <c r="P9" s="759"/>
      <c r="Q9" s="668"/>
    </row>
    <row r="10" spans="1:19" outlineLevel="1">
      <c r="A10" s="319">
        <f>INDEX(QS_Chart_Of_Accounts_Upload!$C:$O,MATCH(B10,QS_Chart_Of_Accounts_Upload!$E:$E,0),MATCH("ACCT_NO",QS_Chart_Of_Accounts_Upload!$C$1:$O$1,0))</f>
        <v>8085</v>
      </c>
      <c r="B10" s="108" t="s">
        <v>404</v>
      </c>
      <c r="C10" s="758">
        <v>0</v>
      </c>
      <c r="D10" s="758">
        <v>0</v>
      </c>
      <c r="E10" s="758">
        <v>0</v>
      </c>
      <c r="F10" s="758">
        <v>0</v>
      </c>
      <c r="G10" s="758">
        <v>0</v>
      </c>
      <c r="H10" s="758">
        <v>0</v>
      </c>
      <c r="I10" s="758">
        <v>0</v>
      </c>
      <c r="J10" s="758">
        <v>0</v>
      </c>
      <c r="K10" s="758">
        <v>0</v>
      </c>
      <c r="L10" s="758">
        <v>0</v>
      </c>
      <c r="M10" s="758">
        <v>0</v>
      </c>
      <c r="N10" s="758">
        <v>0</v>
      </c>
      <c r="O10" s="664">
        <f t="shared" si="0"/>
        <v>0</v>
      </c>
      <c r="P10" s="759"/>
      <c r="Q10" s="668"/>
    </row>
    <row r="11" spans="1:19" outlineLevel="1">
      <c r="A11" s="319">
        <f>INDEX(QS_Chart_Of_Accounts_Upload!$C:$O,MATCH(B11,QS_Chart_Of_Accounts_Upload!$E:$E,0),MATCH("ACCT_NO",QS_Chart_Of_Accounts_Upload!$C$1:$O$1,0))</f>
        <v>8090</v>
      </c>
      <c r="B11" s="108" t="s">
        <v>762</v>
      </c>
      <c r="C11" s="758">
        <v>0</v>
      </c>
      <c r="D11" s="758">
        <v>0</v>
      </c>
      <c r="E11" s="758">
        <v>0</v>
      </c>
      <c r="F11" s="758">
        <v>0</v>
      </c>
      <c r="G11" s="758">
        <v>0</v>
      </c>
      <c r="H11" s="758">
        <v>0</v>
      </c>
      <c r="I11" s="758">
        <v>0</v>
      </c>
      <c r="J11" s="758">
        <v>0</v>
      </c>
      <c r="K11" s="758">
        <v>0</v>
      </c>
      <c r="L11" s="758">
        <v>0</v>
      </c>
      <c r="M11" s="758">
        <v>0</v>
      </c>
      <c r="N11" s="758">
        <v>0</v>
      </c>
      <c r="O11" s="664">
        <f t="shared" si="0"/>
        <v>0</v>
      </c>
      <c r="P11" s="759"/>
      <c r="Q11" s="668"/>
    </row>
    <row r="12" spans="1:19" outlineLevel="1">
      <c r="A12" s="319">
        <f>INDEX(QS_Chart_Of_Accounts_Upload!$C:$O,MATCH(B12,QS_Chart_Of_Accounts_Upload!$E:$E,0),MATCH("ACCT_NO",QS_Chart_Of_Accounts_Upload!$C$1:$O$1,0))</f>
        <v>8090.1</v>
      </c>
      <c r="B12" s="108" t="s">
        <v>496</v>
      </c>
      <c r="C12" s="758">
        <v>0</v>
      </c>
      <c r="D12" s="758">
        <v>0</v>
      </c>
      <c r="E12" s="758">
        <v>0</v>
      </c>
      <c r="F12" s="758">
        <v>0</v>
      </c>
      <c r="G12" s="758">
        <v>0</v>
      </c>
      <c r="H12" s="758">
        <v>0</v>
      </c>
      <c r="I12" s="758">
        <v>0</v>
      </c>
      <c r="J12" s="758">
        <v>0</v>
      </c>
      <c r="K12" s="758">
        <v>0</v>
      </c>
      <c r="L12" s="758">
        <v>0</v>
      </c>
      <c r="M12" s="758">
        <v>0</v>
      </c>
      <c r="N12" s="758">
        <v>0</v>
      </c>
      <c r="O12" s="664">
        <f t="shared" si="0"/>
        <v>0</v>
      </c>
      <c r="P12" s="759"/>
      <c r="Q12" s="668"/>
    </row>
    <row r="13" spans="1:19" outlineLevel="1">
      <c r="A13" s="319">
        <f>INDEX(QS_Chart_Of_Accounts_Upload!$C:$O,MATCH(B13,QS_Chart_Of_Accounts_Upload!$E:$E,0),MATCH("ACCT_NO",QS_Chart_Of_Accounts_Upload!$C$1:$O$1,0))</f>
        <v>8091</v>
      </c>
      <c r="B13" s="108" t="s">
        <v>763</v>
      </c>
      <c r="C13" s="758">
        <v>0</v>
      </c>
      <c r="D13" s="758">
        <v>0</v>
      </c>
      <c r="E13" s="758">
        <v>0</v>
      </c>
      <c r="F13" s="758">
        <v>0</v>
      </c>
      <c r="G13" s="758">
        <v>0</v>
      </c>
      <c r="H13" s="758">
        <v>0</v>
      </c>
      <c r="I13" s="758">
        <v>0</v>
      </c>
      <c r="J13" s="758">
        <v>0</v>
      </c>
      <c r="K13" s="758">
        <v>0</v>
      </c>
      <c r="L13" s="758">
        <v>0</v>
      </c>
      <c r="M13" s="758">
        <v>0</v>
      </c>
      <c r="N13" s="758">
        <v>0</v>
      </c>
      <c r="O13" s="664">
        <f t="shared" si="0"/>
        <v>0</v>
      </c>
      <c r="P13" s="759"/>
      <c r="Q13" s="668"/>
    </row>
    <row r="14" spans="1:19" outlineLevel="1">
      <c r="A14" s="319">
        <f>INDEX(QS_Chart_Of_Accounts_Upload!$C:$O,MATCH(B14,QS_Chart_Of_Accounts_Upload!$E:$E,0),MATCH("ACCT_NO",QS_Chart_Of_Accounts_Upload!$C$1:$O$1,0))</f>
        <v>9001</v>
      </c>
      <c r="B14" s="108" t="s">
        <v>418</v>
      </c>
      <c r="C14" s="758">
        <v>0</v>
      </c>
      <c r="D14" s="758">
        <v>0</v>
      </c>
      <c r="E14" s="758">
        <v>0</v>
      </c>
      <c r="F14" s="758">
        <v>0</v>
      </c>
      <c r="G14" s="758">
        <v>0</v>
      </c>
      <c r="H14" s="758">
        <v>0</v>
      </c>
      <c r="I14" s="758">
        <v>0</v>
      </c>
      <c r="J14" s="758">
        <v>0</v>
      </c>
      <c r="K14" s="758">
        <v>0</v>
      </c>
      <c r="L14" s="758">
        <v>0</v>
      </c>
      <c r="M14" s="758">
        <v>0</v>
      </c>
      <c r="N14" s="758">
        <v>0</v>
      </c>
      <c r="O14" s="664">
        <f t="shared" si="0"/>
        <v>0</v>
      </c>
      <c r="P14" s="759"/>
      <c r="Q14" s="668"/>
    </row>
    <row r="15" spans="1:19" outlineLevel="1">
      <c r="A15" s="319">
        <f>INDEX(QS_Chart_Of_Accounts_Upload!$C:$O,MATCH(B15,QS_Chart_Of_Accounts_Upload!$E:$E,0),MATCH("ACCT_NO",QS_Chart_Of_Accounts_Upload!$C$1:$O$1,0))</f>
        <v>9002</v>
      </c>
      <c r="B15" s="108" t="s">
        <v>419</v>
      </c>
      <c r="C15" s="758">
        <v>0</v>
      </c>
      <c r="D15" s="758">
        <v>0</v>
      </c>
      <c r="E15" s="758">
        <v>0</v>
      </c>
      <c r="F15" s="758">
        <v>0</v>
      </c>
      <c r="G15" s="758">
        <v>0</v>
      </c>
      <c r="H15" s="758">
        <v>0</v>
      </c>
      <c r="I15" s="758">
        <v>0</v>
      </c>
      <c r="J15" s="758">
        <v>0</v>
      </c>
      <c r="K15" s="758">
        <v>0</v>
      </c>
      <c r="L15" s="758">
        <v>0</v>
      </c>
      <c r="M15" s="758">
        <v>0</v>
      </c>
      <c r="N15" s="758">
        <v>0</v>
      </c>
      <c r="O15" s="664">
        <f t="shared" si="0"/>
        <v>0</v>
      </c>
      <c r="P15" s="759"/>
      <c r="Q15" s="668"/>
    </row>
    <row r="16" spans="1:19" outlineLevel="1">
      <c r="A16" s="319">
        <f>INDEX(QS_Chart_Of_Accounts_Upload!$C:$O,MATCH(B16,QS_Chart_Of_Accounts_Upload!$E:$E,0),MATCH("ACCT_NO",QS_Chart_Of_Accounts_Upload!$C$1:$O$1,0))</f>
        <v>9003</v>
      </c>
      <c r="B16" s="108" t="s">
        <v>420</v>
      </c>
      <c r="C16" s="758">
        <v>0</v>
      </c>
      <c r="D16" s="758">
        <v>0</v>
      </c>
      <c r="E16" s="758">
        <v>0</v>
      </c>
      <c r="F16" s="758">
        <v>0</v>
      </c>
      <c r="G16" s="758">
        <v>0</v>
      </c>
      <c r="H16" s="758">
        <v>0</v>
      </c>
      <c r="I16" s="758">
        <v>0</v>
      </c>
      <c r="J16" s="758">
        <v>0</v>
      </c>
      <c r="K16" s="758">
        <v>0</v>
      </c>
      <c r="L16" s="758">
        <v>0</v>
      </c>
      <c r="M16" s="758">
        <v>0</v>
      </c>
      <c r="N16" s="758">
        <v>0</v>
      </c>
      <c r="O16" s="664">
        <f t="shared" si="0"/>
        <v>0</v>
      </c>
      <c r="P16" s="759"/>
      <c r="Q16" s="668"/>
    </row>
    <row r="17" spans="1:17" outlineLevel="1">
      <c r="A17" s="319">
        <f>INDEX(QS_Chart_Of_Accounts_Upload!$C:$O,MATCH(B17,QS_Chart_Of_Accounts_Upload!$E:$E,0),MATCH("ACCT_NO",QS_Chart_Of_Accounts_Upload!$C$1:$O$1,0))</f>
        <v>9004</v>
      </c>
      <c r="B17" s="108" t="s">
        <v>421</v>
      </c>
      <c r="C17" s="758">
        <v>0</v>
      </c>
      <c r="D17" s="758">
        <v>0</v>
      </c>
      <c r="E17" s="758">
        <v>0</v>
      </c>
      <c r="F17" s="758">
        <v>0</v>
      </c>
      <c r="G17" s="758">
        <v>0</v>
      </c>
      <c r="H17" s="758">
        <v>0</v>
      </c>
      <c r="I17" s="758">
        <v>0</v>
      </c>
      <c r="J17" s="758">
        <v>0</v>
      </c>
      <c r="K17" s="758">
        <v>0</v>
      </c>
      <c r="L17" s="758">
        <v>0</v>
      </c>
      <c r="M17" s="758">
        <v>0</v>
      </c>
      <c r="N17" s="758">
        <v>0</v>
      </c>
      <c r="O17" s="664">
        <f t="shared" si="0"/>
        <v>0</v>
      </c>
      <c r="P17" s="759"/>
      <c r="Q17" s="668"/>
    </row>
    <row r="18" spans="1:17" outlineLevel="1">
      <c r="A18" s="319">
        <f>INDEX(QS_Chart_Of_Accounts_Upload!$C:$O,MATCH(B18,QS_Chart_Of_Accounts_Upload!$E:$E,0),MATCH("ACCT_NO",QS_Chart_Of_Accounts_Upload!$C$1:$O$1,0))</f>
        <v>9005</v>
      </c>
      <c r="B18" s="108" t="s">
        <v>422</v>
      </c>
      <c r="C18" s="758">
        <v>0</v>
      </c>
      <c r="D18" s="758">
        <v>0</v>
      </c>
      <c r="E18" s="758">
        <v>0</v>
      </c>
      <c r="F18" s="758">
        <v>0</v>
      </c>
      <c r="G18" s="758">
        <v>0</v>
      </c>
      <c r="H18" s="758">
        <v>0</v>
      </c>
      <c r="I18" s="758">
        <v>0</v>
      </c>
      <c r="J18" s="758">
        <v>0</v>
      </c>
      <c r="K18" s="758">
        <v>0</v>
      </c>
      <c r="L18" s="758">
        <v>0</v>
      </c>
      <c r="M18" s="758">
        <v>0</v>
      </c>
      <c r="N18" s="758">
        <v>0</v>
      </c>
      <c r="O18" s="664">
        <f t="shared" si="0"/>
        <v>0</v>
      </c>
      <c r="P18" s="759"/>
      <c r="Q18" s="668"/>
    </row>
    <row r="19" spans="1:17" outlineLevel="1">
      <c r="A19" s="319">
        <f>INDEX(QS_Chart_Of_Accounts_Upload!$C:$O,MATCH(B19,QS_Chart_Of_Accounts_Upload!$E:$E,0),MATCH("ACCT_NO",QS_Chart_Of_Accounts_Upload!$C$1:$O$1,0))</f>
        <v>8084</v>
      </c>
      <c r="B19" s="108" t="s">
        <v>761</v>
      </c>
      <c r="C19" s="758">
        <v>0</v>
      </c>
      <c r="D19" s="758">
        <v>0</v>
      </c>
      <c r="E19" s="758">
        <v>0</v>
      </c>
      <c r="F19" s="758">
        <v>0</v>
      </c>
      <c r="G19" s="758">
        <v>0</v>
      </c>
      <c r="H19" s="758">
        <v>0</v>
      </c>
      <c r="I19" s="758">
        <v>0</v>
      </c>
      <c r="J19" s="758">
        <v>0</v>
      </c>
      <c r="K19" s="758">
        <v>0</v>
      </c>
      <c r="L19" s="758">
        <v>0</v>
      </c>
      <c r="M19" s="758">
        <v>0</v>
      </c>
      <c r="N19" s="758">
        <v>0</v>
      </c>
      <c r="O19" s="664">
        <f t="shared" si="0"/>
        <v>0</v>
      </c>
      <c r="P19" s="759"/>
      <c r="Q19" s="668"/>
    </row>
    <row r="20" spans="1:17" outlineLevel="1">
      <c r="A20" s="319">
        <f>INDEX(QS_Chart_Of_Accounts_Upload!$C:$O,MATCH(B20,QS_Chart_Of_Accounts_Upload!$E:$E,0),MATCH("ACCT_NO",QS_Chart_Of_Accounts_Upload!$C$1:$O$1,0))</f>
        <v>9020</v>
      </c>
      <c r="B20" s="108" t="s">
        <v>423</v>
      </c>
      <c r="C20" s="758">
        <v>0</v>
      </c>
      <c r="D20" s="758">
        <v>0</v>
      </c>
      <c r="E20" s="758">
        <v>0</v>
      </c>
      <c r="F20" s="758">
        <v>0</v>
      </c>
      <c r="G20" s="758">
        <v>0</v>
      </c>
      <c r="H20" s="758">
        <v>0</v>
      </c>
      <c r="I20" s="758">
        <v>0</v>
      </c>
      <c r="J20" s="758">
        <v>0</v>
      </c>
      <c r="K20" s="758">
        <v>0</v>
      </c>
      <c r="L20" s="758">
        <v>0</v>
      </c>
      <c r="M20" s="758">
        <v>0</v>
      </c>
      <c r="N20" s="758">
        <v>0</v>
      </c>
      <c r="O20" s="664">
        <f t="shared" si="0"/>
        <v>0</v>
      </c>
      <c r="P20" s="759"/>
      <c r="Q20" s="668"/>
    </row>
    <row r="21" spans="1:17" outlineLevel="1">
      <c r="A21" s="319">
        <f>INDEX(QS_Chart_Of_Accounts_Upload!$C:$O,MATCH(B21,QS_Chart_Of_Accounts_Upload!$E:$E,0),MATCH("ACCT_NO",QS_Chart_Of_Accounts_Upload!$C$1:$O$1,0))</f>
        <v>9030</v>
      </c>
      <c r="B21" s="108" t="s">
        <v>424</v>
      </c>
      <c r="C21" s="758">
        <v>0</v>
      </c>
      <c r="D21" s="758">
        <v>0</v>
      </c>
      <c r="E21" s="758">
        <v>0</v>
      </c>
      <c r="F21" s="758">
        <v>0</v>
      </c>
      <c r="G21" s="758">
        <v>0</v>
      </c>
      <c r="H21" s="758">
        <v>0</v>
      </c>
      <c r="I21" s="758">
        <v>0</v>
      </c>
      <c r="J21" s="758">
        <v>0</v>
      </c>
      <c r="K21" s="758">
        <v>0</v>
      </c>
      <c r="L21" s="758">
        <v>0</v>
      </c>
      <c r="M21" s="758">
        <v>0</v>
      </c>
      <c r="N21" s="758">
        <v>0</v>
      </c>
      <c r="O21" s="664">
        <f t="shared" si="0"/>
        <v>0</v>
      </c>
      <c r="P21" s="759"/>
      <c r="Q21" s="668"/>
    </row>
    <row r="22" spans="1:17" outlineLevel="1">
      <c r="A22" s="319">
        <f>INDEX(QS_Chart_Of_Accounts_Upload!$C:$O,MATCH(B22,QS_Chart_Of_Accounts_Upload!$E:$E,0),MATCH("ACCT_NO",QS_Chart_Of_Accounts_Upload!$C$1:$O$1,0))</f>
        <v>9031</v>
      </c>
      <c r="B22" s="108" t="s">
        <v>426</v>
      </c>
      <c r="C22" s="758">
        <v>0</v>
      </c>
      <c r="D22" s="758">
        <v>0</v>
      </c>
      <c r="E22" s="758">
        <v>0</v>
      </c>
      <c r="F22" s="758">
        <v>0</v>
      </c>
      <c r="G22" s="758">
        <v>0</v>
      </c>
      <c r="H22" s="758">
        <v>0</v>
      </c>
      <c r="I22" s="758">
        <v>0</v>
      </c>
      <c r="J22" s="758">
        <v>0</v>
      </c>
      <c r="K22" s="758">
        <v>0</v>
      </c>
      <c r="L22" s="758">
        <v>0</v>
      </c>
      <c r="M22" s="758">
        <v>0</v>
      </c>
      <c r="N22" s="758">
        <v>0</v>
      </c>
      <c r="O22" s="664">
        <f t="shared" si="0"/>
        <v>0</v>
      </c>
      <c r="P22" s="759"/>
      <c r="Q22" s="668"/>
    </row>
    <row r="23" spans="1:17" outlineLevel="1">
      <c r="A23" s="319">
        <f>INDEX(QS_Chart_Of_Accounts_Upload!$C:$O,MATCH(B23,QS_Chart_Of_Accounts_Upload!$E:$E,0),MATCH("ACCT_NO",QS_Chart_Of_Accounts_Upload!$C$1:$O$1,0))</f>
        <v>9032</v>
      </c>
      <c r="B23" s="108" t="s">
        <v>427</v>
      </c>
      <c r="C23" s="758">
        <v>0</v>
      </c>
      <c r="D23" s="758">
        <v>0</v>
      </c>
      <c r="E23" s="758">
        <v>0</v>
      </c>
      <c r="F23" s="758">
        <v>0</v>
      </c>
      <c r="G23" s="758">
        <v>0</v>
      </c>
      <c r="H23" s="758">
        <v>0</v>
      </c>
      <c r="I23" s="758">
        <v>0</v>
      </c>
      <c r="J23" s="758">
        <v>0</v>
      </c>
      <c r="K23" s="758">
        <v>0</v>
      </c>
      <c r="L23" s="758">
        <v>0</v>
      </c>
      <c r="M23" s="758">
        <v>0</v>
      </c>
      <c r="N23" s="758">
        <v>0</v>
      </c>
      <c r="O23" s="664">
        <f t="shared" si="0"/>
        <v>0</v>
      </c>
      <c r="P23" s="759"/>
      <c r="Q23" s="668"/>
    </row>
    <row r="24" spans="1:17" outlineLevel="1">
      <c r="A24" s="319">
        <f>INDEX(QS_Chart_Of_Accounts_Upload!$C:$O,MATCH(B24,QS_Chart_Of_Accounts_Upload!$E:$E,0),MATCH("ACCT_NO",QS_Chart_Of_Accounts_Upload!$C$1:$O$1,0))</f>
        <v>9033</v>
      </c>
      <c r="B24" s="108" t="s">
        <v>428</v>
      </c>
      <c r="C24" s="758">
        <v>0</v>
      </c>
      <c r="D24" s="758">
        <v>0</v>
      </c>
      <c r="E24" s="758">
        <v>0</v>
      </c>
      <c r="F24" s="758">
        <v>0</v>
      </c>
      <c r="G24" s="758">
        <v>0</v>
      </c>
      <c r="H24" s="758">
        <v>0</v>
      </c>
      <c r="I24" s="758">
        <v>0</v>
      </c>
      <c r="J24" s="758">
        <v>0</v>
      </c>
      <c r="K24" s="758">
        <v>0</v>
      </c>
      <c r="L24" s="758">
        <v>0</v>
      </c>
      <c r="M24" s="758">
        <v>0</v>
      </c>
      <c r="N24" s="758">
        <v>0</v>
      </c>
      <c r="O24" s="664">
        <f t="shared" si="0"/>
        <v>0</v>
      </c>
      <c r="P24" s="759"/>
      <c r="Q24" s="668"/>
    </row>
    <row r="25" spans="1:17" outlineLevel="1">
      <c r="A25" s="319">
        <f>INDEX(QS_Chart_Of_Accounts_Upload!$C:$O,MATCH(B25,QS_Chart_Of_Accounts_Upload!$E:$E,0),MATCH("ACCT_NO",QS_Chart_Of_Accounts_Upload!$C$1:$O$1,0))</f>
        <v>9034</v>
      </c>
      <c r="B25" s="108" t="s">
        <v>1126</v>
      </c>
      <c r="C25" s="758">
        <v>0</v>
      </c>
      <c r="D25" s="758">
        <v>0</v>
      </c>
      <c r="E25" s="758">
        <v>0</v>
      </c>
      <c r="F25" s="758">
        <v>0</v>
      </c>
      <c r="G25" s="758">
        <v>0</v>
      </c>
      <c r="H25" s="758">
        <v>0</v>
      </c>
      <c r="I25" s="758">
        <v>0</v>
      </c>
      <c r="J25" s="758">
        <v>0</v>
      </c>
      <c r="K25" s="758">
        <v>0</v>
      </c>
      <c r="L25" s="758">
        <v>0</v>
      </c>
      <c r="M25" s="758">
        <v>0</v>
      </c>
      <c r="N25" s="758">
        <v>0</v>
      </c>
      <c r="O25" s="664">
        <f t="shared" si="0"/>
        <v>0</v>
      </c>
      <c r="P25" s="759"/>
      <c r="Q25" s="668"/>
    </row>
    <row r="26" spans="1:17" outlineLevel="1">
      <c r="A26" s="319">
        <f>INDEX(QS_Chart_Of_Accounts_Upload!$C:$O,MATCH(B26,QS_Chart_Of_Accounts_Upload!$E:$E,0),MATCH("ACCT_NO",QS_Chart_Of_Accounts_Upload!$C$1:$O$1,0))</f>
        <v>9041</v>
      </c>
      <c r="B26" s="108" t="s">
        <v>429</v>
      </c>
      <c r="C26" s="758">
        <v>0</v>
      </c>
      <c r="D26" s="758">
        <v>0</v>
      </c>
      <c r="E26" s="758">
        <v>0</v>
      </c>
      <c r="F26" s="758">
        <v>0</v>
      </c>
      <c r="G26" s="758">
        <v>0</v>
      </c>
      <c r="H26" s="758">
        <v>0</v>
      </c>
      <c r="I26" s="758">
        <v>0</v>
      </c>
      <c r="J26" s="758">
        <v>0</v>
      </c>
      <c r="K26" s="758">
        <v>0</v>
      </c>
      <c r="L26" s="758">
        <v>0</v>
      </c>
      <c r="M26" s="758">
        <v>0</v>
      </c>
      <c r="N26" s="758">
        <v>0</v>
      </c>
      <c r="O26" s="664">
        <f t="shared" si="0"/>
        <v>0</v>
      </c>
      <c r="P26" s="759"/>
      <c r="Q26" s="668"/>
    </row>
    <row r="27" spans="1:17" outlineLevel="1">
      <c r="A27" s="319">
        <f>INDEX(QS_Chart_Of_Accounts_Upload!$C:$O,MATCH(B27,QS_Chart_Of_Accounts_Upload!$E:$E,0),MATCH("ACCT_NO",QS_Chart_Of_Accounts_Upload!$C$1:$O$1,0))</f>
        <v>9042</v>
      </c>
      <c r="B27" s="108" t="s">
        <v>430</v>
      </c>
      <c r="C27" s="758">
        <v>0</v>
      </c>
      <c r="D27" s="758">
        <v>0</v>
      </c>
      <c r="E27" s="758">
        <v>0</v>
      </c>
      <c r="F27" s="758">
        <v>0</v>
      </c>
      <c r="G27" s="758">
        <v>0</v>
      </c>
      <c r="H27" s="758">
        <v>0</v>
      </c>
      <c r="I27" s="758">
        <v>0</v>
      </c>
      <c r="J27" s="758">
        <v>0</v>
      </c>
      <c r="K27" s="758">
        <v>0</v>
      </c>
      <c r="L27" s="758">
        <v>0</v>
      </c>
      <c r="M27" s="758">
        <v>0</v>
      </c>
      <c r="N27" s="758">
        <v>0</v>
      </c>
      <c r="O27" s="664">
        <f t="shared" si="0"/>
        <v>0</v>
      </c>
      <c r="P27" s="759"/>
      <c r="Q27" s="668"/>
    </row>
    <row r="28" spans="1:17" outlineLevel="1">
      <c r="A28" s="319">
        <f>INDEX(QS_Chart_Of_Accounts_Upload!$C:$O,MATCH(B28,QS_Chart_Of_Accounts_Upload!$E:$E,0),MATCH("ACCT_NO",QS_Chart_Of_Accounts_Upload!$C$1:$O$1,0))</f>
        <v>8510</v>
      </c>
      <c r="B28" s="108" t="s">
        <v>409</v>
      </c>
      <c r="C28" s="758">
        <v>0</v>
      </c>
      <c r="D28" s="758">
        <v>0</v>
      </c>
      <c r="E28" s="758">
        <v>0</v>
      </c>
      <c r="F28" s="758">
        <v>0</v>
      </c>
      <c r="G28" s="758">
        <v>0</v>
      </c>
      <c r="H28" s="758">
        <v>0</v>
      </c>
      <c r="I28" s="758">
        <v>0</v>
      </c>
      <c r="J28" s="758">
        <v>0</v>
      </c>
      <c r="K28" s="758">
        <v>0</v>
      </c>
      <c r="L28" s="758">
        <v>0</v>
      </c>
      <c r="M28" s="758">
        <v>0</v>
      </c>
      <c r="N28" s="758">
        <v>0</v>
      </c>
      <c r="O28" s="664">
        <f t="shared" si="0"/>
        <v>0</v>
      </c>
      <c r="P28" s="759"/>
      <c r="Q28" s="668"/>
    </row>
    <row r="29" spans="1:17" outlineLevel="1">
      <c r="A29" s="319">
        <f>INDEX(QS_Chart_Of_Accounts_Upload!$C:$O,MATCH(B29,QS_Chart_Of_Accounts_Upload!$E:$E,0),MATCH("ACCT_NO",QS_Chart_Of_Accounts_Upload!$C$1:$O$1,0))</f>
        <v>8512</v>
      </c>
      <c r="B29" s="108" t="s">
        <v>411</v>
      </c>
      <c r="C29" s="758">
        <v>0</v>
      </c>
      <c r="D29" s="758">
        <v>0</v>
      </c>
      <c r="E29" s="758">
        <v>0</v>
      </c>
      <c r="F29" s="758">
        <v>0</v>
      </c>
      <c r="G29" s="758">
        <v>0</v>
      </c>
      <c r="H29" s="758">
        <v>0</v>
      </c>
      <c r="I29" s="758">
        <v>0</v>
      </c>
      <c r="J29" s="758">
        <v>0</v>
      </c>
      <c r="K29" s="758">
        <v>0</v>
      </c>
      <c r="L29" s="758">
        <v>0</v>
      </c>
      <c r="M29" s="758">
        <v>0</v>
      </c>
      <c r="N29" s="758">
        <v>0</v>
      </c>
      <c r="O29" s="664">
        <f t="shared" si="0"/>
        <v>0</v>
      </c>
      <c r="P29" s="759"/>
      <c r="Q29" s="668"/>
    </row>
    <row r="30" spans="1:17" outlineLevel="1">
      <c r="A30" s="319">
        <f>INDEX(QS_Chart_Of_Accounts_Upload!$C:$O,MATCH(B30,QS_Chart_Of_Accounts_Upload!$E:$E,0),MATCH("ACCT_NO",QS_Chart_Of_Accounts_Upload!$C$1:$O$1,0))</f>
        <v>8513</v>
      </c>
      <c r="B30" s="108" t="s">
        <v>412</v>
      </c>
      <c r="C30" s="758">
        <v>0</v>
      </c>
      <c r="D30" s="758">
        <v>0</v>
      </c>
      <c r="E30" s="758">
        <v>0</v>
      </c>
      <c r="F30" s="758">
        <v>0</v>
      </c>
      <c r="G30" s="758">
        <v>0</v>
      </c>
      <c r="H30" s="758">
        <v>0</v>
      </c>
      <c r="I30" s="758">
        <v>0</v>
      </c>
      <c r="J30" s="758">
        <v>0</v>
      </c>
      <c r="K30" s="758">
        <v>0</v>
      </c>
      <c r="L30" s="758">
        <v>0</v>
      </c>
      <c r="M30" s="758">
        <v>0</v>
      </c>
      <c r="N30" s="758">
        <v>0</v>
      </c>
      <c r="O30" s="664">
        <f t="shared" si="0"/>
        <v>0</v>
      </c>
      <c r="P30" s="759"/>
      <c r="Q30" s="668"/>
    </row>
    <row r="31" spans="1:17" outlineLevel="1">
      <c r="A31" s="319">
        <f>INDEX(QS_Chart_Of_Accounts_Upload!$C:$O,MATCH(B31,QS_Chart_Of_Accounts_Upload!$E:$E,0),MATCH("ACCT_NO",QS_Chart_Of_Accounts_Upload!$C$1:$O$1,0))</f>
        <v>8514</v>
      </c>
      <c r="B31" s="108" t="s">
        <v>413</v>
      </c>
      <c r="C31" s="758">
        <v>0</v>
      </c>
      <c r="D31" s="758">
        <v>0</v>
      </c>
      <c r="E31" s="758">
        <v>0</v>
      </c>
      <c r="F31" s="758">
        <v>0</v>
      </c>
      <c r="G31" s="758">
        <v>0</v>
      </c>
      <c r="H31" s="758">
        <v>0</v>
      </c>
      <c r="I31" s="758">
        <v>0</v>
      </c>
      <c r="J31" s="758">
        <v>0</v>
      </c>
      <c r="K31" s="758">
        <v>0</v>
      </c>
      <c r="L31" s="758">
        <v>0</v>
      </c>
      <c r="M31" s="758">
        <v>0</v>
      </c>
      <c r="N31" s="758">
        <v>0</v>
      </c>
      <c r="O31" s="664">
        <f t="shared" si="0"/>
        <v>0</v>
      </c>
      <c r="P31" s="759"/>
      <c r="Q31" s="668"/>
    </row>
    <row r="32" spans="1:17" outlineLevel="1">
      <c r="A32" s="319">
        <f>INDEX(QS_Chart_Of_Accounts_Upload!$C:$O,MATCH(B32,QS_Chart_Of_Accounts_Upload!$E:$E,0),MATCH("ACCT_NO",QS_Chart_Of_Accounts_Upload!$C$1:$O$1,0))</f>
        <v>8515</v>
      </c>
      <c r="B32" s="108" t="s">
        <v>414</v>
      </c>
      <c r="C32" s="758">
        <v>0</v>
      </c>
      <c r="D32" s="758">
        <v>0</v>
      </c>
      <c r="E32" s="758">
        <v>0</v>
      </c>
      <c r="F32" s="758">
        <v>0</v>
      </c>
      <c r="G32" s="758">
        <v>0</v>
      </c>
      <c r="H32" s="758">
        <v>0</v>
      </c>
      <c r="I32" s="758">
        <v>0</v>
      </c>
      <c r="J32" s="758">
        <v>0</v>
      </c>
      <c r="K32" s="758">
        <v>0</v>
      </c>
      <c r="L32" s="758">
        <v>0</v>
      </c>
      <c r="M32" s="758">
        <v>0</v>
      </c>
      <c r="N32" s="758">
        <v>0</v>
      </c>
      <c r="O32" s="664">
        <f t="shared" si="0"/>
        <v>0</v>
      </c>
      <c r="P32" s="759"/>
      <c r="Q32" s="668"/>
    </row>
    <row r="33" spans="1:19" outlineLevel="1">
      <c r="A33" s="319">
        <f>INDEX(QS_Chart_Of_Accounts_Upload!$C:$O,MATCH(B33,QS_Chart_Of_Accounts_Upload!$E:$E,0),MATCH("ACCT_NO",QS_Chart_Of_Accounts_Upload!$C$1:$O$1,0))</f>
        <v>8516</v>
      </c>
      <c r="B33" s="108" t="s">
        <v>415</v>
      </c>
      <c r="C33" s="758">
        <v>0</v>
      </c>
      <c r="D33" s="758">
        <v>0</v>
      </c>
      <c r="E33" s="758">
        <v>0</v>
      </c>
      <c r="F33" s="758">
        <v>0</v>
      </c>
      <c r="G33" s="758">
        <v>0</v>
      </c>
      <c r="H33" s="758">
        <v>0</v>
      </c>
      <c r="I33" s="758">
        <v>0</v>
      </c>
      <c r="J33" s="758">
        <v>0</v>
      </c>
      <c r="K33" s="758">
        <v>0</v>
      </c>
      <c r="L33" s="758">
        <v>0</v>
      </c>
      <c r="M33" s="758">
        <v>0</v>
      </c>
      <c r="N33" s="758">
        <v>0</v>
      </c>
      <c r="O33" s="664">
        <f t="shared" si="0"/>
        <v>0</v>
      </c>
      <c r="P33" s="759"/>
      <c r="Q33" s="668"/>
    </row>
    <row r="34" spans="1:19" outlineLevel="1">
      <c r="A34" s="319">
        <f>INDEX(QS_Chart_Of_Accounts_Upload!$C:$O,MATCH(B34,QS_Chart_Of_Accounts_Upload!$E:$E,0),MATCH("ACCT_NO",QS_Chart_Of_Accounts_Upload!$C$1:$O$1,0))</f>
        <v>8520</v>
      </c>
      <c r="B34" s="108" t="s">
        <v>416</v>
      </c>
      <c r="C34" s="758">
        <v>0</v>
      </c>
      <c r="D34" s="758">
        <v>0</v>
      </c>
      <c r="E34" s="758">
        <v>0</v>
      </c>
      <c r="F34" s="758">
        <v>0</v>
      </c>
      <c r="G34" s="758">
        <v>0</v>
      </c>
      <c r="H34" s="758">
        <v>0</v>
      </c>
      <c r="I34" s="758">
        <v>0</v>
      </c>
      <c r="J34" s="758">
        <v>0</v>
      </c>
      <c r="K34" s="758">
        <v>0</v>
      </c>
      <c r="L34" s="758">
        <v>0</v>
      </c>
      <c r="M34" s="758">
        <v>0</v>
      </c>
      <c r="N34" s="758">
        <v>0</v>
      </c>
      <c r="O34" s="664">
        <f t="shared" si="0"/>
        <v>0</v>
      </c>
      <c r="P34" s="759"/>
      <c r="Q34" s="668"/>
    </row>
    <row r="35" spans="1:19" outlineLevel="1">
      <c r="A35" s="319">
        <f>INDEX(QS_Chart_Of_Accounts_Upload!$C:$O,MATCH(B35,QS_Chart_Of_Accounts_Upload!$E:$E,0),MATCH("ACCT_NO",QS_Chart_Of_Accounts_Upload!$C$1:$O$1,0))</f>
        <v>8525</v>
      </c>
      <c r="B35" s="108" t="s">
        <v>417</v>
      </c>
      <c r="C35" s="758">
        <v>0</v>
      </c>
      <c r="D35" s="758">
        <v>0</v>
      </c>
      <c r="E35" s="758">
        <v>0</v>
      </c>
      <c r="F35" s="758">
        <v>0</v>
      </c>
      <c r="G35" s="758">
        <v>0</v>
      </c>
      <c r="H35" s="758">
        <v>0</v>
      </c>
      <c r="I35" s="758">
        <v>0</v>
      </c>
      <c r="J35" s="758">
        <v>0</v>
      </c>
      <c r="K35" s="758">
        <v>0</v>
      </c>
      <c r="L35" s="758">
        <v>0</v>
      </c>
      <c r="M35" s="758">
        <v>0</v>
      </c>
      <c r="N35" s="758">
        <v>0</v>
      </c>
      <c r="O35" s="664">
        <f t="shared" si="0"/>
        <v>0</v>
      </c>
      <c r="P35" s="759"/>
      <c r="Q35" s="668"/>
    </row>
    <row r="36" spans="1:19">
      <c r="A36" s="319"/>
      <c r="B36" s="2"/>
      <c r="C36" s="458"/>
      <c r="D36" s="458"/>
      <c r="E36" s="458"/>
      <c r="F36" s="458"/>
      <c r="G36" s="458"/>
      <c r="H36" s="458"/>
      <c r="I36" s="458"/>
      <c r="J36" s="458"/>
      <c r="K36" s="458"/>
      <c r="L36" s="458"/>
      <c r="M36" s="458"/>
      <c r="N36" s="458"/>
      <c r="O36" s="457"/>
      <c r="P36" s="481"/>
      <c r="Q36" s="60"/>
    </row>
    <row r="37" spans="1:19" ht="14" thickBot="1">
      <c r="A37" s="319"/>
      <c r="B37" s="7" t="s">
        <v>58</v>
      </c>
      <c r="C37" s="760">
        <f t="shared" ref="C37:N37" si="1">SUM(C5:C36)</f>
        <v>0</v>
      </c>
      <c r="D37" s="760">
        <f t="shared" si="1"/>
        <v>0</v>
      </c>
      <c r="E37" s="760">
        <f t="shared" si="1"/>
        <v>0</v>
      </c>
      <c r="F37" s="760">
        <f t="shared" si="1"/>
        <v>0</v>
      </c>
      <c r="G37" s="760">
        <f t="shared" si="1"/>
        <v>0</v>
      </c>
      <c r="H37" s="760">
        <f t="shared" si="1"/>
        <v>0</v>
      </c>
      <c r="I37" s="760">
        <f t="shared" si="1"/>
        <v>0</v>
      </c>
      <c r="J37" s="760">
        <f t="shared" si="1"/>
        <v>0</v>
      </c>
      <c r="K37" s="760">
        <f t="shared" si="1"/>
        <v>0</v>
      </c>
      <c r="L37" s="760">
        <f t="shared" si="1"/>
        <v>0</v>
      </c>
      <c r="M37" s="760">
        <f t="shared" si="1"/>
        <v>0</v>
      </c>
      <c r="N37" s="760">
        <f t="shared" si="1"/>
        <v>0</v>
      </c>
      <c r="O37" s="761">
        <f>+SUBTOTAL(9,C37:N37)</f>
        <v>0</v>
      </c>
      <c r="P37" s="739"/>
      <c r="Q37" s="738"/>
    </row>
    <row r="38" spans="1:19" ht="14" thickTop="1"/>
    <row r="41" spans="1:19">
      <c r="A41" s="690" t="s">
        <v>206</v>
      </c>
      <c r="B41" s="691" t="s">
        <v>55</v>
      </c>
      <c r="C41" s="692">
        <f>'Operating Budget'!F4</f>
        <v>45901</v>
      </c>
      <c r="D41" s="692">
        <f>'Operating Budget'!G4</f>
        <v>45961</v>
      </c>
      <c r="E41" s="692">
        <f>'Operating Budget'!H4</f>
        <v>45991</v>
      </c>
      <c r="F41" s="692">
        <f>'Operating Budget'!I4</f>
        <v>46022</v>
      </c>
      <c r="G41" s="692">
        <f>'Operating Budget'!J4</f>
        <v>46053</v>
      </c>
      <c r="H41" s="692">
        <f>'Operating Budget'!K4</f>
        <v>46081</v>
      </c>
      <c r="I41" s="692">
        <f>'Operating Budget'!L4</f>
        <v>46112</v>
      </c>
      <c r="J41" s="692">
        <f>'Operating Budget'!M4</f>
        <v>46142</v>
      </c>
      <c r="K41" s="692">
        <f>'Operating Budget'!N4</f>
        <v>46173</v>
      </c>
      <c r="L41" s="692">
        <f>'Operating Budget'!O4</f>
        <v>46203</v>
      </c>
      <c r="M41" s="692">
        <f>'Operating Budget'!P4</f>
        <v>46234</v>
      </c>
      <c r="N41" s="692">
        <f>'Operating Budget'!Q4</f>
        <v>46265</v>
      </c>
      <c r="O41" s="693" t="str">
        <f>'Operating Budget'!R4</f>
        <v>Year 1 Total</v>
      </c>
      <c r="P41" s="762"/>
      <c r="Q41" s="695" t="s">
        <v>23</v>
      </c>
      <c r="R41" s="2"/>
      <c r="S41" s="2"/>
    </row>
    <row r="42" spans="1:19" ht="1.5" customHeight="1">
      <c r="A42" s="2"/>
      <c r="B42" s="483"/>
      <c r="C42" s="754"/>
      <c r="D42" s="754"/>
      <c r="E42" s="754"/>
      <c r="F42" s="754"/>
      <c r="G42" s="754"/>
      <c r="H42" s="754"/>
      <c r="I42" s="754"/>
      <c r="J42" s="754"/>
      <c r="K42" s="754"/>
      <c r="L42" s="754"/>
      <c r="M42" s="754"/>
      <c r="N42" s="754"/>
      <c r="O42" s="763"/>
      <c r="P42" s="764"/>
      <c r="Q42" s="426"/>
    </row>
    <row r="43" spans="1:19" outlineLevel="1">
      <c r="A43" s="319">
        <f>INDEX(QS_Chart_Of_Accounts_Upload!$C:$O,MATCH(B43,QS_Chart_Of_Accounts_Upload!$E:$E,0),MATCH("ACCT_NO",QS_Chart_Of_Accounts_Upload!$C$1:$O$1,0))</f>
        <v>9085</v>
      </c>
      <c r="B43" s="108" t="s">
        <v>431</v>
      </c>
      <c r="C43" s="758">
        <v>0</v>
      </c>
      <c r="D43" s="758">
        <v>0</v>
      </c>
      <c r="E43" s="758">
        <v>0</v>
      </c>
      <c r="F43" s="758">
        <v>0</v>
      </c>
      <c r="G43" s="758">
        <v>0</v>
      </c>
      <c r="H43" s="758">
        <v>0</v>
      </c>
      <c r="I43" s="758">
        <v>0</v>
      </c>
      <c r="J43" s="758">
        <v>0</v>
      </c>
      <c r="K43" s="758">
        <v>0</v>
      </c>
      <c r="L43" s="758">
        <v>0</v>
      </c>
      <c r="M43" s="758">
        <v>0</v>
      </c>
      <c r="N43" s="758">
        <v>0</v>
      </c>
      <c r="O43" s="664">
        <f t="shared" ref="O43:O78" si="2">+SUBTOTAL(9,C43:N43)</f>
        <v>0</v>
      </c>
      <c r="P43" s="759"/>
      <c r="Q43" s="666"/>
    </row>
    <row r="44" spans="1:19" outlineLevel="1">
      <c r="A44" s="319">
        <f>INDEX(QS_Chart_Of_Accounts_Upload!$C:$O,MATCH(B44,QS_Chart_Of_Accounts_Upload!$E:$E,0),MATCH("ACCT_NO",QS_Chart_Of_Accounts_Upload!$C$1:$O$1,0))</f>
        <v>9087</v>
      </c>
      <c r="B44" s="108" t="s">
        <v>433</v>
      </c>
      <c r="C44" s="758">
        <v>0</v>
      </c>
      <c r="D44" s="758">
        <v>0</v>
      </c>
      <c r="E44" s="758">
        <v>0</v>
      </c>
      <c r="F44" s="758">
        <v>0</v>
      </c>
      <c r="G44" s="758">
        <v>0</v>
      </c>
      <c r="H44" s="758">
        <v>0</v>
      </c>
      <c r="I44" s="758">
        <v>0</v>
      </c>
      <c r="J44" s="758">
        <v>0</v>
      </c>
      <c r="K44" s="758">
        <v>0</v>
      </c>
      <c r="L44" s="758">
        <v>0</v>
      </c>
      <c r="M44" s="758">
        <v>0</v>
      </c>
      <c r="N44" s="758">
        <v>0</v>
      </c>
      <c r="O44" s="664">
        <f t="shared" si="2"/>
        <v>0</v>
      </c>
      <c r="P44" s="759"/>
      <c r="Q44" s="666"/>
    </row>
    <row r="45" spans="1:19" outlineLevel="1">
      <c r="A45" s="319">
        <f>INDEX(QS_Chart_Of_Accounts_Upload!$C:$O,MATCH(B45,QS_Chart_Of_Accounts_Upload!$E:$E,0),MATCH("ACCT_NO",QS_Chart_Of_Accounts_Upload!$C$1:$O$1,0))</f>
        <v>9100</v>
      </c>
      <c r="B45" s="108" t="s">
        <v>434</v>
      </c>
      <c r="C45" s="758">
        <v>0</v>
      </c>
      <c r="D45" s="758">
        <v>0</v>
      </c>
      <c r="E45" s="758">
        <v>0</v>
      </c>
      <c r="F45" s="758">
        <v>0</v>
      </c>
      <c r="G45" s="758">
        <v>0</v>
      </c>
      <c r="H45" s="758">
        <v>0</v>
      </c>
      <c r="I45" s="758">
        <v>0</v>
      </c>
      <c r="J45" s="758">
        <v>0</v>
      </c>
      <c r="K45" s="758">
        <v>0</v>
      </c>
      <c r="L45" s="758">
        <v>0</v>
      </c>
      <c r="M45" s="758">
        <v>0</v>
      </c>
      <c r="N45" s="758">
        <v>0</v>
      </c>
      <c r="O45" s="664">
        <f t="shared" si="2"/>
        <v>0</v>
      </c>
      <c r="P45" s="759"/>
      <c r="Q45" s="666"/>
    </row>
    <row r="46" spans="1:19" outlineLevel="1">
      <c r="A46" s="319">
        <f>INDEX(QS_Chart_Of_Accounts_Upload!$C:$O,MATCH(B46,QS_Chart_Of_Accounts_Upload!$E:$E,0),MATCH("ACCT_NO",QS_Chart_Of_Accounts_Upload!$C$1:$O$1,0))</f>
        <v>9102</v>
      </c>
      <c r="B46" s="108" t="s">
        <v>435</v>
      </c>
      <c r="C46" s="758">
        <v>0</v>
      </c>
      <c r="D46" s="758">
        <v>0</v>
      </c>
      <c r="E46" s="758">
        <v>0</v>
      </c>
      <c r="F46" s="758">
        <v>0</v>
      </c>
      <c r="G46" s="758">
        <v>0</v>
      </c>
      <c r="H46" s="758">
        <v>0</v>
      </c>
      <c r="I46" s="758">
        <v>0</v>
      </c>
      <c r="J46" s="758">
        <v>0</v>
      </c>
      <c r="K46" s="758">
        <v>0</v>
      </c>
      <c r="L46" s="758">
        <v>0</v>
      </c>
      <c r="M46" s="758">
        <v>0</v>
      </c>
      <c r="N46" s="758">
        <v>0</v>
      </c>
      <c r="O46" s="664">
        <f t="shared" si="2"/>
        <v>0</v>
      </c>
      <c r="P46" s="759"/>
      <c r="Q46" s="666"/>
    </row>
    <row r="47" spans="1:19" outlineLevel="1">
      <c r="A47" s="319">
        <f>INDEX(QS_Chart_Of_Accounts_Upload!$C:$O,MATCH(B47,QS_Chart_Of_Accounts_Upload!$E:$E,0),MATCH("ACCT_NO",QS_Chart_Of_Accounts_Upload!$C$1:$O$1,0))</f>
        <v>9103</v>
      </c>
      <c r="B47" s="108" t="s">
        <v>436</v>
      </c>
      <c r="C47" s="758">
        <v>0</v>
      </c>
      <c r="D47" s="758">
        <v>0</v>
      </c>
      <c r="E47" s="758">
        <v>0</v>
      </c>
      <c r="F47" s="758">
        <v>0</v>
      </c>
      <c r="G47" s="758">
        <v>0</v>
      </c>
      <c r="H47" s="758">
        <v>0</v>
      </c>
      <c r="I47" s="758">
        <v>0</v>
      </c>
      <c r="J47" s="758">
        <v>0</v>
      </c>
      <c r="K47" s="758">
        <v>0</v>
      </c>
      <c r="L47" s="758">
        <v>0</v>
      </c>
      <c r="M47" s="758">
        <v>0</v>
      </c>
      <c r="N47" s="758">
        <v>0</v>
      </c>
      <c r="O47" s="664">
        <f t="shared" si="2"/>
        <v>0</v>
      </c>
      <c r="P47" s="759"/>
      <c r="Q47" s="666"/>
    </row>
    <row r="48" spans="1:19" outlineLevel="1">
      <c r="A48" s="319">
        <f>INDEX(QS_Chart_Of_Accounts_Upload!$C:$O,MATCH(B48,QS_Chart_Of_Accounts_Upload!$E:$E,0),MATCH("ACCT_NO",QS_Chart_Of_Accounts_Upload!$C$1:$O$1,0))</f>
        <v>9105</v>
      </c>
      <c r="B48" s="108" t="s">
        <v>437</v>
      </c>
      <c r="C48" s="758">
        <v>0</v>
      </c>
      <c r="D48" s="758">
        <v>0</v>
      </c>
      <c r="E48" s="758">
        <v>0</v>
      </c>
      <c r="F48" s="758">
        <v>0</v>
      </c>
      <c r="G48" s="758">
        <v>0</v>
      </c>
      <c r="H48" s="758">
        <v>0</v>
      </c>
      <c r="I48" s="758">
        <v>0</v>
      </c>
      <c r="J48" s="758">
        <v>0</v>
      </c>
      <c r="K48" s="758">
        <v>0</v>
      </c>
      <c r="L48" s="758">
        <v>0</v>
      </c>
      <c r="M48" s="758">
        <v>0</v>
      </c>
      <c r="N48" s="758">
        <v>0</v>
      </c>
      <c r="O48" s="664">
        <f t="shared" si="2"/>
        <v>0</v>
      </c>
      <c r="P48" s="759"/>
      <c r="Q48" s="666"/>
    </row>
    <row r="49" spans="1:17" outlineLevel="1">
      <c r="A49" s="319">
        <f>INDEX(QS_Chart_Of_Accounts_Upload!$C:$O,MATCH(B49,QS_Chart_Of_Accounts_Upload!$E:$E,0),MATCH("ACCT_NO",QS_Chart_Of_Accounts_Upload!$C$1:$O$1,0))</f>
        <v>9110</v>
      </c>
      <c r="B49" s="108" t="s">
        <v>438</v>
      </c>
      <c r="C49" s="758">
        <v>0</v>
      </c>
      <c r="D49" s="758">
        <v>0</v>
      </c>
      <c r="E49" s="758">
        <v>0</v>
      </c>
      <c r="F49" s="758">
        <v>0</v>
      </c>
      <c r="G49" s="758">
        <v>0</v>
      </c>
      <c r="H49" s="758">
        <v>0</v>
      </c>
      <c r="I49" s="758">
        <v>0</v>
      </c>
      <c r="J49" s="758">
        <v>0</v>
      </c>
      <c r="K49" s="758">
        <v>0</v>
      </c>
      <c r="L49" s="758">
        <v>0</v>
      </c>
      <c r="M49" s="758">
        <v>0</v>
      </c>
      <c r="N49" s="758">
        <v>0</v>
      </c>
      <c r="O49" s="664">
        <f t="shared" si="2"/>
        <v>0</v>
      </c>
      <c r="P49" s="759"/>
      <c r="Q49" s="666"/>
    </row>
    <row r="50" spans="1:17" outlineLevel="1">
      <c r="A50" s="319">
        <f>INDEX(QS_Chart_Of_Accounts_Upload!$C:$O,MATCH(B50,QS_Chart_Of_Accounts_Upload!$E:$E,0),MATCH("ACCT_NO",QS_Chart_Of_Accounts_Upload!$C$1:$O$1,0))</f>
        <v>9111</v>
      </c>
      <c r="B50" s="108" t="s">
        <v>439</v>
      </c>
      <c r="C50" s="758">
        <v>0</v>
      </c>
      <c r="D50" s="758">
        <v>0</v>
      </c>
      <c r="E50" s="758">
        <v>0</v>
      </c>
      <c r="F50" s="758">
        <v>0</v>
      </c>
      <c r="G50" s="758">
        <v>0</v>
      </c>
      <c r="H50" s="758">
        <v>0</v>
      </c>
      <c r="I50" s="758">
        <v>0</v>
      </c>
      <c r="J50" s="758">
        <v>0</v>
      </c>
      <c r="K50" s="758">
        <v>0</v>
      </c>
      <c r="L50" s="758">
        <v>0</v>
      </c>
      <c r="M50" s="758">
        <v>0</v>
      </c>
      <c r="N50" s="758">
        <v>0</v>
      </c>
      <c r="O50" s="664">
        <f t="shared" si="2"/>
        <v>0</v>
      </c>
      <c r="P50" s="759"/>
      <c r="Q50" s="666"/>
    </row>
    <row r="51" spans="1:17" outlineLevel="1">
      <c r="A51" s="319">
        <f>INDEX(QS_Chart_Of_Accounts_Upload!$C:$O,MATCH(B51,QS_Chart_Of_Accounts_Upload!$E:$E,0),MATCH("ACCT_NO",QS_Chart_Of_Accounts_Upload!$C$1:$O$1,0))</f>
        <v>9112</v>
      </c>
      <c r="B51" s="108" t="s">
        <v>440</v>
      </c>
      <c r="C51" s="758">
        <v>0</v>
      </c>
      <c r="D51" s="758">
        <v>0</v>
      </c>
      <c r="E51" s="758">
        <v>0</v>
      </c>
      <c r="F51" s="758">
        <v>0</v>
      </c>
      <c r="G51" s="758">
        <v>0</v>
      </c>
      <c r="H51" s="758">
        <v>0</v>
      </c>
      <c r="I51" s="758">
        <v>0</v>
      </c>
      <c r="J51" s="758">
        <v>0</v>
      </c>
      <c r="K51" s="758">
        <v>0</v>
      </c>
      <c r="L51" s="758">
        <v>0</v>
      </c>
      <c r="M51" s="758">
        <v>0</v>
      </c>
      <c r="N51" s="758">
        <v>0</v>
      </c>
      <c r="O51" s="664">
        <f t="shared" si="2"/>
        <v>0</v>
      </c>
      <c r="P51" s="759"/>
      <c r="Q51" s="666"/>
    </row>
    <row r="52" spans="1:17" outlineLevel="1">
      <c r="A52" s="319">
        <f>INDEX(QS_Chart_Of_Accounts_Upload!$C:$O,MATCH(B52,QS_Chart_Of_Accounts_Upload!$E:$E,0),MATCH("ACCT_NO",QS_Chart_Of_Accounts_Upload!$C$1:$O$1,0))</f>
        <v>9115</v>
      </c>
      <c r="B52" s="2" t="s">
        <v>441</v>
      </c>
      <c r="C52" s="758">
        <v>0</v>
      </c>
      <c r="D52" s="758">
        <v>0</v>
      </c>
      <c r="E52" s="758">
        <v>0</v>
      </c>
      <c r="F52" s="758">
        <v>0</v>
      </c>
      <c r="G52" s="758">
        <v>0</v>
      </c>
      <c r="H52" s="758">
        <v>0</v>
      </c>
      <c r="I52" s="758">
        <v>0</v>
      </c>
      <c r="J52" s="758">
        <v>0</v>
      </c>
      <c r="K52" s="758">
        <v>0</v>
      </c>
      <c r="L52" s="758">
        <v>0</v>
      </c>
      <c r="M52" s="758">
        <v>0</v>
      </c>
      <c r="N52" s="758">
        <v>0</v>
      </c>
      <c r="O52" s="664">
        <f t="shared" si="2"/>
        <v>0</v>
      </c>
      <c r="P52" s="759"/>
      <c r="Q52" s="666"/>
    </row>
    <row r="53" spans="1:17" outlineLevel="1">
      <c r="A53" s="319">
        <f>INDEX(QS_Chart_Of_Accounts_Upload!$C:$O,MATCH(B53,QS_Chart_Of_Accounts_Upload!$E:$E,0),MATCH("ACCT_NO",QS_Chart_Of_Accounts_Upload!$C$1:$O$1,0))</f>
        <v>9120</v>
      </c>
      <c r="B53" s="2" t="s">
        <v>442</v>
      </c>
      <c r="C53" s="758">
        <v>0</v>
      </c>
      <c r="D53" s="758">
        <v>0</v>
      </c>
      <c r="E53" s="758">
        <v>0</v>
      </c>
      <c r="F53" s="758">
        <v>0</v>
      </c>
      <c r="G53" s="758">
        <v>0</v>
      </c>
      <c r="H53" s="758">
        <v>0</v>
      </c>
      <c r="I53" s="758">
        <v>0</v>
      </c>
      <c r="J53" s="758">
        <v>0</v>
      </c>
      <c r="K53" s="758">
        <v>0</v>
      </c>
      <c r="L53" s="758">
        <v>0</v>
      </c>
      <c r="M53" s="758">
        <v>0</v>
      </c>
      <c r="N53" s="758">
        <v>0</v>
      </c>
      <c r="O53" s="664">
        <f t="shared" si="2"/>
        <v>0</v>
      </c>
      <c r="P53" s="759"/>
      <c r="Q53" s="666"/>
    </row>
    <row r="54" spans="1:17" outlineLevel="1">
      <c r="A54" s="319">
        <f>INDEX(QS_Chart_Of_Accounts_Upload!$C:$O,MATCH(B54,QS_Chart_Of_Accounts_Upload!$E:$E,0),MATCH("ACCT_NO",QS_Chart_Of_Accounts_Upload!$C$1:$O$1,0))</f>
        <v>9123</v>
      </c>
      <c r="B54" s="2" t="s">
        <v>443</v>
      </c>
      <c r="C54" s="758">
        <v>0</v>
      </c>
      <c r="D54" s="758">
        <v>0</v>
      </c>
      <c r="E54" s="758">
        <v>0</v>
      </c>
      <c r="F54" s="758">
        <v>0</v>
      </c>
      <c r="G54" s="758">
        <v>0</v>
      </c>
      <c r="H54" s="758">
        <v>0</v>
      </c>
      <c r="I54" s="758">
        <v>0</v>
      </c>
      <c r="J54" s="758">
        <v>0</v>
      </c>
      <c r="K54" s="758">
        <v>0</v>
      </c>
      <c r="L54" s="758">
        <v>0</v>
      </c>
      <c r="M54" s="758">
        <v>0</v>
      </c>
      <c r="N54" s="758">
        <v>0</v>
      </c>
      <c r="O54" s="664">
        <f t="shared" si="2"/>
        <v>0</v>
      </c>
      <c r="P54" s="759"/>
      <c r="Q54" s="666"/>
    </row>
    <row r="55" spans="1:17" outlineLevel="1">
      <c r="A55" s="319">
        <f>INDEX(QS_Chart_Of_Accounts_Upload!$C:$O,MATCH(B55,QS_Chart_Of_Accounts_Upload!$E:$E,0),MATCH("ACCT_NO",QS_Chart_Of_Accounts_Upload!$C$1:$O$1,0))</f>
        <v>9125</v>
      </c>
      <c r="B55" s="2" t="s">
        <v>444</v>
      </c>
      <c r="C55" s="758">
        <v>0</v>
      </c>
      <c r="D55" s="758">
        <v>0</v>
      </c>
      <c r="E55" s="758">
        <v>0</v>
      </c>
      <c r="F55" s="758">
        <v>0</v>
      </c>
      <c r="G55" s="758">
        <v>0</v>
      </c>
      <c r="H55" s="758">
        <v>0</v>
      </c>
      <c r="I55" s="758">
        <v>0</v>
      </c>
      <c r="J55" s="758">
        <v>0</v>
      </c>
      <c r="K55" s="758">
        <v>0</v>
      </c>
      <c r="L55" s="758">
        <v>0</v>
      </c>
      <c r="M55" s="758">
        <v>0</v>
      </c>
      <c r="N55" s="758">
        <v>0</v>
      </c>
      <c r="O55" s="664">
        <f t="shared" si="2"/>
        <v>0</v>
      </c>
      <c r="P55" s="759"/>
      <c r="Q55" s="666"/>
    </row>
    <row r="56" spans="1:17" outlineLevel="1">
      <c r="A56" s="319">
        <f>INDEX(QS_Chart_Of_Accounts_Upload!$C:$O,MATCH(B56,QS_Chart_Of_Accounts_Upload!$E:$E,0),MATCH("ACCT_NO",QS_Chart_Of_Accounts_Upload!$C$1:$O$1,0))</f>
        <v>9126</v>
      </c>
      <c r="B56" s="2" t="s">
        <v>445</v>
      </c>
      <c r="C56" s="758">
        <v>0</v>
      </c>
      <c r="D56" s="758">
        <v>0</v>
      </c>
      <c r="E56" s="758">
        <v>0</v>
      </c>
      <c r="F56" s="758">
        <v>0</v>
      </c>
      <c r="G56" s="758">
        <v>0</v>
      </c>
      <c r="H56" s="758">
        <v>0</v>
      </c>
      <c r="I56" s="758">
        <v>0</v>
      </c>
      <c r="J56" s="758">
        <v>0</v>
      </c>
      <c r="K56" s="758">
        <v>0</v>
      </c>
      <c r="L56" s="758">
        <v>0</v>
      </c>
      <c r="M56" s="758">
        <v>0</v>
      </c>
      <c r="N56" s="758">
        <v>0</v>
      </c>
      <c r="O56" s="664">
        <f t="shared" si="2"/>
        <v>0</v>
      </c>
      <c r="P56" s="759"/>
      <c r="Q56" s="666"/>
    </row>
    <row r="57" spans="1:17" outlineLevel="1">
      <c r="A57" s="319">
        <f>INDEX(QS_Chart_Of_Accounts_Upload!$C:$O,MATCH(B57,QS_Chart_Of_Accounts_Upload!$E:$E,0),MATCH("ACCT_NO",QS_Chart_Of_Accounts_Upload!$C$1:$O$1,0))</f>
        <v>9127</v>
      </c>
      <c r="B57" s="2" t="s">
        <v>446</v>
      </c>
      <c r="C57" s="758">
        <v>0</v>
      </c>
      <c r="D57" s="758">
        <v>0</v>
      </c>
      <c r="E57" s="758">
        <v>0</v>
      </c>
      <c r="F57" s="758">
        <v>0</v>
      </c>
      <c r="G57" s="758">
        <v>0</v>
      </c>
      <c r="H57" s="758">
        <v>0</v>
      </c>
      <c r="I57" s="758">
        <v>0</v>
      </c>
      <c r="J57" s="758">
        <v>0</v>
      </c>
      <c r="K57" s="758">
        <v>0</v>
      </c>
      <c r="L57" s="758">
        <v>0</v>
      </c>
      <c r="M57" s="758">
        <v>0</v>
      </c>
      <c r="N57" s="758">
        <v>0</v>
      </c>
      <c r="O57" s="664">
        <f t="shared" si="2"/>
        <v>0</v>
      </c>
      <c r="P57" s="759"/>
      <c r="Q57" s="666"/>
    </row>
    <row r="58" spans="1:17" outlineLevel="1">
      <c r="A58" s="319">
        <f>INDEX(QS_Chart_Of_Accounts_Upload!$C:$O,MATCH(B58,QS_Chart_Of_Accounts_Upload!$E:$E,0),MATCH("ACCT_NO",QS_Chart_Of_Accounts_Upload!$C$1:$O$1,0))</f>
        <v>9128</v>
      </c>
      <c r="B58" s="2" t="s">
        <v>447</v>
      </c>
      <c r="C58" s="758">
        <v>0</v>
      </c>
      <c r="D58" s="758">
        <v>0</v>
      </c>
      <c r="E58" s="758">
        <v>0</v>
      </c>
      <c r="F58" s="758">
        <v>0</v>
      </c>
      <c r="G58" s="758">
        <v>0</v>
      </c>
      <c r="H58" s="758">
        <v>0</v>
      </c>
      <c r="I58" s="758">
        <v>0</v>
      </c>
      <c r="J58" s="758">
        <v>0</v>
      </c>
      <c r="K58" s="758">
        <v>0</v>
      </c>
      <c r="L58" s="758">
        <v>0</v>
      </c>
      <c r="M58" s="758">
        <v>0</v>
      </c>
      <c r="N58" s="758">
        <v>0</v>
      </c>
      <c r="O58" s="664">
        <f t="shared" si="2"/>
        <v>0</v>
      </c>
      <c r="P58" s="759"/>
      <c r="Q58" s="666"/>
    </row>
    <row r="59" spans="1:17" outlineLevel="1">
      <c r="A59" s="319">
        <f>INDEX(QS_Chart_Of_Accounts_Upload!$C:$O,MATCH(B59,QS_Chart_Of_Accounts_Upload!$E:$E,0),MATCH("ACCT_NO",QS_Chart_Of_Accounts_Upload!$C$1:$O$1,0))</f>
        <v>9129</v>
      </c>
      <c r="B59" s="2" t="s">
        <v>448</v>
      </c>
      <c r="C59" s="758">
        <v>0</v>
      </c>
      <c r="D59" s="758">
        <v>0</v>
      </c>
      <c r="E59" s="758">
        <v>0</v>
      </c>
      <c r="F59" s="758">
        <v>0</v>
      </c>
      <c r="G59" s="758">
        <v>0</v>
      </c>
      <c r="H59" s="758">
        <v>0</v>
      </c>
      <c r="I59" s="758">
        <v>0</v>
      </c>
      <c r="J59" s="758">
        <v>0</v>
      </c>
      <c r="K59" s="758">
        <v>0</v>
      </c>
      <c r="L59" s="758">
        <v>0</v>
      </c>
      <c r="M59" s="758">
        <v>0</v>
      </c>
      <c r="N59" s="758">
        <v>0</v>
      </c>
      <c r="O59" s="664">
        <f t="shared" si="2"/>
        <v>0</v>
      </c>
      <c r="P59" s="759"/>
      <c r="Q59" s="666"/>
    </row>
    <row r="60" spans="1:17" outlineLevel="1">
      <c r="A60" s="319">
        <f>INDEX(QS_Chart_Of_Accounts_Upload!$C:$O,MATCH(B60,QS_Chart_Of_Accounts_Upload!$E:$E,0),MATCH("ACCT_NO",QS_Chart_Of_Accounts_Upload!$C$1:$O$1,0))</f>
        <v>9130</v>
      </c>
      <c r="B60" s="2" t="s">
        <v>449</v>
      </c>
      <c r="C60" s="758">
        <v>0</v>
      </c>
      <c r="D60" s="758">
        <v>0</v>
      </c>
      <c r="E60" s="758">
        <v>0</v>
      </c>
      <c r="F60" s="758">
        <v>0</v>
      </c>
      <c r="G60" s="758">
        <v>0</v>
      </c>
      <c r="H60" s="758">
        <v>0</v>
      </c>
      <c r="I60" s="758">
        <v>0</v>
      </c>
      <c r="J60" s="758">
        <v>0</v>
      </c>
      <c r="K60" s="758">
        <v>0</v>
      </c>
      <c r="L60" s="758">
        <v>0</v>
      </c>
      <c r="M60" s="758">
        <v>0</v>
      </c>
      <c r="N60" s="758">
        <v>0</v>
      </c>
      <c r="O60" s="664">
        <f t="shared" si="2"/>
        <v>0</v>
      </c>
      <c r="P60" s="759"/>
      <c r="Q60" s="666"/>
    </row>
    <row r="61" spans="1:17" outlineLevel="1">
      <c r="A61" s="319">
        <f>INDEX(QS_Chart_Of_Accounts_Upload!$C:$O,MATCH(B61,QS_Chart_Of_Accounts_Upload!$E:$E,0),MATCH("ACCT_NO",QS_Chart_Of_Accounts_Upload!$C$1:$O$1,0))</f>
        <v>9131</v>
      </c>
      <c r="B61" s="2" t="s">
        <v>772</v>
      </c>
      <c r="C61" s="758">
        <v>0</v>
      </c>
      <c r="D61" s="758">
        <v>0</v>
      </c>
      <c r="E61" s="758">
        <v>0</v>
      </c>
      <c r="F61" s="758">
        <v>0</v>
      </c>
      <c r="G61" s="758">
        <v>0</v>
      </c>
      <c r="H61" s="758">
        <v>0</v>
      </c>
      <c r="I61" s="758">
        <v>0</v>
      </c>
      <c r="J61" s="758">
        <v>0</v>
      </c>
      <c r="K61" s="758">
        <v>0</v>
      </c>
      <c r="L61" s="758">
        <v>0</v>
      </c>
      <c r="M61" s="758">
        <v>0</v>
      </c>
      <c r="N61" s="758">
        <v>0</v>
      </c>
      <c r="O61" s="664">
        <f t="shared" si="2"/>
        <v>0</v>
      </c>
      <c r="P61" s="759"/>
      <c r="Q61" s="666"/>
    </row>
    <row r="62" spans="1:17" outlineLevel="1">
      <c r="A62" s="319">
        <f>INDEX(QS_Chart_Of_Accounts_Upload!$C:$O,MATCH(B62,QS_Chart_Of_Accounts_Upload!$E:$E,0),MATCH("ACCT_NO",QS_Chart_Of_Accounts_Upload!$C$1:$O$1,0))</f>
        <v>9135</v>
      </c>
      <c r="B62" s="2" t="s">
        <v>450</v>
      </c>
      <c r="C62" s="758">
        <v>0</v>
      </c>
      <c r="D62" s="758">
        <v>0</v>
      </c>
      <c r="E62" s="758">
        <v>0</v>
      </c>
      <c r="F62" s="758">
        <v>0</v>
      </c>
      <c r="G62" s="758">
        <v>0</v>
      </c>
      <c r="H62" s="758">
        <v>0</v>
      </c>
      <c r="I62" s="758">
        <v>0</v>
      </c>
      <c r="J62" s="758">
        <v>0</v>
      </c>
      <c r="K62" s="758">
        <v>0</v>
      </c>
      <c r="L62" s="758">
        <v>0</v>
      </c>
      <c r="M62" s="758">
        <v>0</v>
      </c>
      <c r="N62" s="758">
        <v>0</v>
      </c>
      <c r="O62" s="664">
        <f t="shared" si="2"/>
        <v>0</v>
      </c>
      <c r="P62" s="759"/>
      <c r="Q62" s="666"/>
    </row>
    <row r="63" spans="1:17" outlineLevel="1">
      <c r="A63" s="319">
        <f>INDEX(QS_Chart_Of_Accounts_Upload!$C:$O,MATCH(B63,QS_Chart_Of_Accounts_Upload!$E:$E,0),MATCH("ACCT_NO",QS_Chart_Of_Accounts_Upload!$C$1:$O$1,0))</f>
        <v>9136</v>
      </c>
      <c r="B63" s="2" t="s">
        <v>451</v>
      </c>
      <c r="C63" s="758">
        <v>0</v>
      </c>
      <c r="D63" s="758">
        <v>0</v>
      </c>
      <c r="E63" s="758">
        <v>0</v>
      </c>
      <c r="F63" s="758">
        <v>0</v>
      </c>
      <c r="G63" s="758">
        <v>0</v>
      </c>
      <c r="H63" s="758">
        <v>0</v>
      </c>
      <c r="I63" s="758">
        <v>0</v>
      </c>
      <c r="J63" s="758">
        <v>0</v>
      </c>
      <c r="K63" s="758">
        <v>0</v>
      </c>
      <c r="L63" s="758">
        <v>0</v>
      </c>
      <c r="M63" s="758">
        <v>0</v>
      </c>
      <c r="N63" s="758">
        <v>0</v>
      </c>
      <c r="O63" s="664">
        <f t="shared" si="2"/>
        <v>0</v>
      </c>
      <c r="P63" s="759"/>
      <c r="Q63" s="666"/>
    </row>
    <row r="64" spans="1:17" outlineLevel="1">
      <c r="A64" s="319">
        <f>INDEX(QS_Chart_Of_Accounts_Upload!$C:$O,MATCH(B64,QS_Chart_Of_Accounts_Upload!$E:$E,0),MATCH("ACCT_NO",QS_Chart_Of_Accounts_Upload!$C$1:$O$1,0))</f>
        <v>9137</v>
      </c>
      <c r="B64" s="2" t="s">
        <v>452</v>
      </c>
      <c r="C64" s="758">
        <v>0</v>
      </c>
      <c r="D64" s="758">
        <v>0</v>
      </c>
      <c r="E64" s="758">
        <v>0</v>
      </c>
      <c r="F64" s="758">
        <v>0</v>
      </c>
      <c r="G64" s="758">
        <v>0</v>
      </c>
      <c r="H64" s="758">
        <v>0</v>
      </c>
      <c r="I64" s="758">
        <v>0</v>
      </c>
      <c r="J64" s="758">
        <v>0</v>
      </c>
      <c r="K64" s="758">
        <v>0</v>
      </c>
      <c r="L64" s="758">
        <v>0</v>
      </c>
      <c r="M64" s="758">
        <v>0</v>
      </c>
      <c r="N64" s="758">
        <v>0</v>
      </c>
      <c r="O64" s="664">
        <f t="shared" si="2"/>
        <v>0</v>
      </c>
      <c r="P64" s="759"/>
      <c r="Q64" s="666"/>
    </row>
    <row r="65" spans="1:17" outlineLevel="1">
      <c r="A65" s="319">
        <f>INDEX(QS_Chart_Of_Accounts_Upload!$C:$O,MATCH(B65,QS_Chart_Of_Accounts_Upload!$E:$E,0),MATCH("ACCT_NO",QS_Chart_Of_Accounts_Upload!$C$1:$O$1,0))</f>
        <v>9140</v>
      </c>
      <c r="B65" s="2" t="s">
        <v>453</v>
      </c>
      <c r="C65" s="758">
        <v>0</v>
      </c>
      <c r="D65" s="758">
        <v>0</v>
      </c>
      <c r="E65" s="758">
        <v>0</v>
      </c>
      <c r="F65" s="758">
        <v>0</v>
      </c>
      <c r="G65" s="758">
        <v>0</v>
      </c>
      <c r="H65" s="758">
        <v>0</v>
      </c>
      <c r="I65" s="758">
        <v>0</v>
      </c>
      <c r="J65" s="758">
        <v>0</v>
      </c>
      <c r="K65" s="758">
        <v>0</v>
      </c>
      <c r="L65" s="758">
        <v>0</v>
      </c>
      <c r="M65" s="758">
        <v>0</v>
      </c>
      <c r="N65" s="758">
        <v>0</v>
      </c>
      <c r="O65" s="664">
        <f t="shared" si="2"/>
        <v>0</v>
      </c>
      <c r="P65" s="759"/>
      <c r="Q65" s="666"/>
    </row>
    <row r="66" spans="1:17" outlineLevel="1">
      <c r="A66" s="319">
        <f>INDEX(QS_Chart_Of_Accounts_Upload!$C:$O,MATCH(B66,QS_Chart_Of_Accounts_Upload!$E:$E,0),MATCH("ACCT_NO",QS_Chart_Of_Accounts_Upload!$C$1:$O$1,0))</f>
        <v>9145</v>
      </c>
      <c r="B66" s="2" t="s">
        <v>454</v>
      </c>
      <c r="C66" s="758">
        <v>0</v>
      </c>
      <c r="D66" s="758">
        <v>0</v>
      </c>
      <c r="E66" s="758">
        <v>0</v>
      </c>
      <c r="F66" s="758">
        <v>0</v>
      </c>
      <c r="G66" s="758">
        <v>0</v>
      </c>
      <c r="H66" s="758">
        <v>0</v>
      </c>
      <c r="I66" s="758">
        <v>0</v>
      </c>
      <c r="J66" s="758">
        <v>0</v>
      </c>
      <c r="K66" s="758">
        <v>0</v>
      </c>
      <c r="L66" s="758">
        <v>0</v>
      </c>
      <c r="M66" s="758">
        <v>0</v>
      </c>
      <c r="N66" s="758">
        <v>0</v>
      </c>
      <c r="O66" s="664">
        <f t="shared" si="2"/>
        <v>0</v>
      </c>
      <c r="P66" s="759"/>
      <c r="Q66" s="666"/>
    </row>
    <row r="67" spans="1:17" outlineLevel="1">
      <c r="A67" s="319">
        <f>INDEX(QS_Chart_Of_Accounts_Upload!$C:$O,MATCH(B67,QS_Chart_Of_Accounts_Upload!$E:$E,0),MATCH("ACCT_NO",QS_Chart_Of_Accounts_Upload!$C$1:$O$1,0))</f>
        <v>9150</v>
      </c>
      <c r="B67" s="2" t="s">
        <v>455</v>
      </c>
      <c r="C67" s="758">
        <v>0</v>
      </c>
      <c r="D67" s="758">
        <v>0</v>
      </c>
      <c r="E67" s="758">
        <v>0</v>
      </c>
      <c r="F67" s="758">
        <v>0</v>
      </c>
      <c r="G67" s="758">
        <v>0</v>
      </c>
      <c r="H67" s="758">
        <v>0</v>
      </c>
      <c r="I67" s="758">
        <v>0</v>
      </c>
      <c r="J67" s="758">
        <v>0</v>
      </c>
      <c r="K67" s="758">
        <v>0</v>
      </c>
      <c r="L67" s="758">
        <v>0</v>
      </c>
      <c r="M67" s="758">
        <v>0</v>
      </c>
      <c r="N67" s="758">
        <v>0</v>
      </c>
      <c r="O67" s="664">
        <f t="shared" si="2"/>
        <v>0</v>
      </c>
      <c r="P67" s="759"/>
      <c r="Q67" s="666"/>
    </row>
    <row r="68" spans="1:17" outlineLevel="1">
      <c r="A68" s="319">
        <f>INDEX(QS_Chart_Of_Accounts_Upload!$C:$O,MATCH(B68,QS_Chart_Of_Accounts_Upload!$E:$E,0),MATCH("ACCT_NO",QS_Chart_Of_Accounts_Upload!$C$1:$O$1,0))</f>
        <v>9155</v>
      </c>
      <c r="B68" s="2" t="s">
        <v>456</v>
      </c>
      <c r="C68" s="758">
        <v>0</v>
      </c>
      <c r="D68" s="758">
        <v>0</v>
      </c>
      <c r="E68" s="758">
        <v>0</v>
      </c>
      <c r="F68" s="758">
        <v>0</v>
      </c>
      <c r="G68" s="758">
        <v>0</v>
      </c>
      <c r="H68" s="758">
        <v>0</v>
      </c>
      <c r="I68" s="758">
        <v>0</v>
      </c>
      <c r="J68" s="758">
        <v>0</v>
      </c>
      <c r="K68" s="758">
        <v>0</v>
      </c>
      <c r="L68" s="758">
        <v>0</v>
      </c>
      <c r="M68" s="758">
        <v>0</v>
      </c>
      <c r="N68" s="758">
        <v>0</v>
      </c>
      <c r="O68" s="664">
        <f t="shared" si="2"/>
        <v>0</v>
      </c>
      <c r="P68" s="759"/>
      <c r="Q68" s="666"/>
    </row>
    <row r="69" spans="1:17" outlineLevel="1">
      <c r="A69" s="319">
        <f>INDEX(QS_Chart_Of_Accounts_Upload!$C:$O,MATCH(B69,QS_Chart_Of_Accounts_Upload!$E:$E,0),MATCH("ACCT_NO",QS_Chart_Of_Accounts_Upload!$C$1:$O$1,0))</f>
        <v>9160</v>
      </c>
      <c r="B69" s="2" t="s">
        <v>457</v>
      </c>
      <c r="C69" s="758">
        <v>0</v>
      </c>
      <c r="D69" s="758">
        <v>0</v>
      </c>
      <c r="E69" s="758">
        <v>0</v>
      </c>
      <c r="F69" s="758">
        <v>0</v>
      </c>
      <c r="G69" s="758">
        <v>0</v>
      </c>
      <c r="H69" s="758">
        <v>0</v>
      </c>
      <c r="I69" s="758">
        <v>0</v>
      </c>
      <c r="J69" s="758">
        <v>0</v>
      </c>
      <c r="K69" s="758">
        <v>0</v>
      </c>
      <c r="L69" s="758">
        <v>0</v>
      </c>
      <c r="M69" s="758">
        <v>0</v>
      </c>
      <c r="N69" s="758">
        <v>0</v>
      </c>
      <c r="O69" s="664">
        <f t="shared" si="2"/>
        <v>0</v>
      </c>
      <c r="P69" s="759"/>
      <c r="Q69" s="666"/>
    </row>
    <row r="70" spans="1:17" outlineLevel="1">
      <c r="A70" s="319">
        <f>INDEX(QS_Chart_Of_Accounts_Upload!$C:$O,MATCH(B70,QS_Chart_Of_Accounts_Upload!$E:$E,0),MATCH("ACCT_NO",QS_Chart_Of_Accounts_Upload!$C$1:$O$1,0))</f>
        <v>9165</v>
      </c>
      <c r="B70" s="2" t="s">
        <v>458</v>
      </c>
      <c r="C70" s="758">
        <v>0</v>
      </c>
      <c r="D70" s="758">
        <v>0</v>
      </c>
      <c r="E70" s="758">
        <v>0</v>
      </c>
      <c r="F70" s="758">
        <v>0</v>
      </c>
      <c r="G70" s="758">
        <v>0</v>
      </c>
      <c r="H70" s="758">
        <v>0</v>
      </c>
      <c r="I70" s="758">
        <v>0</v>
      </c>
      <c r="J70" s="758">
        <v>0</v>
      </c>
      <c r="K70" s="758">
        <v>0</v>
      </c>
      <c r="L70" s="758">
        <v>0</v>
      </c>
      <c r="M70" s="758">
        <v>0</v>
      </c>
      <c r="N70" s="758">
        <v>0</v>
      </c>
      <c r="O70" s="664">
        <f t="shared" si="2"/>
        <v>0</v>
      </c>
      <c r="P70" s="759"/>
      <c r="Q70" s="666"/>
    </row>
    <row r="71" spans="1:17" outlineLevel="1">
      <c r="A71" s="319">
        <f>INDEX(QS_Chart_Of_Accounts_Upload!$C:$O,MATCH(B71,QS_Chart_Of_Accounts_Upload!$E:$E,0),MATCH("ACCT_NO",QS_Chart_Of_Accounts_Upload!$C$1:$O$1,0))</f>
        <v>9166</v>
      </c>
      <c r="B71" s="2" t="s">
        <v>459</v>
      </c>
      <c r="C71" s="758">
        <v>0</v>
      </c>
      <c r="D71" s="758">
        <v>0</v>
      </c>
      <c r="E71" s="758">
        <v>0</v>
      </c>
      <c r="F71" s="758">
        <v>0</v>
      </c>
      <c r="G71" s="758">
        <v>0</v>
      </c>
      <c r="H71" s="758">
        <v>0</v>
      </c>
      <c r="I71" s="758">
        <v>0</v>
      </c>
      <c r="J71" s="758">
        <v>0</v>
      </c>
      <c r="K71" s="758">
        <v>0</v>
      </c>
      <c r="L71" s="758">
        <v>0</v>
      </c>
      <c r="M71" s="758">
        <v>0</v>
      </c>
      <c r="N71" s="758">
        <v>0</v>
      </c>
      <c r="O71" s="664">
        <f t="shared" si="2"/>
        <v>0</v>
      </c>
      <c r="P71" s="759"/>
      <c r="Q71" s="666"/>
    </row>
    <row r="72" spans="1:17" outlineLevel="1">
      <c r="A72" s="319">
        <f>INDEX(QS_Chart_Of_Accounts_Upload!$C:$O,MATCH(B72,QS_Chart_Of_Accounts_Upload!$E:$E,0),MATCH("ACCT_NO",QS_Chart_Of_Accounts_Upload!$C$1:$O$1,0))</f>
        <v>9167</v>
      </c>
      <c r="B72" s="2" t="s">
        <v>460</v>
      </c>
      <c r="C72" s="758">
        <v>0</v>
      </c>
      <c r="D72" s="758">
        <v>0</v>
      </c>
      <c r="E72" s="758">
        <v>0</v>
      </c>
      <c r="F72" s="758">
        <v>0</v>
      </c>
      <c r="G72" s="758">
        <v>0</v>
      </c>
      <c r="H72" s="758">
        <v>0</v>
      </c>
      <c r="I72" s="758">
        <v>0</v>
      </c>
      <c r="J72" s="758">
        <v>0</v>
      </c>
      <c r="K72" s="758">
        <v>0</v>
      </c>
      <c r="L72" s="758">
        <v>0</v>
      </c>
      <c r="M72" s="758">
        <v>0</v>
      </c>
      <c r="N72" s="758">
        <v>0</v>
      </c>
      <c r="O72" s="664">
        <f t="shared" si="2"/>
        <v>0</v>
      </c>
      <c r="P72" s="759"/>
      <c r="Q72" s="666"/>
    </row>
    <row r="73" spans="1:17" ht="23.25" customHeight="1" outlineLevel="1">
      <c r="A73" s="319">
        <f>INDEX(QS_Chart_Of_Accounts_Upload!$C:$O,MATCH(B73,QS_Chart_Of_Accounts_Upload!$E:$E,0),MATCH("ACCT_NO",QS_Chart_Of_Accounts_Upload!$C$1:$O$1,0))</f>
        <v>9167.1</v>
      </c>
      <c r="B73" s="2" t="s">
        <v>461</v>
      </c>
      <c r="C73" s="758">
        <v>0</v>
      </c>
      <c r="D73" s="758">
        <v>0</v>
      </c>
      <c r="E73" s="758">
        <v>0</v>
      </c>
      <c r="F73" s="758">
        <v>0</v>
      </c>
      <c r="G73" s="758">
        <v>0</v>
      </c>
      <c r="H73" s="758">
        <v>0</v>
      </c>
      <c r="I73" s="758">
        <v>0</v>
      </c>
      <c r="J73" s="758">
        <v>0</v>
      </c>
      <c r="K73" s="758">
        <v>0</v>
      </c>
      <c r="L73" s="758">
        <v>0</v>
      </c>
      <c r="M73" s="758">
        <v>0</v>
      </c>
      <c r="N73" s="758">
        <v>0</v>
      </c>
      <c r="O73" s="664">
        <f t="shared" si="2"/>
        <v>0</v>
      </c>
      <c r="P73" s="759"/>
      <c r="Q73" s="666"/>
    </row>
    <row r="74" spans="1:17" outlineLevel="1">
      <c r="A74" s="319">
        <f>INDEX(QS_Chart_Of_Accounts_Upload!$C:$O,MATCH(B74,QS_Chart_Of_Accounts_Upload!$E:$E,0),MATCH("ACCT_NO",QS_Chart_Of_Accounts_Upload!$C$1:$O$1,0))</f>
        <v>9167.2000000000007</v>
      </c>
      <c r="B74" s="2" t="s">
        <v>462</v>
      </c>
      <c r="C74" s="758">
        <v>0</v>
      </c>
      <c r="D74" s="758">
        <v>0</v>
      </c>
      <c r="E74" s="758">
        <v>0</v>
      </c>
      <c r="F74" s="758">
        <v>0</v>
      </c>
      <c r="G74" s="758">
        <v>0</v>
      </c>
      <c r="H74" s="758">
        <v>0</v>
      </c>
      <c r="I74" s="758">
        <v>0</v>
      </c>
      <c r="J74" s="758">
        <v>0</v>
      </c>
      <c r="K74" s="758">
        <v>0</v>
      </c>
      <c r="L74" s="758">
        <v>0</v>
      </c>
      <c r="M74" s="758">
        <v>0</v>
      </c>
      <c r="N74" s="758">
        <v>0</v>
      </c>
      <c r="O74" s="664">
        <f t="shared" si="2"/>
        <v>0</v>
      </c>
      <c r="P74" s="759"/>
      <c r="Q74" s="666"/>
    </row>
    <row r="75" spans="1:17" outlineLevel="1">
      <c r="A75" s="319">
        <f>INDEX(QS_Chart_Of_Accounts_Upload!$C:$O,MATCH(B75,QS_Chart_Of_Accounts_Upload!$E:$E,0),MATCH("ACCT_NO",QS_Chart_Of_Accounts_Upload!$C$1:$O$1,0))</f>
        <v>9167.2999999999993</v>
      </c>
      <c r="B75" s="2" t="s">
        <v>463</v>
      </c>
      <c r="C75" s="758">
        <v>0</v>
      </c>
      <c r="D75" s="758">
        <v>0</v>
      </c>
      <c r="E75" s="758">
        <v>0</v>
      </c>
      <c r="F75" s="758">
        <v>0</v>
      </c>
      <c r="G75" s="758">
        <v>0</v>
      </c>
      <c r="H75" s="758">
        <v>0</v>
      </c>
      <c r="I75" s="758">
        <v>0</v>
      </c>
      <c r="J75" s="758">
        <v>0</v>
      </c>
      <c r="K75" s="758">
        <v>0</v>
      </c>
      <c r="L75" s="758">
        <v>0</v>
      </c>
      <c r="M75" s="758">
        <v>0</v>
      </c>
      <c r="N75" s="758">
        <v>0</v>
      </c>
      <c r="O75" s="664">
        <f t="shared" si="2"/>
        <v>0</v>
      </c>
      <c r="P75" s="759"/>
      <c r="Q75" s="666"/>
    </row>
    <row r="76" spans="1:17" outlineLevel="1">
      <c r="A76" s="319">
        <f>INDEX(QS_Chart_Of_Accounts_Upload!$C:$O,MATCH(B76,QS_Chart_Of_Accounts_Upload!$E:$E,0),MATCH("ACCT_NO",QS_Chart_Of_Accounts_Upload!$C$1:$O$1,0))</f>
        <v>9169</v>
      </c>
      <c r="B76" s="2" t="s">
        <v>464</v>
      </c>
      <c r="C76" s="758">
        <v>0</v>
      </c>
      <c r="D76" s="758">
        <v>0</v>
      </c>
      <c r="E76" s="758">
        <v>0</v>
      </c>
      <c r="F76" s="758">
        <v>0</v>
      </c>
      <c r="G76" s="758">
        <v>0</v>
      </c>
      <c r="H76" s="758">
        <v>0</v>
      </c>
      <c r="I76" s="758">
        <v>0</v>
      </c>
      <c r="J76" s="758">
        <v>0</v>
      </c>
      <c r="K76" s="758">
        <v>0</v>
      </c>
      <c r="L76" s="758">
        <v>0</v>
      </c>
      <c r="M76" s="758">
        <v>0</v>
      </c>
      <c r="N76" s="758">
        <v>0</v>
      </c>
      <c r="O76" s="664">
        <f t="shared" si="2"/>
        <v>0</v>
      </c>
      <c r="P76" s="759"/>
      <c r="Q76" s="666"/>
    </row>
    <row r="77" spans="1:17" outlineLevel="1">
      <c r="A77" s="319">
        <f>INDEX(QS_Chart_Of_Accounts_Upload!$C:$O,MATCH(B77,QS_Chart_Of_Accounts_Upload!$E:$E,0),MATCH("ACCT_NO",QS_Chart_Of_Accounts_Upload!$C$1:$O$1,0))</f>
        <v>9170</v>
      </c>
      <c r="B77" s="2" t="s">
        <v>465</v>
      </c>
      <c r="C77" s="758">
        <v>0</v>
      </c>
      <c r="D77" s="758">
        <v>0</v>
      </c>
      <c r="E77" s="758">
        <v>0</v>
      </c>
      <c r="F77" s="758">
        <v>0</v>
      </c>
      <c r="G77" s="758">
        <v>0</v>
      </c>
      <c r="H77" s="758">
        <v>0</v>
      </c>
      <c r="I77" s="758">
        <v>0</v>
      </c>
      <c r="J77" s="758">
        <v>0</v>
      </c>
      <c r="K77" s="758">
        <v>0</v>
      </c>
      <c r="L77" s="758">
        <v>0</v>
      </c>
      <c r="M77" s="758">
        <v>0</v>
      </c>
      <c r="N77" s="758">
        <v>0</v>
      </c>
      <c r="O77" s="664">
        <f t="shared" si="2"/>
        <v>0</v>
      </c>
      <c r="P77" s="759"/>
      <c r="Q77" s="666"/>
    </row>
    <row r="78" spans="1:17" outlineLevel="1">
      <c r="A78" s="319">
        <f>INDEX(QS_Chart_Of_Accounts_Upload!$C:$O,MATCH(B78,QS_Chart_Of_Accounts_Upload!$E:$E,0),MATCH("ACCT_NO",QS_Chart_Of_Accounts_Upload!$C$1:$O$1,0))</f>
        <v>9200</v>
      </c>
      <c r="B78" s="2" t="s">
        <v>466</v>
      </c>
      <c r="C78" s="758">
        <v>0</v>
      </c>
      <c r="D78" s="758">
        <v>0</v>
      </c>
      <c r="E78" s="758">
        <v>0</v>
      </c>
      <c r="F78" s="758">
        <v>0</v>
      </c>
      <c r="G78" s="758">
        <v>0</v>
      </c>
      <c r="H78" s="758">
        <v>0</v>
      </c>
      <c r="I78" s="758">
        <v>0</v>
      </c>
      <c r="J78" s="758">
        <v>0</v>
      </c>
      <c r="K78" s="758">
        <v>0</v>
      </c>
      <c r="L78" s="758">
        <v>0</v>
      </c>
      <c r="M78" s="758">
        <v>0</v>
      </c>
      <c r="N78" s="758">
        <v>0</v>
      </c>
      <c r="O78" s="664">
        <f t="shared" si="2"/>
        <v>0</v>
      </c>
      <c r="P78" s="759"/>
      <c r="Q78" s="666"/>
    </row>
    <row r="79" spans="1:17">
      <c r="A79" s="319"/>
      <c r="B79" s="2"/>
      <c r="O79" s="252"/>
      <c r="Q79" s="252"/>
    </row>
    <row r="80" spans="1:17" ht="14" thickBot="1">
      <c r="A80" s="319"/>
      <c r="B80" s="7" t="s">
        <v>56</v>
      </c>
      <c r="C80" s="765">
        <f t="shared" ref="C80:N80" si="3">SUM(C42:C79)</f>
        <v>0</v>
      </c>
      <c r="D80" s="765">
        <f t="shared" si="3"/>
        <v>0</v>
      </c>
      <c r="E80" s="765">
        <f t="shared" si="3"/>
        <v>0</v>
      </c>
      <c r="F80" s="765">
        <f t="shared" si="3"/>
        <v>0</v>
      </c>
      <c r="G80" s="765">
        <f t="shared" si="3"/>
        <v>0</v>
      </c>
      <c r="H80" s="765">
        <f t="shared" si="3"/>
        <v>0</v>
      </c>
      <c r="I80" s="765">
        <f t="shared" si="3"/>
        <v>0</v>
      </c>
      <c r="J80" s="765">
        <f t="shared" si="3"/>
        <v>0</v>
      </c>
      <c r="K80" s="765">
        <f t="shared" si="3"/>
        <v>0</v>
      </c>
      <c r="L80" s="765">
        <f t="shared" si="3"/>
        <v>0</v>
      </c>
      <c r="M80" s="765">
        <f t="shared" si="3"/>
        <v>0</v>
      </c>
      <c r="N80" s="765">
        <f t="shared" si="3"/>
        <v>0</v>
      </c>
      <c r="O80" s="766">
        <f>+SUBTOTAL(9,C80:N80)</f>
        <v>0</v>
      </c>
      <c r="P80" s="608"/>
      <c r="Q80" s="278"/>
    </row>
    <row r="81" ht="14" thickTop="1"/>
  </sheetData>
  <pageMargins left="0.7" right="0.7" top="0.75" bottom="0.75" header="0.3" footer="0.3"/>
  <pageSetup scale="61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107"/>
  <sheetViews>
    <sheetView showGridLines="0" tabSelected="1" zoomScaleNormal="100" workbookViewId="0">
      <selection activeCell="E30" sqref="E30"/>
    </sheetView>
  </sheetViews>
  <sheetFormatPr baseColWidth="10" defaultColWidth="9.1640625" defaultRowHeight="13" outlineLevelRow="1"/>
  <cols>
    <col min="1" max="1" width="9.1640625" style="108" bestFit="1" customWidth="1"/>
    <col min="2" max="2" width="44.83203125" style="108" customWidth="1"/>
    <col min="3" max="3" width="27.6640625" style="108" customWidth="1"/>
    <col min="4" max="4" width="19.1640625" style="108" customWidth="1"/>
    <col min="5" max="5" width="14" style="108" customWidth="1"/>
    <col min="6" max="7" width="9.33203125" style="108" bestFit="1" customWidth="1"/>
    <col min="8" max="8" width="12.5" style="108" customWidth="1"/>
    <col min="9" max="9" width="10.6640625" style="108" customWidth="1"/>
    <col min="10" max="10" width="15" style="108" bestFit="1" customWidth="1"/>
    <col min="11" max="11" width="13.1640625" style="108" customWidth="1"/>
    <col min="12" max="12" width="13.5" style="108" customWidth="1"/>
    <col min="13" max="13" width="9.33203125" style="108" customWidth="1"/>
    <col min="14" max="14" width="10.1640625" style="108" customWidth="1"/>
    <col min="15" max="15" width="12.83203125" style="108" customWidth="1"/>
    <col min="16" max="16" width="14.5" style="108" customWidth="1"/>
    <col min="17" max="17" width="10.83203125" style="108" bestFit="1" customWidth="1"/>
    <col min="18" max="18" width="9.1640625" style="108"/>
    <col min="19" max="21" width="24.33203125" style="108" bestFit="1" customWidth="1"/>
    <col min="22" max="16384" width="9.1640625" style="108"/>
  </cols>
  <sheetData>
    <row r="1" spans="1:23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Payroll Worksheet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</row>
    <row r="3" spans="1:23">
      <c r="B3" s="230" t="s">
        <v>76</v>
      </c>
      <c r="C3" s="230"/>
      <c r="D3" s="231"/>
      <c r="E3" s="232"/>
      <c r="F3" s="232"/>
      <c r="G3" s="232"/>
      <c r="H3" s="233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</row>
    <row r="4" spans="1:23" ht="30.75" customHeight="1">
      <c r="B4" s="231"/>
      <c r="C4" s="234" t="s">
        <v>78</v>
      </c>
      <c r="D4" s="235" t="s">
        <v>79</v>
      </c>
      <c r="E4" s="767" t="s">
        <v>487</v>
      </c>
      <c r="F4" s="236" t="s">
        <v>488</v>
      </c>
      <c r="G4" s="236" t="s">
        <v>489</v>
      </c>
      <c r="H4" s="236" t="s">
        <v>490</v>
      </c>
      <c r="I4" s="236" t="s">
        <v>491</v>
      </c>
      <c r="J4" s="237" t="s">
        <v>492</v>
      </c>
      <c r="K4" s="236" t="s">
        <v>205</v>
      </c>
      <c r="L4" s="237" t="s">
        <v>921</v>
      </c>
      <c r="N4" s="1072" t="s">
        <v>924</v>
      </c>
      <c r="O4" s="1094"/>
      <c r="P4" s="1094"/>
      <c r="Q4" s="1073"/>
      <c r="R4" s="232"/>
      <c r="U4" s="232"/>
      <c r="V4" s="232"/>
      <c r="W4" s="232"/>
    </row>
    <row r="5" spans="1:23">
      <c r="B5" s="238" t="s">
        <v>77</v>
      </c>
      <c r="C5" s="239" t="s">
        <v>80</v>
      </c>
      <c r="D5" s="231"/>
      <c r="E5" s="232"/>
      <c r="F5" s="232"/>
      <c r="G5" s="233"/>
      <c r="H5" s="233"/>
      <c r="I5" s="232"/>
      <c r="J5" s="232"/>
      <c r="K5" s="232"/>
      <c r="L5" s="232"/>
      <c r="M5" s="232"/>
      <c r="R5" s="232"/>
      <c r="U5" s="232"/>
      <c r="V5" s="232"/>
      <c r="W5" s="232"/>
    </row>
    <row r="6" spans="1:23">
      <c r="C6" s="768" t="s">
        <v>1009</v>
      </c>
      <c r="D6" s="769" t="s">
        <v>469</v>
      </c>
      <c r="E6" s="770">
        <f>+$Q$6/12</f>
        <v>5833.333333333333</v>
      </c>
      <c r="F6" s="244" t="s">
        <v>81</v>
      </c>
      <c r="G6" s="245">
        <f>E6*$Q$7</f>
        <v>0</v>
      </c>
      <c r="H6" s="244" t="s">
        <v>81</v>
      </c>
      <c r="I6" s="771">
        <v>0</v>
      </c>
      <c r="J6" s="247">
        <f>SUM(E6+(E6*I6))</f>
        <v>5833.333333333333</v>
      </c>
      <c r="K6" s="772">
        <v>45108</v>
      </c>
      <c r="L6" s="249">
        <v>45473</v>
      </c>
      <c r="M6" s="232"/>
      <c r="N6" s="1095" t="s">
        <v>942</v>
      </c>
      <c r="O6" s="1096"/>
      <c r="P6" s="1097"/>
      <c r="Q6" s="773">
        <v>70000</v>
      </c>
      <c r="R6" s="232"/>
      <c r="U6" s="232"/>
      <c r="V6" s="232"/>
      <c r="W6" s="232"/>
    </row>
    <row r="7" spans="1:23">
      <c r="B7" s="774"/>
      <c r="C7" s="775"/>
      <c r="D7" s="132"/>
      <c r="K7" s="131"/>
      <c r="L7" s="132"/>
      <c r="M7" s="233"/>
      <c r="N7" s="1088" t="s">
        <v>1010</v>
      </c>
      <c r="O7" s="1089"/>
      <c r="P7" s="1090"/>
      <c r="Q7" s="776">
        <v>0</v>
      </c>
      <c r="R7" s="777"/>
      <c r="U7" s="777"/>
      <c r="V7" s="777"/>
      <c r="W7" s="777"/>
    </row>
    <row r="8" spans="1:23">
      <c r="B8" s="231"/>
      <c r="C8" s="778" t="s">
        <v>82</v>
      </c>
      <c r="D8" s="779"/>
      <c r="E8" s="780"/>
      <c r="F8" s="258"/>
      <c r="G8" s="257"/>
      <c r="H8" s="259"/>
      <c r="I8" s="260"/>
      <c r="J8" s="261"/>
      <c r="K8" s="781"/>
      <c r="L8" s="782"/>
      <c r="M8" s="232"/>
      <c r="N8" s="1088" t="s">
        <v>1011</v>
      </c>
      <c r="O8" s="1089"/>
      <c r="P8" s="1090"/>
      <c r="Q8" s="194">
        <v>0</v>
      </c>
      <c r="R8" s="232"/>
    </row>
    <row r="9" spans="1:23">
      <c r="B9" s="231"/>
      <c r="C9" s="778"/>
      <c r="D9" s="779"/>
      <c r="E9" s="780"/>
      <c r="F9" s="258"/>
      <c r="G9" s="257"/>
      <c r="H9" s="259"/>
      <c r="I9" s="260"/>
      <c r="J9" s="261"/>
      <c r="K9" s="781"/>
      <c r="L9" s="782"/>
      <c r="M9" s="232"/>
      <c r="N9" s="1088" t="s">
        <v>1127</v>
      </c>
      <c r="O9" s="1089"/>
      <c r="P9" s="1090"/>
      <c r="Q9" s="212">
        <v>0</v>
      </c>
      <c r="R9" s="232"/>
    </row>
    <row r="10" spans="1:23">
      <c r="B10" s="231"/>
      <c r="C10" s="783" t="s">
        <v>1009</v>
      </c>
      <c r="D10" s="790" t="s">
        <v>1008</v>
      </c>
      <c r="E10" s="784" t="s">
        <v>81</v>
      </c>
      <c r="F10" s="785">
        <v>0</v>
      </c>
      <c r="G10" s="786"/>
      <c r="H10" s="787">
        <v>0</v>
      </c>
      <c r="I10" s="788">
        <v>0</v>
      </c>
      <c r="J10" s="273">
        <f>SUM(F10+(F10*I10))</f>
        <v>0</v>
      </c>
      <c r="K10" s="275"/>
      <c r="L10" s="274"/>
      <c r="M10" s="259"/>
      <c r="N10" s="1088" t="s">
        <v>40</v>
      </c>
      <c r="O10" s="1089"/>
      <c r="P10" s="1090"/>
      <c r="Q10" s="194">
        <v>100</v>
      </c>
      <c r="R10" s="232"/>
    </row>
    <row r="11" spans="1:23">
      <c r="B11" s="231"/>
      <c r="C11" s="783" t="s">
        <v>1009</v>
      </c>
      <c r="D11" s="790" t="s">
        <v>1008</v>
      </c>
      <c r="E11" s="784" t="s">
        <v>81</v>
      </c>
      <c r="F11" s="785">
        <v>0</v>
      </c>
      <c r="G11" s="786"/>
      <c r="H11" s="787">
        <v>0</v>
      </c>
      <c r="I11" s="788">
        <v>0</v>
      </c>
      <c r="J11" s="273">
        <f t="shared" ref="J11:J21" si="0">SUM(F11+(F11*I11))</f>
        <v>0</v>
      </c>
      <c r="K11" s="275"/>
      <c r="L11" s="274"/>
      <c r="M11" s="259"/>
      <c r="N11" s="1088" t="s">
        <v>200</v>
      </c>
      <c r="O11" s="1089"/>
      <c r="P11" s="1090"/>
      <c r="Q11" s="194">
        <v>100</v>
      </c>
      <c r="R11" s="789"/>
    </row>
    <row r="12" spans="1:23">
      <c r="B12" s="231"/>
      <c r="C12" s="783" t="s">
        <v>1009</v>
      </c>
      <c r="D12" s="790" t="s">
        <v>1008</v>
      </c>
      <c r="E12" s="784" t="s">
        <v>81</v>
      </c>
      <c r="F12" s="785">
        <v>0</v>
      </c>
      <c r="G12" s="786"/>
      <c r="H12" s="787">
        <v>0</v>
      </c>
      <c r="I12" s="788">
        <v>0</v>
      </c>
      <c r="J12" s="273">
        <f>SUM(F12+(F12*I12))</f>
        <v>0</v>
      </c>
      <c r="K12" s="275"/>
      <c r="L12" s="274"/>
      <c r="M12" s="260"/>
      <c r="N12" s="1088" t="s">
        <v>156</v>
      </c>
      <c r="O12" s="1089"/>
      <c r="P12" s="1090"/>
      <c r="Q12" s="194">
        <v>505</v>
      </c>
      <c r="R12" s="253"/>
      <c r="S12" s="253"/>
    </row>
    <row r="13" spans="1:23">
      <c r="B13" s="231"/>
      <c r="C13" s="783" t="s">
        <v>1009</v>
      </c>
      <c r="D13" s="790" t="s">
        <v>1008</v>
      </c>
      <c r="E13" s="784" t="s">
        <v>81</v>
      </c>
      <c r="F13" s="785">
        <v>0</v>
      </c>
      <c r="G13" s="786"/>
      <c r="H13" s="787">
        <v>0</v>
      </c>
      <c r="I13" s="788">
        <v>0</v>
      </c>
      <c r="J13" s="273">
        <f t="shared" si="0"/>
        <v>0</v>
      </c>
      <c r="K13" s="275"/>
      <c r="L13" s="274"/>
      <c r="M13" s="791"/>
      <c r="N13" s="1088" t="s">
        <v>202</v>
      </c>
      <c r="O13" s="1089"/>
      <c r="P13" s="1090"/>
      <c r="Q13" s="194">
        <v>32</v>
      </c>
      <c r="R13" s="264"/>
      <c r="S13" s="264"/>
    </row>
    <row r="14" spans="1:23">
      <c r="B14" s="231"/>
      <c r="C14" s="783" t="s">
        <v>1009</v>
      </c>
      <c r="D14" s="790" t="s">
        <v>1008</v>
      </c>
      <c r="E14" s="784" t="s">
        <v>81</v>
      </c>
      <c r="F14" s="785">
        <v>0</v>
      </c>
      <c r="G14" s="786"/>
      <c r="H14" s="787">
        <v>0</v>
      </c>
      <c r="I14" s="788">
        <v>0</v>
      </c>
      <c r="J14" s="273">
        <f t="shared" si="0"/>
        <v>0</v>
      </c>
      <c r="K14" s="275"/>
      <c r="L14" s="274"/>
      <c r="M14" s="791"/>
      <c r="N14" s="1088" t="s">
        <v>204</v>
      </c>
      <c r="O14" s="1089"/>
      <c r="P14" s="1090"/>
      <c r="Q14" s="792">
        <f>+ROUNDUP(0.5*Q16,0)</f>
        <v>1</v>
      </c>
      <c r="R14" s="264"/>
      <c r="S14" s="264"/>
    </row>
    <row r="15" spans="1:23">
      <c r="B15" s="231"/>
      <c r="C15" s="783" t="s">
        <v>1009</v>
      </c>
      <c r="D15" s="790" t="s">
        <v>1008</v>
      </c>
      <c r="E15" s="784" t="s">
        <v>81</v>
      </c>
      <c r="F15" s="785">
        <v>0</v>
      </c>
      <c r="G15" s="786"/>
      <c r="H15" s="787">
        <v>0</v>
      </c>
      <c r="I15" s="788">
        <v>0</v>
      </c>
      <c r="J15" s="273">
        <f t="shared" si="0"/>
        <v>0</v>
      </c>
      <c r="K15" s="275"/>
      <c r="L15" s="274"/>
      <c r="M15" s="791"/>
      <c r="N15" s="1088" t="s">
        <v>1006</v>
      </c>
      <c r="O15" s="1089"/>
      <c r="P15" s="1090"/>
      <c r="Q15" s="776">
        <v>0.28999999999999998</v>
      </c>
      <c r="R15" s="264"/>
      <c r="S15" s="264"/>
    </row>
    <row r="16" spans="1:23">
      <c r="B16" s="231"/>
      <c r="C16" s="783" t="s">
        <v>1009</v>
      </c>
      <c r="D16" s="790" t="s">
        <v>1008</v>
      </c>
      <c r="E16" s="784" t="s">
        <v>81</v>
      </c>
      <c r="F16" s="785">
        <v>0</v>
      </c>
      <c r="G16" s="786"/>
      <c r="H16" s="787">
        <v>0</v>
      </c>
      <c r="I16" s="788">
        <v>0</v>
      </c>
      <c r="J16" s="273">
        <f t="shared" si="0"/>
        <v>0</v>
      </c>
      <c r="K16" s="275"/>
      <c r="L16" s="274"/>
      <c r="M16" s="791"/>
      <c r="N16" s="1091" t="s">
        <v>203</v>
      </c>
      <c r="O16" s="1092"/>
      <c r="P16" s="1093"/>
      <c r="Q16" s="793">
        <v>1</v>
      </c>
      <c r="R16" s="264"/>
      <c r="S16" s="264"/>
    </row>
    <row r="17" spans="2:19">
      <c r="B17" s="231"/>
      <c r="C17" s="783" t="s">
        <v>1009</v>
      </c>
      <c r="D17" s="790" t="s">
        <v>1008</v>
      </c>
      <c r="E17" s="784" t="s">
        <v>81</v>
      </c>
      <c r="F17" s="785">
        <v>0</v>
      </c>
      <c r="G17" s="786"/>
      <c r="H17" s="787">
        <v>0</v>
      </c>
      <c r="I17" s="788">
        <v>0</v>
      </c>
      <c r="J17" s="273">
        <f t="shared" si="0"/>
        <v>0</v>
      </c>
      <c r="K17" s="275"/>
      <c r="L17" s="274"/>
      <c r="M17" s="791"/>
      <c r="N17" s="232"/>
      <c r="O17" s="232"/>
      <c r="P17" s="232"/>
      <c r="Q17" s="264"/>
      <c r="R17" s="264"/>
      <c r="S17" s="264"/>
    </row>
    <row r="18" spans="2:19" outlineLevel="1">
      <c r="B18" s="231"/>
      <c r="C18" s="783" t="s">
        <v>1009</v>
      </c>
      <c r="D18" s="790" t="s">
        <v>1008</v>
      </c>
      <c r="E18" s="784" t="s">
        <v>81</v>
      </c>
      <c r="F18" s="785">
        <v>0</v>
      </c>
      <c r="G18" s="786"/>
      <c r="H18" s="787">
        <v>0</v>
      </c>
      <c r="I18" s="788">
        <v>0</v>
      </c>
      <c r="J18" s="273">
        <f t="shared" si="0"/>
        <v>0</v>
      </c>
      <c r="K18" s="275"/>
      <c r="L18" s="274"/>
      <c r="M18" s="791"/>
      <c r="N18" s="232"/>
      <c r="O18" s="794"/>
      <c r="P18" s="232"/>
      <c r="Q18" s="264"/>
      <c r="R18" s="264"/>
      <c r="S18" s="264"/>
    </row>
    <row r="19" spans="2:19" outlineLevel="1">
      <c r="B19" s="231"/>
      <c r="C19" s="783" t="s">
        <v>1009</v>
      </c>
      <c r="D19" s="790" t="s">
        <v>1008</v>
      </c>
      <c r="E19" s="784" t="s">
        <v>81</v>
      </c>
      <c r="F19" s="785">
        <v>0</v>
      </c>
      <c r="G19" s="786"/>
      <c r="H19" s="787">
        <v>0</v>
      </c>
      <c r="I19" s="788">
        <v>0</v>
      </c>
      <c r="J19" s="273">
        <f t="shared" si="0"/>
        <v>0</v>
      </c>
      <c r="K19" s="275"/>
      <c r="L19" s="274"/>
      <c r="M19" s="791"/>
      <c r="N19" s="232"/>
      <c r="O19" s="794"/>
      <c r="P19" s="232"/>
      <c r="Q19" s="264"/>
      <c r="R19" s="264"/>
      <c r="S19" s="264"/>
    </row>
    <row r="20" spans="2:19" outlineLevel="1">
      <c r="B20" s="231"/>
      <c r="C20" s="783" t="s">
        <v>1009</v>
      </c>
      <c r="D20" s="790" t="s">
        <v>1008</v>
      </c>
      <c r="E20" s="784" t="s">
        <v>81</v>
      </c>
      <c r="F20" s="785">
        <v>0</v>
      </c>
      <c r="G20" s="786"/>
      <c r="H20" s="787">
        <v>0</v>
      </c>
      <c r="I20" s="788">
        <v>0</v>
      </c>
      <c r="J20" s="273">
        <f t="shared" si="0"/>
        <v>0</v>
      </c>
      <c r="K20" s="275"/>
      <c r="L20" s="274"/>
      <c r="M20" s="791"/>
      <c r="N20" s="232"/>
      <c r="O20" s="794"/>
      <c r="P20" s="232"/>
      <c r="Q20" s="264"/>
      <c r="R20" s="264"/>
      <c r="S20" s="264"/>
    </row>
    <row r="21" spans="2:19" outlineLevel="1">
      <c r="B21" s="231"/>
      <c r="C21" s="783" t="s">
        <v>1009</v>
      </c>
      <c r="D21" s="790" t="s">
        <v>1008</v>
      </c>
      <c r="E21" s="784" t="s">
        <v>81</v>
      </c>
      <c r="F21" s="785">
        <v>0</v>
      </c>
      <c r="G21" s="786"/>
      <c r="H21" s="787">
        <v>0</v>
      </c>
      <c r="I21" s="788">
        <v>0</v>
      </c>
      <c r="J21" s="273">
        <f t="shared" si="0"/>
        <v>0</v>
      </c>
      <c r="K21" s="275"/>
      <c r="L21" s="274"/>
      <c r="M21" s="791"/>
      <c r="N21" s="232"/>
      <c r="O21" s="794"/>
      <c r="P21" s="232"/>
      <c r="Q21" s="264"/>
      <c r="R21" s="264"/>
      <c r="S21" s="264"/>
    </row>
    <row r="22" spans="2:19" outlineLevel="1">
      <c r="B22" s="231"/>
      <c r="C22" s="287"/>
      <c r="D22" s="795"/>
      <c r="E22" s="796"/>
      <c r="F22" s="282"/>
      <c r="G22" s="283"/>
      <c r="H22" s="259"/>
      <c r="I22" s="260"/>
      <c r="J22" s="284"/>
      <c r="K22" s="797"/>
      <c r="L22" s="284"/>
      <c r="M22" s="791"/>
      <c r="N22" s="232"/>
      <c r="O22" s="794"/>
      <c r="P22" s="232"/>
      <c r="Q22" s="264"/>
      <c r="R22" s="264"/>
      <c r="S22" s="264"/>
    </row>
    <row r="23" spans="2:19">
      <c r="B23" s="231"/>
      <c r="C23" s="778" t="s">
        <v>80</v>
      </c>
      <c r="D23" s="798"/>
      <c r="E23" s="799"/>
      <c r="F23" s="258"/>
      <c r="G23" s="257"/>
      <c r="H23" s="259"/>
      <c r="I23" s="260"/>
      <c r="J23" s="261"/>
      <c r="K23" s="797"/>
      <c r="L23" s="261"/>
      <c r="M23" s="259"/>
      <c r="N23" s="231"/>
      <c r="O23" s="794"/>
      <c r="P23" s="232"/>
      <c r="Q23" s="264"/>
      <c r="R23" s="264"/>
      <c r="S23" s="264"/>
    </row>
    <row r="24" spans="2:19">
      <c r="B24" s="238" t="s">
        <v>83</v>
      </c>
      <c r="C24" s="783" t="s">
        <v>1009</v>
      </c>
      <c r="D24" s="790" t="s">
        <v>507</v>
      </c>
      <c r="E24" s="784" t="s">
        <v>81</v>
      </c>
      <c r="F24" s="785">
        <v>30</v>
      </c>
      <c r="G24" s="800">
        <f>+$Q$8/3</f>
        <v>0</v>
      </c>
      <c r="H24" s="787">
        <v>0</v>
      </c>
      <c r="I24" s="788">
        <v>0</v>
      </c>
      <c r="J24" s="273">
        <f>SUM(F24+(F24*I24))</f>
        <v>30</v>
      </c>
      <c r="K24" s="275">
        <v>45108</v>
      </c>
      <c r="L24" s="274">
        <v>45473</v>
      </c>
      <c r="M24" s="260"/>
      <c r="N24" s="232"/>
      <c r="O24" s="232"/>
      <c r="P24" s="232"/>
      <c r="Q24" s="232"/>
      <c r="R24" s="232"/>
      <c r="S24" s="232"/>
    </row>
    <row r="25" spans="2:19">
      <c r="B25" s="774"/>
      <c r="C25" s="783" t="s">
        <v>1009</v>
      </c>
      <c r="D25" s="790" t="s">
        <v>1008</v>
      </c>
      <c r="E25" s="784" t="s">
        <v>81</v>
      </c>
      <c r="F25" s="785">
        <v>0</v>
      </c>
      <c r="G25" s="786"/>
      <c r="H25" s="787">
        <v>0</v>
      </c>
      <c r="I25" s="788">
        <v>0</v>
      </c>
      <c r="J25" s="273">
        <f>SUM(F25+(F25*I25))</f>
        <v>0</v>
      </c>
      <c r="K25" s="275"/>
      <c r="L25" s="274"/>
      <c r="M25" s="233"/>
      <c r="N25" s="777"/>
      <c r="O25" s="777"/>
      <c r="P25" s="777"/>
      <c r="Q25" s="777"/>
      <c r="R25" s="777"/>
      <c r="S25" s="777"/>
    </row>
    <row r="26" spans="2:19">
      <c r="B26" s="231"/>
      <c r="C26" s="783" t="s">
        <v>1009</v>
      </c>
      <c r="D26" s="790" t="s">
        <v>1008</v>
      </c>
      <c r="E26" s="784" t="s">
        <v>81</v>
      </c>
      <c r="F26" s="785">
        <v>0</v>
      </c>
      <c r="G26" s="786"/>
      <c r="H26" s="787">
        <v>0</v>
      </c>
      <c r="I26" s="788">
        <v>0</v>
      </c>
      <c r="J26" s="273">
        <f t="shared" ref="J26:J31" si="1">SUM(F26+(F26*I26))</f>
        <v>0</v>
      </c>
      <c r="K26" s="275"/>
      <c r="L26" s="274"/>
      <c r="M26" s="260"/>
      <c r="N26" s="232"/>
      <c r="O26" s="794"/>
      <c r="P26" s="232"/>
      <c r="Q26" s="232"/>
      <c r="R26" s="232"/>
      <c r="S26" s="232"/>
    </row>
    <row r="27" spans="2:19">
      <c r="B27" s="231"/>
      <c r="C27" s="783" t="s">
        <v>1009</v>
      </c>
      <c r="D27" s="790" t="s">
        <v>1008</v>
      </c>
      <c r="E27" s="784" t="s">
        <v>81</v>
      </c>
      <c r="F27" s="785">
        <v>0</v>
      </c>
      <c r="G27" s="786"/>
      <c r="H27" s="787">
        <v>0</v>
      </c>
      <c r="I27" s="788">
        <v>0</v>
      </c>
      <c r="J27" s="273">
        <f t="shared" si="1"/>
        <v>0</v>
      </c>
      <c r="K27" s="275"/>
      <c r="L27" s="274"/>
      <c r="M27" s="791"/>
      <c r="N27" s="801"/>
      <c r="O27" s="794"/>
      <c r="P27" s="232"/>
      <c r="Q27" s="232"/>
      <c r="R27" s="232"/>
      <c r="S27" s="232"/>
    </row>
    <row r="28" spans="2:19">
      <c r="B28" s="231"/>
      <c r="C28" s="783" t="s">
        <v>1009</v>
      </c>
      <c r="D28" s="790" t="s">
        <v>1008</v>
      </c>
      <c r="E28" s="784" t="s">
        <v>81</v>
      </c>
      <c r="F28" s="785">
        <v>0</v>
      </c>
      <c r="G28" s="786"/>
      <c r="H28" s="787">
        <v>0</v>
      </c>
      <c r="I28" s="788">
        <v>0</v>
      </c>
      <c r="J28" s="273">
        <f t="shared" si="1"/>
        <v>0</v>
      </c>
      <c r="K28" s="275"/>
      <c r="L28" s="274"/>
      <c r="M28" s="791"/>
      <c r="N28" s="232"/>
      <c r="O28" s="232"/>
      <c r="P28" s="232"/>
      <c r="Q28" s="232"/>
      <c r="R28" s="232"/>
      <c r="S28" s="232"/>
    </row>
    <row r="29" spans="2:19">
      <c r="B29" s="231"/>
      <c r="C29" s="783" t="s">
        <v>1009</v>
      </c>
      <c r="D29" s="790" t="s">
        <v>1008</v>
      </c>
      <c r="E29" s="784" t="s">
        <v>81</v>
      </c>
      <c r="F29" s="785">
        <v>0</v>
      </c>
      <c r="G29" s="786"/>
      <c r="H29" s="787">
        <v>0</v>
      </c>
      <c r="I29" s="788">
        <v>0</v>
      </c>
      <c r="J29" s="273">
        <f t="shared" si="1"/>
        <v>0</v>
      </c>
      <c r="K29" s="275"/>
      <c r="L29" s="274"/>
      <c r="M29" s="791"/>
      <c r="N29" s="232"/>
      <c r="O29" s="232"/>
      <c r="P29" s="232"/>
      <c r="Q29" s="232"/>
      <c r="R29" s="232"/>
      <c r="S29" s="232"/>
    </row>
    <row r="30" spans="2:19">
      <c r="B30" s="231"/>
      <c r="C30" s="783" t="s">
        <v>1009</v>
      </c>
      <c r="D30" s="790" t="s">
        <v>1008</v>
      </c>
      <c r="E30" s="784" t="s">
        <v>81</v>
      </c>
      <c r="F30" s="785">
        <v>0</v>
      </c>
      <c r="G30" s="786"/>
      <c r="H30" s="787">
        <v>0</v>
      </c>
      <c r="I30" s="788">
        <v>0</v>
      </c>
      <c r="J30" s="273">
        <f t="shared" si="1"/>
        <v>0</v>
      </c>
      <c r="K30" s="275"/>
      <c r="L30" s="274"/>
      <c r="M30" s="791"/>
      <c r="N30" s="232"/>
      <c r="O30" s="232"/>
      <c r="P30" s="232"/>
      <c r="Q30" s="232"/>
      <c r="R30" s="232"/>
      <c r="S30" s="232"/>
    </row>
    <row r="31" spans="2:19">
      <c r="B31" s="231"/>
      <c r="C31" s="783" t="s">
        <v>1009</v>
      </c>
      <c r="D31" s="790" t="s">
        <v>1008</v>
      </c>
      <c r="E31" s="784" t="s">
        <v>81</v>
      </c>
      <c r="F31" s="785">
        <v>0</v>
      </c>
      <c r="G31" s="786"/>
      <c r="H31" s="787">
        <v>0</v>
      </c>
      <c r="I31" s="788">
        <v>0</v>
      </c>
      <c r="J31" s="273">
        <f t="shared" si="1"/>
        <v>0</v>
      </c>
      <c r="K31" s="275"/>
      <c r="L31" s="274"/>
      <c r="M31" s="791"/>
      <c r="N31" s="232"/>
      <c r="O31" s="232"/>
      <c r="P31" s="232"/>
      <c r="Q31" s="232"/>
      <c r="R31" s="232"/>
      <c r="S31" s="232"/>
    </row>
    <row r="32" spans="2:19">
      <c r="B32" s="231"/>
      <c r="C32" s="783" t="s">
        <v>1009</v>
      </c>
      <c r="D32" s="790" t="s">
        <v>1008</v>
      </c>
      <c r="E32" s="784" t="s">
        <v>81</v>
      </c>
      <c r="F32" s="785">
        <v>0</v>
      </c>
      <c r="G32" s="786"/>
      <c r="H32" s="787">
        <v>0</v>
      </c>
      <c r="I32" s="788">
        <v>0</v>
      </c>
      <c r="J32" s="273">
        <f>SUM(F32+(F32*I32))</f>
        <v>0</v>
      </c>
      <c r="K32" s="275"/>
      <c r="L32" s="274"/>
      <c r="M32" s="791"/>
      <c r="N32" s="232"/>
      <c r="O32" s="232"/>
      <c r="P32" s="232"/>
      <c r="Q32" s="232"/>
      <c r="R32" s="232"/>
      <c r="S32" s="232"/>
    </row>
    <row r="33" spans="2:19">
      <c r="B33" s="231"/>
      <c r="C33" s="802" t="s">
        <v>1009</v>
      </c>
      <c r="D33" s="803" t="s">
        <v>1008</v>
      </c>
      <c r="E33" s="804" t="s">
        <v>81</v>
      </c>
      <c r="F33" s="805">
        <v>0</v>
      </c>
      <c r="G33" s="806"/>
      <c r="H33" s="807">
        <v>0</v>
      </c>
      <c r="I33" s="808">
        <v>0</v>
      </c>
      <c r="J33" s="809">
        <f>SUM(F33+(F33*I33))</f>
        <v>0</v>
      </c>
      <c r="K33" s="298"/>
      <c r="L33" s="299"/>
      <c r="M33" s="791"/>
      <c r="N33" s="232"/>
      <c r="O33" s="232"/>
      <c r="P33" s="232"/>
      <c r="Q33" s="232"/>
      <c r="R33" s="232"/>
      <c r="S33" s="232"/>
    </row>
    <row r="34" spans="2:19">
      <c r="B34" s="231"/>
      <c r="M34" s="791"/>
      <c r="N34" s="232"/>
      <c r="O34" s="232"/>
      <c r="P34" s="232"/>
      <c r="Q34" s="232"/>
      <c r="R34" s="232"/>
      <c r="S34" s="232"/>
    </row>
    <row r="35" spans="2:19">
      <c r="B35" s="230" t="s">
        <v>84</v>
      </c>
      <c r="C35" s="230"/>
      <c r="D35" s="231"/>
      <c r="E35" s="232"/>
      <c r="F35" s="232"/>
      <c r="G35" s="259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32"/>
      <c r="S35" s="232"/>
    </row>
    <row r="36" spans="2:19" hidden="1">
      <c r="B36" s="231"/>
      <c r="C36" s="231"/>
      <c r="D36" s="231" t="s">
        <v>1040</v>
      </c>
      <c r="E36" s="232">
        <f t="shared" ref="E36:P36" si="2">+COUNTIF(E41:E54,"&gt;0")+COUNTIF(E59:E68,"&gt;0")</f>
        <v>0</v>
      </c>
      <c r="F36" s="232">
        <f t="shared" si="2"/>
        <v>0</v>
      </c>
      <c r="G36" s="232">
        <f t="shared" si="2"/>
        <v>0</v>
      </c>
      <c r="H36" s="232">
        <f t="shared" si="2"/>
        <v>0</v>
      </c>
      <c r="I36" s="232">
        <f t="shared" si="2"/>
        <v>0</v>
      </c>
      <c r="J36" s="232">
        <f t="shared" si="2"/>
        <v>0</v>
      </c>
      <c r="K36" s="232">
        <f t="shared" si="2"/>
        <v>0</v>
      </c>
      <c r="L36" s="232">
        <f t="shared" si="2"/>
        <v>0</v>
      </c>
      <c r="M36" s="232">
        <f t="shared" si="2"/>
        <v>0</v>
      </c>
      <c r="N36" s="232">
        <f t="shared" si="2"/>
        <v>0</v>
      </c>
      <c r="O36" s="232">
        <f t="shared" si="2"/>
        <v>0</v>
      </c>
      <c r="P36" s="232">
        <f t="shared" si="2"/>
        <v>0</v>
      </c>
      <c r="Q36" s="232"/>
      <c r="R36" s="232"/>
      <c r="S36" s="232"/>
    </row>
    <row r="37" spans="2:19" hidden="1">
      <c r="B37" s="231"/>
      <c r="C37" s="231"/>
      <c r="D37" s="101" t="s">
        <v>204</v>
      </c>
      <c r="E37" s="304">
        <f>+ROUNDUP(E36/2,0)</f>
        <v>0</v>
      </c>
      <c r="F37" s="305">
        <f t="shared" ref="F37:P37" si="3">+ROUNDUP(F36/2,0)</f>
        <v>0</v>
      </c>
      <c r="G37" s="304">
        <f t="shared" si="3"/>
        <v>0</v>
      </c>
      <c r="H37" s="304">
        <f t="shared" si="3"/>
        <v>0</v>
      </c>
      <c r="I37" s="304">
        <f t="shared" si="3"/>
        <v>0</v>
      </c>
      <c r="J37" s="304">
        <f t="shared" si="3"/>
        <v>0</v>
      </c>
      <c r="K37" s="304">
        <f t="shared" si="3"/>
        <v>0</v>
      </c>
      <c r="L37" s="304">
        <f t="shared" si="3"/>
        <v>0</v>
      </c>
      <c r="M37" s="304">
        <f t="shared" si="3"/>
        <v>0</v>
      </c>
      <c r="N37" s="304">
        <f t="shared" si="3"/>
        <v>0</v>
      </c>
      <c r="O37" s="304">
        <f t="shared" si="3"/>
        <v>0</v>
      </c>
      <c r="P37" s="304">
        <f t="shared" si="3"/>
        <v>0</v>
      </c>
      <c r="Q37" s="232"/>
      <c r="R37" s="232"/>
      <c r="S37" s="232"/>
    </row>
    <row r="38" spans="2:19" ht="18.75" customHeight="1">
      <c r="B38" s="238"/>
      <c r="C38" s="234" t="s">
        <v>78</v>
      </c>
      <c r="D38" s="235" t="s">
        <v>79</v>
      </c>
      <c r="E38" s="306">
        <f>'Operating Budget'!F4</f>
        <v>45901</v>
      </c>
      <c r="F38" s="306">
        <f>'Operating Budget'!G4</f>
        <v>45961</v>
      </c>
      <c r="G38" s="306">
        <f>'Operating Budget'!H4</f>
        <v>45991</v>
      </c>
      <c r="H38" s="306">
        <f>'Operating Budget'!I4</f>
        <v>46022</v>
      </c>
      <c r="I38" s="306">
        <f>'Operating Budget'!J4</f>
        <v>46053</v>
      </c>
      <c r="J38" s="306">
        <f>'Operating Budget'!K4</f>
        <v>46081</v>
      </c>
      <c r="K38" s="306">
        <f>'Operating Budget'!L4</f>
        <v>46112</v>
      </c>
      <c r="L38" s="306">
        <f>'Operating Budget'!M4</f>
        <v>46142</v>
      </c>
      <c r="M38" s="306">
        <f>'Operating Budget'!N4</f>
        <v>46173</v>
      </c>
      <c r="N38" s="306">
        <f>'Operating Budget'!O4</f>
        <v>46203</v>
      </c>
      <c r="O38" s="306">
        <f>'Operating Budget'!P4</f>
        <v>46234</v>
      </c>
      <c r="P38" s="306">
        <f>'Operating Budget'!Q4</f>
        <v>46265</v>
      </c>
      <c r="Q38" s="307" t="str">
        <f>'Operating Budget'!R4</f>
        <v>Year 1 Total</v>
      </c>
    </row>
    <row r="39" spans="2:19">
      <c r="C39" s="238"/>
      <c r="D39" s="231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308"/>
    </row>
    <row r="40" spans="2:19">
      <c r="B40" s="238" t="s">
        <v>85</v>
      </c>
      <c r="C40" s="231" t="str">
        <f>IF(+C5="","",C5)</f>
        <v>Salaried Employees</v>
      </c>
      <c r="D40" s="231" t="str">
        <f>IF(+D5="","",D5)</f>
        <v/>
      </c>
      <c r="E40" s="232"/>
      <c r="F40" s="232"/>
      <c r="G40" s="232"/>
      <c r="H40" s="810"/>
      <c r="I40" s="232"/>
      <c r="J40" s="232"/>
      <c r="K40" s="232"/>
      <c r="L40" s="232"/>
      <c r="M40" s="232"/>
      <c r="N40" s="232"/>
      <c r="O40" s="232"/>
      <c r="P40" s="232"/>
      <c r="Q40" s="308"/>
    </row>
    <row r="41" spans="2:19">
      <c r="B41" s="231"/>
      <c r="C41" s="231" t="str">
        <f>IF(+C6="","",C6)</f>
        <v>[Employee Name TBD]</v>
      </c>
      <c r="D41" s="231" t="str">
        <f>IF(+D6="","",D6)</f>
        <v>Property Manager</v>
      </c>
      <c r="E41" s="309">
        <f t="shared" ref="E41:P41" si="4">IF(AND($K6&lt;=E$38,$L6&gt;=E$38),$J6,0)</f>
        <v>0</v>
      </c>
      <c r="F41" s="309">
        <f t="shared" si="4"/>
        <v>0</v>
      </c>
      <c r="G41" s="309">
        <f t="shared" si="4"/>
        <v>0</v>
      </c>
      <c r="H41" s="309">
        <f t="shared" si="4"/>
        <v>0</v>
      </c>
      <c r="I41" s="309">
        <f t="shared" si="4"/>
        <v>0</v>
      </c>
      <c r="J41" s="309">
        <f t="shared" si="4"/>
        <v>0</v>
      </c>
      <c r="K41" s="309">
        <f t="shared" si="4"/>
        <v>0</v>
      </c>
      <c r="L41" s="309">
        <f t="shared" si="4"/>
        <v>0</v>
      </c>
      <c r="M41" s="309">
        <f t="shared" si="4"/>
        <v>0</v>
      </c>
      <c r="N41" s="309">
        <f t="shared" si="4"/>
        <v>0</v>
      </c>
      <c r="O41" s="309">
        <f t="shared" si="4"/>
        <v>0</v>
      </c>
      <c r="P41" s="309">
        <f t="shared" si="4"/>
        <v>0</v>
      </c>
      <c r="Q41" s="310">
        <f>+SUBTOTAL(9,E41:P41)</f>
        <v>0</v>
      </c>
    </row>
    <row r="42" spans="2:19">
      <c r="B42" s="231"/>
      <c r="C42" s="239" t="str">
        <f>IF(+C8="","",C8)</f>
        <v>Hourly Employees</v>
      </c>
      <c r="D42" s="231" t="str">
        <f>IF(+D8="","",D8)</f>
        <v/>
      </c>
      <c r="E42" s="311"/>
      <c r="F42" s="311"/>
      <c r="G42" s="311"/>
      <c r="H42" s="311"/>
      <c r="I42" s="311"/>
      <c r="J42" s="311"/>
      <c r="K42" s="311"/>
      <c r="L42" s="311"/>
      <c r="M42" s="311"/>
      <c r="N42" s="311"/>
      <c r="O42" s="311"/>
      <c r="P42" s="311"/>
      <c r="Q42" s="312"/>
    </row>
    <row r="43" spans="2:19">
      <c r="B43" s="231"/>
      <c r="C43" s="231" t="str">
        <f t="shared" ref="C43:D54" si="5">IF(+C10="","",C10)</f>
        <v>[Employee Name TBD]</v>
      </c>
      <c r="D43" s="231" t="str">
        <f t="shared" si="5"/>
        <v>[ Placeholder]</v>
      </c>
      <c r="E43" s="309">
        <f t="shared" ref="E43:P43" si="6">IF(AND($K10&lt;=E$38,$L10&gt;=E$38),$J10*$H10*52/12,0)</f>
        <v>0</v>
      </c>
      <c r="F43" s="309">
        <f t="shared" si="6"/>
        <v>0</v>
      </c>
      <c r="G43" s="309">
        <f t="shared" si="6"/>
        <v>0</v>
      </c>
      <c r="H43" s="309">
        <f t="shared" si="6"/>
        <v>0</v>
      </c>
      <c r="I43" s="309">
        <f t="shared" si="6"/>
        <v>0</v>
      </c>
      <c r="J43" s="309">
        <f t="shared" si="6"/>
        <v>0</v>
      </c>
      <c r="K43" s="309">
        <f t="shared" si="6"/>
        <v>0</v>
      </c>
      <c r="L43" s="309">
        <f t="shared" si="6"/>
        <v>0</v>
      </c>
      <c r="M43" s="309">
        <f t="shared" si="6"/>
        <v>0</v>
      </c>
      <c r="N43" s="309">
        <f t="shared" si="6"/>
        <v>0</v>
      </c>
      <c r="O43" s="309">
        <f t="shared" si="6"/>
        <v>0</v>
      </c>
      <c r="P43" s="309">
        <f t="shared" si="6"/>
        <v>0</v>
      </c>
      <c r="Q43" s="310">
        <f>+SUBTOTAL(9,E43:P43)</f>
        <v>0</v>
      </c>
    </row>
    <row r="44" spans="2:19">
      <c r="B44" s="231"/>
      <c r="C44" s="231" t="str">
        <f t="shared" si="5"/>
        <v>[Employee Name TBD]</v>
      </c>
      <c r="D44" s="231" t="str">
        <f t="shared" si="5"/>
        <v>[ Placeholder]</v>
      </c>
      <c r="E44" s="309">
        <f t="shared" ref="E44:P44" si="7">IF(AND($K11&lt;=E$38,$L11&gt;=E$38),$J11*$H11*52/12,0)</f>
        <v>0</v>
      </c>
      <c r="F44" s="309">
        <f t="shared" si="7"/>
        <v>0</v>
      </c>
      <c r="G44" s="309">
        <f t="shared" si="7"/>
        <v>0</v>
      </c>
      <c r="H44" s="309">
        <f t="shared" si="7"/>
        <v>0</v>
      </c>
      <c r="I44" s="309">
        <f t="shared" si="7"/>
        <v>0</v>
      </c>
      <c r="J44" s="309">
        <f t="shared" si="7"/>
        <v>0</v>
      </c>
      <c r="K44" s="309">
        <f t="shared" si="7"/>
        <v>0</v>
      </c>
      <c r="L44" s="309">
        <f t="shared" si="7"/>
        <v>0</v>
      </c>
      <c r="M44" s="309">
        <f t="shared" si="7"/>
        <v>0</v>
      </c>
      <c r="N44" s="309">
        <f t="shared" si="7"/>
        <v>0</v>
      </c>
      <c r="O44" s="309">
        <f t="shared" si="7"/>
        <v>0</v>
      </c>
      <c r="P44" s="309">
        <f t="shared" si="7"/>
        <v>0</v>
      </c>
      <c r="Q44" s="310">
        <f>+SUBTOTAL(9,E44:P44)</f>
        <v>0</v>
      </c>
    </row>
    <row r="45" spans="2:19">
      <c r="B45" s="231"/>
      <c r="C45" s="231" t="str">
        <f t="shared" si="5"/>
        <v>[Employee Name TBD]</v>
      </c>
      <c r="D45" s="231" t="str">
        <f t="shared" si="5"/>
        <v>[ Placeholder]</v>
      </c>
      <c r="E45" s="309">
        <f t="shared" ref="E45:P45" si="8">IF(AND($K12&lt;=E$38,$L12&gt;=E$38),$J12*$H12*52/12,0)</f>
        <v>0</v>
      </c>
      <c r="F45" s="309">
        <f t="shared" si="8"/>
        <v>0</v>
      </c>
      <c r="G45" s="309">
        <f t="shared" si="8"/>
        <v>0</v>
      </c>
      <c r="H45" s="309">
        <f t="shared" si="8"/>
        <v>0</v>
      </c>
      <c r="I45" s="309">
        <f t="shared" si="8"/>
        <v>0</v>
      </c>
      <c r="J45" s="309">
        <f t="shared" si="8"/>
        <v>0</v>
      </c>
      <c r="K45" s="309">
        <f t="shared" si="8"/>
        <v>0</v>
      </c>
      <c r="L45" s="309">
        <f t="shared" si="8"/>
        <v>0</v>
      </c>
      <c r="M45" s="309">
        <f t="shared" si="8"/>
        <v>0</v>
      </c>
      <c r="N45" s="309">
        <f t="shared" si="8"/>
        <v>0</v>
      </c>
      <c r="O45" s="309">
        <f t="shared" si="8"/>
        <v>0</v>
      </c>
      <c r="P45" s="309">
        <f t="shared" si="8"/>
        <v>0</v>
      </c>
      <c r="Q45" s="310">
        <f>+SUBTOTAL(9,E45:P45)</f>
        <v>0</v>
      </c>
    </row>
    <row r="46" spans="2:19">
      <c r="B46" s="231"/>
      <c r="C46" s="231" t="str">
        <f t="shared" si="5"/>
        <v>[Employee Name TBD]</v>
      </c>
      <c r="D46" s="231" t="str">
        <f t="shared" si="5"/>
        <v>[ Placeholder]</v>
      </c>
      <c r="E46" s="309">
        <f t="shared" ref="E46:P46" si="9">IF(AND($K13&lt;=E$38,$L13&gt;=E$38),$J13*$H13*52/12,0)</f>
        <v>0</v>
      </c>
      <c r="F46" s="309">
        <f t="shared" si="9"/>
        <v>0</v>
      </c>
      <c r="G46" s="309">
        <f t="shared" si="9"/>
        <v>0</v>
      </c>
      <c r="H46" s="309">
        <f t="shared" si="9"/>
        <v>0</v>
      </c>
      <c r="I46" s="309">
        <f t="shared" si="9"/>
        <v>0</v>
      </c>
      <c r="J46" s="309">
        <f t="shared" si="9"/>
        <v>0</v>
      </c>
      <c r="K46" s="309">
        <f t="shared" si="9"/>
        <v>0</v>
      </c>
      <c r="L46" s="309">
        <f t="shared" si="9"/>
        <v>0</v>
      </c>
      <c r="M46" s="309">
        <f t="shared" si="9"/>
        <v>0</v>
      </c>
      <c r="N46" s="309">
        <f t="shared" si="9"/>
        <v>0</v>
      </c>
      <c r="O46" s="309">
        <f t="shared" si="9"/>
        <v>0</v>
      </c>
      <c r="P46" s="309">
        <f t="shared" si="9"/>
        <v>0</v>
      </c>
      <c r="Q46" s="310">
        <f>+SUBTOTAL(9,E46:P46)</f>
        <v>0</v>
      </c>
    </row>
    <row r="47" spans="2:19">
      <c r="B47" s="231"/>
      <c r="C47" s="231" t="str">
        <f t="shared" si="5"/>
        <v>[Employee Name TBD]</v>
      </c>
      <c r="D47" s="231" t="str">
        <f t="shared" si="5"/>
        <v>[ Placeholder]</v>
      </c>
      <c r="E47" s="309">
        <f t="shared" ref="E47:P47" si="10">IF(AND($K14&lt;=E$38,$L14&gt;=E$38),$J14*$H14*52/12,0)</f>
        <v>0</v>
      </c>
      <c r="F47" s="309">
        <f t="shared" si="10"/>
        <v>0</v>
      </c>
      <c r="G47" s="309">
        <f t="shared" si="10"/>
        <v>0</v>
      </c>
      <c r="H47" s="309">
        <f t="shared" si="10"/>
        <v>0</v>
      </c>
      <c r="I47" s="309">
        <f t="shared" si="10"/>
        <v>0</v>
      </c>
      <c r="J47" s="309">
        <f t="shared" si="10"/>
        <v>0</v>
      </c>
      <c r="K47" s="309">
        <f t="shared" si="10"/>
        <v>0</v>
      </c>
      <c r="L47" s="309">
        <f t="shared" si="10"/>
        <v>0</v>
      </c>
      <c r="M47" s="309">
        <f t="shared" si="10"/>
        <v>0</v>
      </c>
      <c r="N47" s="309">
        <f t="shared" si="10"/>
        <v>0</v>
      </c>
      <c r="O47" s="309">
        <f t="shared" si="10"/>
        <v>0</v>
      </c>
      <c r="P47" s="309">
        <f t="shared" si="10"/>
        <v>0</v>
      </c>
      <c r="Q47" s="310">
        <f>+SUBTOTAL(9,E47:P47)</f>
        <v>0</v>
      </c>
    </row>
    <row r="48" spans="2:19" outlineLevel="1">
      <c r="B48" s="231"/>
      <c r="C48" s="231" t="str">
        <f t="shared" si="5"/>
        <v>[Employee Name TBD]</v>
      </c>
      <c r="D48" s="231" t="str">
        <f t="shared" si="5"/>
        <v>[ Placeholder]</v>
      </c>
      <c r="E48" s="309">
        <f t="shared" ref="E48:P48" si="11">IF(AND($K15&lt;=E$38,$L15&gt;=E$38),$J15*$H15*52/12,0)</f>
        <v>0</v>
      </c>
      <c r="F48" s="309">
        <f t="shared" si="11"/>
        <v>0</v>
      </c>
      <c r="G48" s="309">
        <f t="shared" si="11"/>
        <v>0</v>
      </c>
      <c r="H48" s="309">
        <f t="shared" si="11"/>
        <v>0</v>
      </c>
      <c r="I48" s="309">
        <f t="shared" si="11"/>
        <v>0</v>
      </c>
      <c r="J48" s="309">
        <f t="shared" si="11"/>
        <v>0</v>
      </c>
      <c r="K48" s="309">
        <f t="shared" si="11"/>
        <v>0</v>
      </c>
      <c r="L48" s="309">
        <f t="shared" si="11"/>
        <v>0</v>
      </c>
      <c r="M48" s="309">
        <f t="shared" si="11"/>
        <v>0</v>
      </c>
      <c r="N48" s="309">
        <f t="shared" si="11"/>
        <v>0</v>
      </c>
      <c r="O48" s="309">
        <f t="shared" si="11"/>
        <v>0</v>
      </c>
      <c r="P48" s="309">
        <f t="shared" si="11"/>
        <v>0</v>
      </c>
      <c r="Q48" s="310">
        <f t="shared" ref="Q48:Q54" si="12">+SUBTOTAL(9,E48:P48)</f>
        <v>0</v>
      </c>
    </row>
    <row r="49" spans="2:17" outlineLevel="1">
      <c r="B49" s="231"/>
      <c r="C49" s="231" t="str">
        <f t="shared" si="5"/>
        <v>[Employee Name TBD]</v>
      </c>
      <c r="D49" s="231" t="str">
        <f t="shared" si="5"/>
        <v>[ Placeholder]</v>
      </c>
      <c r="E49" s="309">
        <f t="shared" ref="E49:P49" si="13">IF(AND($K16&lt;=E$38,$L16&gt;=E$38),$J16*$H16*52/12,0)</f>
        <v>0</v>
      </c>
      <c r="F49" s="309">
        <f t="shared" si="13"/>
        <v>0</v>
      </c>
      <c r="G49" s="309">
        <f t="shared" si="13"/>
        <v>0</v>
      </c>
      <c r="H49" s="309">
        <f t="shared" si="13"/>
        <v>0</v>
      </c>
      <c r="I49" s="309">
        <f t="shared" si="13"/>
        <v>0</v>
      </c>
      <c r="J49" s="309">
        <f t="shared" si="13"/>
        <v>0</v>
      </c>
      <c r="K49" s="309">
        <f t="shared" si="13"/>
        <v>0</v>
      </c>
      <c r="L49" s="309">
        <f t="shared" si="13"/>
        <v>0</v>
      </c>
      <c r="M49" s="309">
        <f t="shared" si="13"/>
        <v>0</v>
      </c>
      <c r="N49" s="309">
        <f t="shared" si="13"/>
        <v>0</v>
      </c>
      <c r="O49" s="309">
        <f t="shared" si="13"/>
        <v>0</v>
      </c>
      <c r="P49" s="309">
        <f t="shared" si="13"/>
        <v>0</v>
      </c>
      <c r="Q49" s="310">
        <f t="shared" si="12"/>
        <v>0</v>
      </c>
    </row>
    <row r="50" spans="2:17" outlineLevel="1">
      <c r="B50" s="231"/>
      <c r="C50" s="231" t="str">
        <f t="shared" si="5"/>
        <v>[Employee Name TBD]</v>
      </c>
      <c r="D50" s="231" t="str">
        <f t="shared" si="5"/>
        <v>[ Placeholder]</v>
      </c>
      <c r="E50" s="309">
        <f t="shared" ref="E50:P50" si="14">IF(AND($K17&lt;=E$38,$L17&gt;=E$38),$J17*$H17*52/12,0)</f>
        <v>0</v>
      </c>
      <c r="F50" s="309">
        <f t="shared" si="14"/>
        <v>0</v>
      </c>
      <c r="G50" s="309">
        <f t="shared" si="14"/>
        <v>0</v>
      </c>
      <c r="H50" s="309">
        <f t="shared" si="14"/>
        <v>0</v>
      </c>
      <c r="I50" s="309">
        <f t="shared" si="14"/>
        <v>0</v>
      </c>
      <c r="J50" s="309">
        <f t="shared" si="14"/>
        <v>0</v>
      </c>
      <c r="K50" s="309">
        <f t="shared" si="14"/>
        <v>0</v>
      </c>
      <c r="L50" s="309">
        <f t="shared" si="14"/>
        <v>0</v>
      </c>
      <c r="M50" s="309">
        <f t="shared" si="14"/>
        <v>0</v>
      </c>
      <c r="N50" s="309">
        <f t="shared" si="14"/>
        <v>0</v>
      </c>
      <c r="O50" s="309">
        <f t="shared" si="14"/>
        <v>0</v>
      </c>
      <c r="P50" s="309">
        <f t="shared" si="14"/>
        <v>0</v>
      </c>
      <c r="Q50" s="310">
        <f t="shared" si="12"/>
        <v>0</v>
      </c>
    </row>
    <row r="51" spans="2:17" outlineLevel="1">
      <c r="B51" s="231"/>
      <c r="C51" s="231" t="str">
        <f t="shared" si="5"/>
        <v>[Employee Name TBD]</v>
      </c>
      <c r="D51" s="231" t="str">
        <f t="shared" si="5"/>
        <v>[ Placeholder]</v>
      </c>
      <c r="E51" s="309">
        <f t="shared" ref="E51:P51" si="15">IF(AND($K18&lt;=E$38,$L18&gt;=E$38),$J18*$H18*52/12,0)</f>
        <v>0</v>
      </c>
      <c r="F51" s="309">
        <f t="shared" si="15"/>
        <v>0</v>
      </c>
      <c r="G51" s="309">
        <f t="shared" si="15"/>
        <v>0</v>
      </c>
      <c r="H51" s="309">
        <f t="shared" si="15"/>
        <v>0</v>
      </c>
      <c r="I51" s="309">
        <f t="shared" si="15"/>
        <v>0</v>
      </c>
      <c r="J51" s="309">
        <f t="shared" si="15"/>
        <v>0</v>
      </c>
      <c r="K51" s="309">
        <f t="shared" si="15"/>
        <v>0</v>
      </c>
      <c r="L51" s="309">
        <f t="shared" si="15"/>
        <v>0</v>
      </c>
      <c r="M51" s="309">
        <f t="shared" si="15"/>
        <v>0</v>
      </c>
      <c r="N51" s="309">
        <f t="shared" si="15"/>
        <v>0</v>
      </c>
      <c r="O51" s="309">
        <f t="shared" si="15"/>
        <v>0</v>
      </c>
      <c r="P51" s="309">
        <f t="shared" si="15"/>
        <v>0</v>
      </c>
      <c r="Q51" s="310">
        <f t="shared" si="12"/>
        <v>0</v>
      </c>
    </row>
    <row r="52" spans="2:17" outlineLevel="1">
      <c r="B52" s="231"/>
      <c r="C52" s="231" t="str">
        <f t="shared" si="5"/>
        <v>[Employee Name TBD]</v>
      </c>
      <c r="D52" s="231" t="str">
        <f t="shared" si="5"/>
        <v>[ Placeholder]</v>
      </c>
      <c r="E52" s="309">
        <f t="shared" ref="E52:P52" si="16">IF(AND($K19&lt;=E$38,$L19&gt;=E$38),$J19*$H19*52/12,0)</f>
        <v>0</v>
      </c>
      <c r="F52" s="309">
        <f t="shared" si="16"/>
        <v>0</v>
      </c>
      <c r="G52" s="309">
        <f t="shared" si="16"/>
        <v>0</v>
      </c>
      <c r="H52" s="309">
        <f t="shared" si="16"/>
        <v>0</v>
      </c>
      <c r="I52" s="309">
        <f t="shared" si="16"/>
        <v>0</v>
      </c>
      <c r="J52" s="309">
        <f t="shared" si="16"/>
        <v>0</v>
      </c>
      <c r="K52" s="309">
        <f t="shared" si="16"/>
        <v>0</v>
      </c>
      <c r="L52" s="309">
        <f t="shared" si="16"/>
        <v>0</v>
      </c>
      <c r="M52" s="309">
        <f t="shared" si="16"/>
        <v>0</v>
      </c>
      <c r="N52" s="309">
        <f t="shared" si="16"/>
        <v>0</v>
      </c>
      <c r="O52" s="309">
        <f t="shared" si="16"/>
        <v>0</v>
      </c>
      <c r="P52" s="309">
        <f t="shared" si="16"/>
        <v>0</v>
      </c>
      <c r="Q52" s="310">
        <f t="shared" si="12"/>
        <v>0</v>
      </c>
    </row>
    <row r="53" spans="2:17" outlineLevel="1">
      <c r="B53" s="231"/>
      <c r="C53" s="231" t="str">
        <f t="shared" si="5"/>
        <v>[Employee Name TBD]</v>
      </c>
      <c r="D53" s="231" t="str">
        <f t="shared" si="5"/>
        <v>[ Placeholder]</v>
      </c>
      <c r="E53" s="309">
        <f t="shared" ref="E53:P53" si="17">IF(AND($K20&lt;=E$38,$L20&gt;=E$38),$J20*$H20*52/12,0)</f>
        <v>0</v>
      </c>
      <c r="F53" s="309">
        <f t="shared" si="17"/>
        <v>0</v>
      </c>
      <c r="G53" s="309">
        <f t="shared" si="17"/>
        <v>0</v>
      </c>
      <c r="H53" s="309">
        <f t="shared" si="17"/>
        <v>0</v>
      </c>
      <c r="I53" s="309">
        <f t="shared" si="17"/>
        <v>0</v>
      </c>
      <c r="J53" s="309">
        <f t="shared" si="17"/>
        <v>0</v>
      </c>
      <c r="K53" s="309">
        <f t="shared" si="17"/>
        <v>0</v>
      </c>
      <c r="L53" s="309">
        <f t="shared" si="17"/>
        <v>0</v>
      </c>
      <c r="M53" s="309">
        <f t="shared" si="17"/>
        <v>0</v>
      </c>
      <c r="N53" s="309">
        <f t="shared" si="17"/>
        <v>0</v>
      </c>
      <c r="O53" s="309">
        <f t="shared" si="17"/>
        <v>0</v>
      </c>
      <c r="P53" s="309">
        <f t="shared" si="17"/>
        <v>0</v>
      </c>
      <c r="Q53" s="310">
        <f t="shared" si="12"/>
        <v>0</v>
      </c>
    </row>
    <row r="54" spans="2:17" outlineLevel="1">
      <c r="B54" s="231"/>
      <c r="C54" s="231" t="str">
        <f t="shared" si="5"/>
        <v>[Employee Name TBD]</v>
      </c>
      <c r="D54" s="231" t="str">
        <f t="shared" si="5"/>
        <v>[ Placeholder]</v>
      </c>
      <c r="E54" s="309">
        <f t="shared" ref="E54:P54" si="18">IF(AND($K21&lt;=E$38,$L21&gt;=E$38),$J21*$H21*52/12,0)</f>
        <v>0</v>
      </c>
      <c r="F54" s="309">
        <f t="shared" si="18"/>
        <v>0</v>
      </c>
      <c r="G54" s="309">
        <f t="shared" si="18"/>
        <v>0</v>
      </c>
      <c r="H54" s="309">
        <f t="shared" si="18"/>
        <v>0</v>
      </c>
      <c r="I54" s="309">
        <f t="shared" si="18"/>
        <v>0</v>
      </c>
      <c r="J54" s="309">
        <f t="shared" si="18"/>
        <v>0</v>
      </c>
      <c r="K54" s="309">
        <f t="shared" si="18"/>
        <v>0</v>
      </c>
      <c r="L54" s="309">
        <f t="shared" si="18"/>
        <v>0</v>
      </c>
      <c r="M54" s="309">
        <f t="shared" si="18"/>
        <v>0</v>
      </c>
      <c r="N54" s="309">
        <f t="shared" si="18"/>
        <v>0</v>
      </c>
      <c r="O54" s="309">
        <f t="shared" si="18"/>
        <v>0</v>
      </c>
      <c r="P54" s="309">
        <f t="shared" si="18"/>
        <v>0</v>
      </c>
      <c r="Q54" s="310">
        <f t="shared" si="12"/>
        <v>0</v>
      </c>
    </row>
    <row r="55" spans="2:17">
      <c r="B55" s="231"/>
      <c r="C55" s="231"/>
      <c r="D55" s="231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4"/>
    </row>
    <row r="56" spans="2:17">
      <c r="B56" s="315"/>
      <c r="C56" s="315" t="s">
        <v>86</v>
      </c>
      <c r="E56" s="317">
        <f t="shared" ref="E56:P56" si="19">SUM(E40:E55)</f>
        <v>0</v>
      </c>
      <c r="F56" s="317">
        <f t="shared" si="19"/>
        <v>0</v>
      </c>
      <c r="G56" s="317">
        <f t="shared" si="19"/>
        <v>0</v>
      </c>
      <c r="H56" s="317">
        <f t="shared" si="19"/>
        <v>0</v>
      </c>
      <c r="I56" s="317">
        <f t="shared" si="19"/>
        <v>0</v>
      </c>
      <c r="J56" s="317">
        <f t="shared" si="19"/>
        <v>0</v>
      </c>
      <c r="K56" s="317">
        <f t="shared" si="19"/>
        <v>0</v>
      </c>
      <c r="L56" s="317">
        <f t="shared" si="19"/>
        <v>0</v>
      </c>
      <c r="M56" s="317">
        <f t="shared" si="19"/>
        <v>0</v>
      </c>
      <c r="N56" s="317">
        <f t="shared" si="19"/>
        <v>0</v>
      </c>
      <c r="O56" s="317">
        <f t="shared" si="19"/>
        <v>0</v>
      </c>
      <c r="P56" s="317">
        <f t="shared" si="19"/>
        <v>0</v>
      </c>
      <c r="Q56" s="811">
        <f>+SUBTOTAL(9,E56:P56)</f>
        <v>0</v>
      </c>
    </row>
    <row r="57" spans="2:17">
      <c r="B57" s="231"/>
      <c r="C57" s="231"/>
      <c r="D57" s="231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4"/>
    </row>
    <row r="58" spans="2:17">
      <c r="B58" s="238" t="s">
        <v>87</v>
      </c>
      <c r="C58" s="239" t="str">
        <f t="shared" ref="C58:D68" si="20">IF(C23="","",C23)</f>
        <v>Salaried Employees</v>
      </c>
      <c r="D58" s="231" t="str">
        <f t="shared" si="20"/>
        <v/>
      </c>
      <c r="E58" s="313"/>
      <c r="F58" s="313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4"/>
    </row>
    <row r="59" spans="2:17">
      <c r="B59" s="231"/>
      <c r="C59" s="231" t="str">
        <f t="shared" si="20"/>
        <v>[Employee Name TBD]</v>
      </c>
      <c r="D59" s="231" t="str">
        <f t="shared" si="20"/>
        <v>Service Supervisor</v>
      </c>
      <c r="E59" s="309">
        <f t="shared" ref="E59:P59" si="21">IF(AND($K24&lt;=E$38,$L24&gt;=E$38),$J24*$H24*52/12,0)</f>
        <v>0</v>
      </c>
      <c r="F59" s="309">
        <f t="shared" si="21"/>
        <v>0</v>
      </c>
      <c r="G59" s="309">
        <f t="shared" si="21"/>
        <v>0</v>
      </c>
      <c r="H59" s="309">
        <f t="shared" si="21"/>
        <v>0</v>
      </c>
      <c r="I59" s="309">
        <f t="shared" si="21"/>
        <v>0</v>
      </c>
      <c r="J59" s="309">
        <f t="shared" si="21"/>
        <v>0</v>
      </c>
      <c r="K59" s="309">
        <f t="shared" si="21"/>
        <v>0</v>
      </c>
      <c r="L59" s="309">
        <f t="shared" si="21"/>
        <v>0</v>
      </c>
      <c r="M59" s="309">
        <f t="shared" si="21"/>
        <v>0</v>
      </c>
      <c r="N59" s="309">
        <f t="shared" si="21"/>
        <v>0</v>
      </c>
      <c r="O59" s="309">
        <f t="shared" si="21"/>
        <v>0</v>
      </c>
      <c r="P59" s="309">
        <f t="shared" si="21"/>
        <v>0</v>
      </c>
      <c r="Q59" s="310">
        <f>+SUBTOTAL(9,E59:P59)</f>
        <v>0</v>
      </c>
    </row>
    <row r="60" spans="2:17">
      <c r="B60" s="231"/>
      <c r="C60" s="231" t="str">
        <f t="shared" si="20"/>
        <v>[Employee Name TBD]</v>
      </c>
      <c r="D60" s="231" t="str">
        <f t="shared" si="20"/>
        <v>[ Placeholder]</v>
      </c>
      <c r="E60" s="309">
        <f t="shared" ref="E60:P60" si="22">IF(AND($K25&lt;=E$38,$L25&gt;=E$38),$J25*$H25*52/12,0)</f>
        <v>0</v>
      </c>
      <c r="F60" s="309">
        <f t="shared" si="22"/>
        <v>0</v>
      </c>
      <c r="G60" s="309">
        <f t="shared" si="22"/>
        <v>0</v>
      </c>
      <c r="H60" s="309">
        <f t="shared" si="22"/>
        <v>0</v>
      </c>
      <c r="I60" s="309">
        <f t="shared" si="22"/>
        <v>0</v>
      </c>
      <c r="J60" s="309">
        <f t="shared" si="22"/>
        <v>0</v>
      </c>
      <c r="K60" s="309">
        <f t="shared" si="22"/>
        <v>0</v>
      </c>
      <c r="L60" s="309">
        <f t="shared" si="22"/>
        <v>0</v>
      </c>
      <c r="M60" s="309">
        <f t="shared" si="22"/>
        <v>0</v>
      </c>
      <c r="N60" s="309">
        <f t="shared" si="22"/>
        <v>0</v>
      </c>
      <c r="O60" s="309">
        <f t="shared" si="22"/>
        <v>0</v>
      </c>
      <c r="P60" s="309">
        <f t="shared" si="22"/>
        <v>0</v>
      </c>
      <c r="Q60" s="310">
        <f>+SUBTOTAL(9,E60:P60)</f>
        <v>0</v>
      </c>
    </row>
    <row r="61" spans="2:17">
      <c r="B61" s="231"/>
      <c r="C61" s="231" t="str">
        <f t="shared" si="20"/>
        <v>[Employee Name TBD]</v>
      </c>
      <c r="D61" s="231" t="str">
        <f t="shared" si="20"/>
        <v>[ Placeholder]</v>
      </c>
      <c r="E61" s="309">
        <f t="shared" ref="E61:P61" si="23">IF(AND($K26&lt;=E$38,$L26&gt;=E$38),$J26*$H26*52/12,0)</f>
        <v>0</v>
      </c>
      <c r="F61" s="309">
        <f t="shared" si="23"/>
        <v>0</v>
      </c>
      <c r="G61" s="309">
        <f t="shared" si="23"/>
        <v>0</v>
      </c>
      <c r="H61" s="309">
        <f t="shared" si="23"/>
        <v>0</v>
      </c>
      <c r="I61" s="309">
        <f t="shared" si="23"/>
        <v>0</v>
      </c>
      <c r="J61" s="309">
        <f t="shared" si="23"/>
        <v>0</v>
      </c>
      <c r="K61" s="309">
        <f t="shared" si="23"/>
        <v>0</v>
      </c>
      <c r="L61" s="309">
        <f t="shared" si="23"/>
        <v>0</v>
      </c>
      <c r="M61" s="309">
        <f t="shared" si="23"/>
        <v>0</v>
      </c>
      <c r="N61" s="309">
        <f t="shared" si="23"/>
        <v>0</v>
      </c>
      <c r="O61" s="309">
        <f t="shared" si="23"/>
        <v>0</v>
      </c>
      <c r="P61" s="309">
        <f t="shared" si="23"/>
        <v>0</v>
      </c>
      <c r="Q61" s="310">
        <f t="shared" ref="Q61:Q68" si="24">+SUBTOTAL(9,E61:P61)</f>
        <v>0</v>
      </c>
    </row>
    <row r="62" spans="2:17">
      <c r="B62" s="231"/>
      <c r="C62" s="231" t="str">
        <f t="shared" si="20"/>
        <v>[Employee Name TBD]</v>
      </c>
      <c r="D62" s="231" t="str">
        <f t="shared" si="20"/>
        <v>[ Placeholder]</v>
      </c>
      <c r="E62" s="309">
        <f t="shared" ref="E62:P62" si="25">IF(AND($K27&lt;=E$38,$L27&gt;=E$38),$J27*$H27*52/12,0)</f>
        <v>0</v>
      </c>
      <c r="F62" s="309">
        <f t="shared" si="25"/>
        <v>0</v>
      </c>
      <c r="G62" s="309">
        <f t="shared" si="25"/>
        <v>0</v>
      </c>
      <c r="H62" s="309">
        <f t="shared" si="25"/>
        <v>0</v>
      </c>
      <c r="I62" s="309">
        <f t="shared" si="25"/>
        <v>0</v>
      </c>
      <c r="J62" s="309">
        <f t="shared" si="25"/>
        <v>0</v>
      </c>
      <c r="K62" s="309">
        <f t="shared" si="25"/>
        <v>0</v>
      </c>
      <c r="L62" s="309">
        <f t="shared" si="25"/>
        <v>0</v>
      </c>
      <c r="M62" s="309">
        <f t="shared" si="25"/>
        <v>0</v>
      </c>
      <c r="N62" s="309">
        <f t="shared" si="25"/>
        <v>0</v>
      </c>
      <c r="O62" s="309">
        <f t="shared" si="25"/>
        <v>0</v>
      </c>
      <c r="P62" s="309">
        <f t="shared" si="25"/>
        <v>0</v>
      </c>
      <c r="Q62" s="310">
        <f t="shared" si="24"/>
        <v>0</v>
      </c>
    </row>
    <row r="63" spans="2:17">
      <c r="B63" s="231"/>
      <c r="C63" s="231" t="str">
        <f t="shared" si="20"/>
        <v>[Employee Name TBD]</v>
      </c>
      <c r="D63" s="231" t="str">
        <f t="shared" si="20"/>
        <v>[ Placeholder]</v>
      </c>
      <c r="E63" s="309">
        <f t="shared" ref="E63:P63" si="26">IF(AND($K28&lt;=E$38,$L28&gt;=E$38),$J28*$H28*52/12,0)</f>
        <v>0</v>
      </c>
      <c r="F63" s="309">
        <f t="shared" si="26"/>
        <v>0</v>
      </c>
      <c r="G63" s="309">
        <f t="shared" si="26"/>
        <v>0</v>
      </c>
      <c r="H63" s="309">
        <f t="shared" si="26"/>
        <v>0</v>
      </c>
      <c r="I63" s="309">
        <f t="shared" si="26"/>
        <v>0</v>
      </c>
      <c r="J63" s="309">
        <f t="shared" si="26"/>
        <v>0</v>
      </c>
      <c r="K63" s="309">
        <f t="shared" si="26"/>
        <v>0</v>
      </c>
      <c r="L63" s="309">
        <f t="shared" si="26"/>
        <v>0</v>
      </c>
      <c r="M63" s="309">
        <f t="shared" si="26"/>
        <v>0</v>
      </c>
      <c r="N63" s="309">
        <f t="shared" si="26"/>
        <v>0</v>
      </c>
      <c r="O63" s="309">
        <f t="shared" si="26"/>
        <v>0</v>
      </c>
      <c r="P63" s="309">
        <f t="shared" si="26"/>
        <v>0</v>
      </c>
      <c r="Q63" s="310">
        <f t="shared" si="24"/>
        <v>0</v>
      </c>
    </row>
    <row r="64" spans="2:17">
      <c r="B64" s="231"/>
      <c r="C64" s="231" t="str">
        <f t="shared" si="20"/>
        <v>[Employee Name TBD]</v>
      </c>
      <c r="D64" s="231" t="str">
        <f t="shared" si="20"/>
        <v>[ Placeholder]</v>
      </c>
      <c r="E64" s="309">
        <f t="shared" ref="E64:P64" si="27">IF(AND($K29&lt;=E$38,$L29&gt;=E$38),$J29*$H29*52/12,0)</f>
        <v>0</v>
      </c>
      <c r="F64" s="309">
        <f t="shared" si="27"/>
        <v>0</v>
      </c>
      <c r="G64" s="309">
        <f t="shared" si="27"/>
        <v>0</v>
      </c>
      <c r="H64" s="309">
        <f t="shared" si="27"/>
        <v>0</v>
      </c>
      <c r="I64" s="309">
        <f t="shared" si="27"/>
        <v>0</v>
      </c>
      <c r="J64" s="309">
        <f t="shared" si="27"/>
        <v>0</v>
      </c>
      <c r="K64" s="309">
        <f t="shared" si="27"/>
        <v>0</v>
      </c>
      <c r="L64" s="309">
        <f t="shared" si="27"/>
        <v>0</v>
      </c>
      <c r="M64" s="309">
        <f t="shared" si="27"/>
        <v>0</v>
      </c>
      <c r="N64" s="309">
        <f t="shared" si="27"/>
        <v>0</v>
      </c>
      <c r="O64" s="309">
        <f t="shared" si="27"/>
        <v>0</v>
      </c>
      <c r="P64" s="309">
        <f t="shared" si="27"/>
        <v>0</v>
      </c>
      <c r="Q64" s="310">
        <f t="shared" si="24"/>
        <v>0</v>
      </c>
    </row>
    <row r="65" spans="1:22" outlineLevel="1">
      <c r="B65" s="231"/>
      <c r="C65" s="231" t="str">
        <f t="shared" si="20"/>
        <v>[Employee Name TBD]</v>
      </c>
      <c r="D65" s="231" t="str">
        <f t="shared" si="20"/>
        <v>[ Placeholder]</v>
      </c>
      <c r="E65" s="309">
        <f t="shared" ref="E65:P65" si="28">IF(AND($K30&lt;=E$38,$L30&gt;=E$38),$J30*$H30*52/12,0)</f>
        <v>0</v>
      </c>
      <c r="F65" s="309">
        <f t="shared" si="28"/>
        <v>0</v>
      </c>
      <c r="G65" s="309">
        <f t="shared" si="28"/>
        <v>0</v>
      </c>
      <c r="H65" s="309">
        <f t="shared" si="28"/>
        <v>0</v>
      </c>
      <c r="I65" s="309">
        <f t="shared" si="28"/>
        <v>0</v>
      </c>
      <c r="J65" s="309">
        <f t="shared" si="28"/>
        <v>0</v>
      </c>
      <c r="K65" s="309">
        <f t="shared" si="28"/>
        <v>0</v>
      </c>
      <c r="L65" s="309">
        <f t="shared" si="28"/>
        <v>0</v>
      </c>
      <c r="M65" s="309">
        <f t="shared" si="28"/>
        <v>0</v>
      </c>
      <c r="N65" s="309">
        <f t="shared" si="28"/>
        <v>0</v>
      </c>
      <c r="O65" s="309">
        <f t="shared" si="28"/>
        <v>0</v>
      </c>
      <c r="P65" s="309">
        <f t="shared" si="28"/>
        <v>0</v>
      </c>
      <c r="Q65" s="310">
        <f t="shared" si="24"/>
        <v>0</v>
      </c>
    </row>
    <row r="66" spans="1:22" outlineLevel="1">
      <c r="B66" s="231"/>
      <c r="C66" s="231" t="str">
        <f t="shared" si="20"/>
        <v>[Employee Name TBD]</v>
      </c>
      <c r="D66" s="231" t="str">
        <f t="shared" si="20"/>
        <v>[ Placeholder]</v>
      </c>
      <c r="E66" s="309">
        <f t="shared" ref="E66:P66" si="29">IF(AND($K31&lt;=E$38,$L31&gt;=E$38),$J31*$H31*52/12,0)</f>
        <v>0</v>
      </c>
      <c r="F66" s="309">
        <f t="shared" si="29"/>
        <v>0</v>
      </c>
      <c r="G66" s="309">
        <f t="shared" si="29"/>
        <v>0</v>
      </c>
      <c r="H66" s="309">
        <f t="shared" si="29"/>
        <v>0</v>
      </c>
      <c r="I66" s="309">
        <f t="shared" si="29"/>
        <v>0</v>
      </c>
      <c r="J66" s="309">
        <f t="shared" si="29"/>
        <v>0</v>
      </c>
      <c r="K66" s="309">
        <f t="shared" si="29"/>
        <v>0</v>
      </c>
      <c r="L66" s="309">
        <f t="shared" si="29"/>
        <v>0</v>
      </c>
      <c r="M66" s="309">
        <f t="shared" si="29"/>
        <v>0</v>
      </c>
      <c r="N66" s="309">
        <f t="shared" si="29"/>
        <v>0</v>
      </c>
      <c r="O66" s="309">
        <f t="shared" si="29"/>
        <v>0</v>
      </c>
      <c r="P66" s="309">
        <f t="shared" si="29"/>
        <v>0</v>
      </c>
      <c r="Q66" s="310">
        <f t="shared" si="24"/>
        <v>0</v>
      </c>
    </row>
    <row r="67" spans="1:22" outlineLevel="1">
      <c r="B67" s="231"/>
      <c r="C67" s="231" t="str">
        <f t="shared" si="20"/>
        <v>[Employee Name TBD]</v>
      </c>
      <c r="D67" s="231" t="str">
        <f t="shared" si="20"/>
        <v>[ Placeholder]</v>
      </c>
      <c r="E67" s="309">
        <f t="shared" ref="E67:P67" si="30">IF(AND($K32&lt;=E$38,$L32&gt;=E$38),$J32*$H32*52/12,0)</f>
        <v>0</v>
      </c>
      <c r="F67" s="309">
        <f t="shared" si="30"/>
        <v>0</v>
      </c>
      <c r="G67" s="309">
        <f t="shared" si="30"/>
        <v>0</v>
      </c>
      <c r="H67" s="309">
        <f t="shared" si="30"/>
        <v>0</v>
      </c>
      <c r="I67" s="309">
        <f t="shared" si="30"/>
        <v>0</v>
      </c>
      <c r="J67" s="309">
        <f t="shared" si="30"/>
        <v>0</v>
      </c>
      <c r="K67" s="309">
        <f t="shared" si="30"/>
        <v>0</v>
      </c>
      <c r="L67" s="309">
        <f t="shared" si="30"/>
        <v>0</v>
      </c>
      <c r="M67" s="309">
        <f t="shared" si="30"/>
        <v>0</v>
      </c>
      <c r="N67" s="309">
        <f t="shared" si="30"/>
        <v>0</v>
      </c>
      <c r="O67" s="309">
        <f t="shared" si="30"/>
        <v>0</v>
      </c>
      <c r="P67" s="309">
        <f t="shared" si="30"/>
        <v>0</v>
      </c>
      <c r="Q67" s="310">
        <f t="shared" si="24"/>
        <v>0</v>
      </c>
    </row>
    <row r="68" spans="1:22" outlineLevel="1">
      <c r="B68" s="231"/>
      <c r="C68" s="231" t="str">
        <f t="shared" si="20"/>
        <v>[Employee Name TBD]</v>
      </c>
      <c r="D68" s="231" t="str">
        <f t="shared" si="20"/>
        <v>[ Placeholder]</v>
      </c>
      <c r="E68" s="309">
        <f t="shared" ref="E68:P68" si="31">IF(AND($K33&lt;=E$38,$L33&gt;=E$38),$J33*$H33*52/12,0)</f>
        <v>0</v>
      </c>
      <c r="F68" s="309">
        <f t="shared" si="31"/>
        <v>0</v>
      </c>
      <c r="G68" s="309">
        <f t="shared" si="31"/>
        <v>0</v>
      </c>
      <c r="H68" s="309">
        <f t="shared" si="31"/>
        <v>0</v>
      </c>
      <c r="I68" s="309">
        <f t="shared" si="31"/>
        <v>0</v>
      </c>
      <c r="J68" s="309">
        <f t="shared" si="31"/>
        <v>0</v>
      </c>
      <c r="K68" s="309">
        <f t="shared" si="31"/>
        <v>0</v>
      </c>
      <c r="L68" s="309">
        <f t="shared" si="31"/>
        <v>0</v>
      </c>
      <c r="M68" s="309">
        <f t="shared" si="31"/>
        <v>0</v>
      </c>
      <c r="N68" s="309">
        <f t="shared" si="31"/>
        <v>0</v>
      </c>
      <c r="O68" s="309">
        <f t="shared" si="31"/>
        <v>0</v>
      </c>
      <c r="P68" s="309">
        <f t="shared" si="31"/>
        <v>0</v>
      </c>
      <c r="Q68" s="310">
        <f t="shared" si="24"/>
        <v>0</v>
      </c>
    </row>
    <row r="69" spans="1:22">
      <c r="B69" s="231"/>
      <c r="C69" s="231" t="str">
        <f>IF(C34="","",C34)</f>
        <v/>
      </c>
      <c r="D69" s="231"/>
      <c r="E69" s="313"/>
      <c r="F69" s="313"/>
      <c r="G69" s="313"/>
      <c r="H69" s="313"/>
      <c r="I69" s="313"/>
      <c r="J69" s="313"/>
      <c r="K69" s="313"/>
      <c r="L69" s="313"/>
      <c r="M69" s="313"/>
      <c r="N69" s="313"/>
      <c r="O69" s="313"/>
      <c r="P69" s="313"/>
      <c r="Q69" s="314"/>
    </row>
    <row r="70" spans="1:22">
      <c r="B70" s="315"/>
      <c r="C70" s="315" t="s">
        <v>88</v>
      </c>
      <c r="E70" s="812">
        <f t="shared" ref="E70:P70" si="32">SUM(E58:E69)</f>
        <v>0</v>
      </c>
      <c r="F70" s="812">
        <f t="shared" si="32"/>
        <v>0</v>
      </c>
      <c r="G70" s="812">
        <f t="shared" si="32"/>
        <v>0</v>
      </c>
      <c r="H70" s="812">
        <f t="shared" si="32"/>
        <v>0</v>
      </c>
      <c r="I70" s="812">
        <f t="shared" si="32"/>
        <v>0</v>
      </c>
      <c r="J70" s="812">
        <f t="shared" si="32"/>
        <v>0</v>
      </c>
      <c r="K70" s="812">
        <f t="shared" si="32"/>
        <v>0</v>
      </c>
      <c r="L70" s="812">
        <f t="shared" si="32"/>
        <v>0</v>
      </c>
      <c r="M70" s="812">
        <f t="shared" si="32"/>
        <v>0</v>
      </c>
      <c r="N70" s="812">
        <f t="shared" si="32"/>
        <v>0</v>
      </c>
      <c r="O70" s="812">
        <f t="shared" si="32"/>
        <v>0</v>
      </c>
      <c r="P70" s="812">
        <f t="shared" si="32"/>
        <v>0</v>
      </c>
      <c r="Q70" s="811">
        <f>+SUBTOTAL(9,E70:P70)</f>
        <v>0</v>
      </c>
    </row>
    <row r="71" spans="1:22">
      <c r="B71" s="231"/>
      <c r="C71" s="231"/>
      <c r="D71" s="231"/>
      <c r="E71" s="313"/>
      <c r="F71" s="313"/>
      <c r="G71" s="313"/>
      <c r="H71" s="313"/>
      <c r="I71" s="313"/>
      <c r="J71" s="313"/>
      <c r="K71" s="313"/>
      <c r="L71" s="313"/>
      <c r="M71" s="313"/>
      <c r="N71" s="313"/>
      <c r="O71" s="313"/>
      <c r="P71" s="313"/>
      <c r="Q71" s="314"/>
    </row>
    <row r="72" spans="1:22">
      <c r="B72" s="238" t="s">
        <v>89</v>
      </c>
      <c r="C72" s="238"/>
      <c r="D72" s="231"/>
      <c r="E72" s="313"/>
      <c r="F72" s="313"/>
      <c r="G72" s="313"/>
      <c r="H72" s="313"/>
      <c r="I72" s="313"/>
      <c r="J72" s="313"/>
      <c r="K72" s="313"/>
      <c r="L72" s="313"/>
      <c r="M72" s="313"/>
      <c r="N72" s="313"/>
      <c r="O72" s="313"/>
      <c r="P72" s="313"/>
      <c r="Q72" s="314"/>
    </row>
    <row r="73" spans="1:22">
      <c r="A73" s="319">
        <f>INDEX(QS_Chart_Of_Accounts_Upload!$C:$O,MATCH(B73,QS_Chart_Of_Accounts_Upload!$E:$E,0),MATCH("ACCT_NO",QS_Chart_Of_Accounts_Upload!$C$1:$O$1,0))</f>
        <v>5020</v>
      </c>
      <c r="B73" s="320" t="s">
        <v>470</v>
      </c>
      <c r="C73" s="321"/>
      <c r="D73" s="231"/>
      <c r="E73" s="309">
        <f t="shared" ref="E73:P73" si="33">+E56</f>
        <v>0</v>
      </c>
      <c r="F73" s="309">
        <f t="shared" si="33"/>
        <v>0</v>
      </c>
      <c r="G73" s="309">
        <f t="shared" si="33"/>
        <v>0</v>
      </c>
      <c r="H73" s="309">
        <f t="shared" si="33"/>
        <v>0</v>
      </c>
      <c r="I73" s="309">
        <f t="shared" si="33"/>
        <v>0</v>
      </c>
      <c r="J73" s="309">
        <f t="shared" si="33"/>
        <v>0</v>
      </c>
      <c r="K73" s="309">
        <f t="shared" si="33"/>
        <v>0</v>
      </c>
      <c r="L73" s="309">
        <f t="shared" si="33"/>
        <v>0</v>
      </c>
      <c r="M73" s="309">
        <f t="shared" si="33"/>
        <v>0</v>
      </c>
      <c r="N73" s="309">
        <f t="shared" si="33"/>
        <v>0</v>
      </c>
      <c r="O73" s="309">
        <f t="shared" si="33"/>
        <v>0</v>
      </c>
      <c r="P73" s="309">
        <f t="shared" si="33"/>
        <v>0</v>
      </c>
      <c r="Q73" s="310">
        <f t="shared" ref="Q73:Q83" si="34">+SUBTOTAL(9,E73:P73)</f>
        <v>0</v>
      </c>
    </row>
    <row r="74" spans="1:22">
      <c r="A74" s="319">
        <f>INDEX(QS_Chart_Of_Accounts_Upload!$C:$O,MATCH(B74,QS_Chart_Of_Accounts_Upload!$E:$E,0),MATCH("ACCT_NO",QS_Chart_Of_Accounts_Upload!$C$1:$O$1,0))</f>
        <v>5035</v>
      </c>
      <c r="B74" s="322" t="s">
        <v>288</v>
      </c>
      <c r="C74" s="321"/>
      <c r="D74" s="231"/>
      <c r="E74" s="309">
        <f>SUM($Q$10*'Revenue Worksheet'!D16+$Q$11*'Revenue Worksheet'!D11)</f>
        <v>2000</v>
      </c>
      <c r="F74" s="309">
        <f>SUM($Q$10*'Revenue Worksheet'!E16+$Q$11*'Revenue Worksheet'!E11)</f>
        <v>300</v>
      </c>
      <c r="G74" s="309">
        <f>SUM($Q$10*'Revenue Worksheet'!F16+$Q$11*'Revenue Worksheet'!F11)</f>
        <v>0</v>
      </c>
      <c r="H74" s="309">
        <f>SUM($Q$10*'Revenue Worksheet'!G16+$Q$11*'Revenue Worksheet'!G11)</f>
        <v>0</v>
      </c>
      <c r="I74" s="309">
        <f>SUM($Q$10*'Revenue Worksheet'!H16+$Q$11*'Revenue Worksheet'!H11)</f>
        <v>2000</v>
      </c>
      <c r="J74" s="309">
        <f>SUM($Q$10*'Revenue Worksheet'!I16+$Q$11*'Revenue Worksheet'!I11)</f>
        <v>2500</v>
      </c>
      <c r="K74" s="309">
        <f>SUM($Q$10*'Revenue Worksheet'!J16+$Q$11*'Revenue Worksheet'!J11)</f>
        <v>1400</v>
      </c>
      <c r="L74" s="309">
        <f>SUM($Q$10*'Revenue Worksheet'!K16+$Q$11*'Revenue Worksheet'!K11)</f>
        <v>0</v>
      </c>
      <c r="M74" s="309">
        <f>SUM($Q$10*'Revenue Worksheet'!L16+$Q$11*'Revenue Worksheet'!L11)</f>
        <v>0</v>
      </c>
      <c r="N74" s="309">
        <f>SUM($Q$10*'Revenue Worksheet'!M16+$Q$11*'Revenue Worksheet'!M11)</f>
        <v>0</v>
      </c>
      <c r="O74" s="309">
        <f>SUM($Q$10*'Revenue Worksheet'!N16+$Q$11*'Revenue Worksheet'!N11)</f>
        <v>0</v>
      </c>
      <c r="P74" s="309">
        <f>SUM($Q$10*'Revenue Worksheet'!O16+$Q$11*'Revenue Worksheet'!O11)</f>
        <v>0</v>
      </c>
      <c r="Q74" s="310">
        <f t="shared" si="34"/>
        <v>8200</v>
      </c>
    </row>
    <row r="75" spans="1:22">
      <c r="A75" s="319">
        <f>INDEX(QS_Chart_Of_Accounts_Upload!$C:$O,MATCH(B75,QS_Chart_Of_Accounts_Upload!$E:$E,0),MATCH("ACCT_NO",QS_Chart_Of_Accounts_Upload!$C$1:$O$1,0))</f>
        <v>5040</v>
      </c>
      <c r="B75" s="320" t="s">
        <v>471</v>
      </c>
      <c r="C75" s="321"/>
      <c r="D75" s="231"/>
      <c r="E75" s="309">
        <f t="shared" ref="E75:P75" si="35">E70</f>
        <v>0</v>
      </c>
      <c r="F75" s="309">
        <f t="shared" si="35"/>
        <v>0</v>
      </c>
      <c r="G75" s="309">
        <f t="shared" si="35"/>
        <v>0</v>
      </c>
      <c r="H75" s="309">
        <f t="shared" si="35"/>
        <v>0</v>
      </c>
      <c r="I75" s="309">
        <f t="shared" si="35"/>
        <v>0</v>
      </c>
      <c r="J75" s="309">
        <f t="shared" ref="J75:M75" si="36">J70</f>
        <v>0</v>
      </c>
      <c r="K75" s="309">
        <f t="shared" si="36"/>
        <v>0</v>
      </c>
      <c r="L75" s="309">
        <f t="shared" si="36"/>
        <v>0</v>
      </c>
      <c r="M75" s="309">
        <f t="shared" si="36"/>
        <v>0</v>
      </c>
      <c r="N75" s="309">
        <f t="shared" si="35"/>
        <v>0</v>
      </c>
      <c r="O75" s="309">
        <f t="shared" si="35"/>
        <v>0</v>
      </c>
      <c r="P75" s="309">
        <f t="shared" si="35"/>
        <v>0</v>
      </c>
      <c r="Q75" s="310">
        <f t="shared" si="34"/>
        <v>0</v>
      </c>
      <c r="V75" s="813"/>
    </row>
    <row r="76" spans="1:22">
      <c r="A76" s="319">
        <f>INDEX(QS_Chart_Of_Accounts_Upload!$C:$O,MATCH(B76,QS_Chart_Of_Accounts_Upload!$E:$E,0),MATCH("ACCT_NO",QS_Chart_Of_Accounts_Upload!$C$1:$O$1,0))</f>
        <v>5041</v>
      </c>
      <c r="B76" s="320" t="s">
        <v>472</v>
      </c>
      <c r="C76" s="321"/>
      <c r="D76" s="231"/>
      <c r="E76" s="323">
        <v>0</v>
      </c>
      <c r="F76" s="323">
        <v>0</v>
      </c>
      <c r="G76" s="323">
        <v>0</v>
      </c>
      <c r="H76" s="323">
        <v>0</v>
      </c>
      <c r="I76" s="323">
        <v>0</v>
      </c>
      <c r="J76" s="323">
        <v>0</v>
      </c>
      <c r="K76" s="323">
        <v>0</v>
      </c>
      <c r="L76" s="323">
        <v>0</v>
      </c>
      <c r="M76" s="323">
        <v>0</v>
      </c>
      <c r="N76" s="323">
        <v>0</v>
      </c>
      <c r="O76" s="323">
        <v>0</v>
      </c>
      <c r="P76" s="323">
        <v>0</v>
      </c>
      <c r="Q76" s="310">
        <f t="shared" si="34"/>
        <v>0</v>
      </c>
      <c r="V76" s="813"/>
    </row>
    <row r="77" spans="1:22">
      <c r="A77" s="319">
        <f>INDEX(QS_Chart_Of_Accounts_Upload!$C:$O,MATCH(B77,QS_Chart_Of_Accounts_Upload!$E:$E,0),MATCH("ACCT_NO",QS_Chart_Of_Accounts_Upload!$C$1:$O$1,0))</f>
        <v>5045</v>
      </c>
      <c r="B77" s="230" t="s">
        <v>289</v>
      </c>
      <c r="C77" s="321"/>
      <c r="D77" s="324"/>
      <c r="E77" s="814">
        <v>0</v>
      </c>
      <c r="F77" s="814">
        <v>0</v>
      </c>
      <c r="G77" s="814">
        <v>0</v>
      </c>
      <c r="H77" s="814">
        <v>0</v>
      </c>
      <c r="I77" s="814">
        <v>0</v>
      </c>
      <c r="J77" s="814">
        <v>0</v>
      </c>
      <c r="K77" s="814">
        <v>0</v>
      </c>
      <c r="L77" s="814">
        <v>0</v>
      </c>
      <c r="M77" s="814">
        <v>0</v>
      </c>
      <c r="N77" s="814">
        <v>0</v>
      </c>
      <c r="O77" s="814">
        <v>0</v>
      </c>
      <c r="P77" s="814">
        <v>0</v>
      </c>
      <c r="Q77" s="815">
        <f t="shared" si="34"/>
        <v>0</v>
      </c>
    </row>
    <row r="78" spans="1:22">
      <c r="A78" s="319">
        <f>INDEX(QS_Chart_Of_Accounts_Upload!$C:$O,MATCH(B78,QS_Chart_Of_Accounts_Upload!$E:$E,0),MATCH("ACCT_NO",QS_Chart_Of_Accounts_Upload!$C$1:$O$1,0))</f>
        <v>5050</v>
      </c>
      <c r="B78" s="230" t="s">
        <v>290</v>
      </c>
      <c r="C78" s="321"/>
      <c r="D78" s="324"/>
      <c r="E78" s="814">
        <v>0</v>
      </c>
      <c r="F78" s="814">
        <v>0</v>
      </c>
      <c r="G78" s="814">
        <v>0</v>
      </c>
      <c r="H78" s="814">
        <v>0</v>
      </c>
      <c r="I78" s="814">
        <v>0</v>
      </c>
      <c r="J78" s="814">
        <v>0</v>
      </c>
      <c r="K78" s="814">
        <v>0</v>
      </c>
      <c r="L78" s="814">
        <v>0</v>
      </c>
      <c r="M78" s="814">
        <v>0</v>
      </c>
      <c r="N78" s="814">
        <v>0</v>
      </c>
      <c r="O78" s="814">
        <v>0</v>
      </c>
      <c r="P78" s="814">
        <v>0</v>
      </c>
      <c r="Q78" s="815">
        <f t="shared" si="34"/>
        <v>0</v>
      </c>
    </row>
    <row r="79" spans="1:22">
      <c r="A79" s="319">
        <f>INDEX(QS_Chart_Of_Accounts_Upload!$C:$O,MATCH(B79,QS_Chart_Of_Accounts_Upload!$E:$E,0),MATCH("ACCT_NO",QS_Chart_Of_Accounts_Upload!$C$1:$O$1,0))</f>
        <v>5110</v>
      </c>
      <c r="B79" s="322" t="s">
        <v>473</v>
      </c>
      <c r="C79" s="321"/>
      <c r="D79" s="231"/>
      <c r="E79" s="309">
        <f t="shared" ref="E79:P79" si="37">+SUM($G$6:$G$34)</f>
        <v>0</v>
      </c>
      <c r="F79" s="309">
        <f t="shared" si="37"/>
        <v>0</v>
      </c>
      <c r="G79" s="309">
        <f t="shared" si="37"/>
        <v>0</v>
      </c>
      <c r="H79" s="309">
        <f t="shared" si="37"/>
        <v>0</v>
      </c>
      <c r="I79" s="309">
        <f t="shared" si="37"/>
        <v>0</v>
      </c>
      <c r="J79" s="309">
        <f t="shared" si="37"/>
        <v>0</v>
      </c>
      <c r="K79" s="309">
        <f t="shared" si="37"/>
        <v>0</v>
      </c>
      <c r="L79" s="309">
        <f t="shared" si="37"/>
        <v>0</v>
      </c>
      <c r="M79" s="309">
        <f t="shared" si="37"/>
        <v>0</v>
      </c>
      <c r="N79" s="309">
        <f t="shared" si="37"/>
        <v>0</v>
      </c>
      <c r="O79" s="309">
        <f t="shared" si="37"/>
        <v>0</v>
      </c>
      <c r="P79" s="309">
        <f t="shared" si="37"/>
        <v>0</v>
      </c>
      <c r="Q79" s="310">
        <f t="shared" si="34"/>
        <v>0</v>
      </c>
    </row>
    <row r="80" spans="1:22">
      <c r="A80" s="319">
        <f>INDEX(QS_Chart_Of_Accounts_Upload!$C:$O,MATCH(B80,QS_Chart_Of_Accounts_Upload!$E:$E,0),MATCH("ACCT_NO",QS_Chart_Of_Accounts_Upload!$C$1:$O$1,0))</f>
        <v>5120</v>
      </c>
      <c r="B80" s="322" t="s">
        <v>474</v>
      </c>
      <c r="C80" s="321"/>
      <c r="D80" s="326"/>
      <c r="E80" s="309">
        <f t="shared" ref="E80:P80" si="38">SUM(E73:E79)*$Q$15</f>
        <v>580</v>
      </c>
      <c r="F80" s="309">
        <f t="shared" si="38"/>
        <v>87</v>
      </c>
      <c r="G80" s="309">
        <f t="shared" si="38"/>
        <v>0</v>
      </c>
      <c r="H80" s="309">
        <f t="shared" si="38"/>
        <v>0</v>
      </c>
      <c r="I80" s="309">
        <f t="shared" si="38"/>
        <v>580</v>
      </c>
      <c r="J80" s="309">
        <f t="shared" si="38"/>
        <v>725</v>
      </c>
      <c r="K80" s="309">
        <f t="shared" si="38"/>
        <v>406</v>
      </c>
      <c r="L80" s="309">
        <f t="shared" si="38"/>
        <v>0</v>
      </c>
      <c r="M80" s="309">
        <f t="shared" si="38"/>
        <v>0</v>
      </c>
      <c r="N80" s="309">
        <f t="shared" si="38"/>
        <v>0</v>
      </c>
      <c r="O80" s="309">
        <f t="shared" si="38"/>
        <v>0</v>
      </c>
      <c r="P80" s="309">
        <f t="shared" si="38"/>
        <v>0</v>
      </c>
      <c r="Q80" s="310">
        <f t="shared" si="34"/>
        <v>2378</v>
      </c>
    </row>
    <row r="81" spans="1:22">
      <c r="A81" s="319"/>
      <c r="B81" s="322" t="s">
        <v>1127</v>
      </c>
      <c r="C81" s="321"/>
      <c r="D81" s="326"/>
      <c r="E81" s="309">
        <f>+$Q$9/12</f>
        <v>0</v>
      </c>
      <c r="F81" s="309">
        <f t="shared" ref="F81:P81" si="39">+$Q$9/12</f>
        <v>0</v>
      </c>
      <c r="G81" s="309">
        <f t="shared" si="39"/>
        <v>0</v>
      </c>
      <c r="H81" s="309">
        <f t="shared" si="39"/>
        <v>0</v>
      </c>
      <c r="I81" s="309">
        <f t="shared" si="39"/>
        <v>0</v>
      </c>
      <c r="J81" s="309">
        <f t="shared" si="39"/>
        <v>0</v>
      </c>
      <c r="K81" s="309">
        <f t="shared" si="39"/>
        <v>0</v>
      </c>
      <c r="L81" s="309">
        <f t="shared" si="39"/>
        <v>0</v>
      </c>
      <c r="M81" s="309">
        <f t="shared" si="39"/>
        <v>0</v>
      </c>
      <c r="N81" s="309">
        <f t="shared" si="39"/>
        <v>0</v>
      </c>
      <c r="O81" s="309">
        <f t="shared" si="39"/>
        <v>0</v>
      </c>
      <c r="P81" s="309">
        <f t="shared" si="39"/>
        <v>0</v>
      </c>
      <c r="Q81" s="310">
        <f t="shared" si="34"/>
        <v>0</v>
      </c>
    </row>
    <row r="82" spans="1:22">
      <c r="A82" s="319">
        <f>INDEX(QS_Chart_Of_Accounts_Upload!$C:$O,MATCH(B82,QS_Chart_Of_Accounts_Upload!$E:$E,0),MATCH("ACCT_NO",QS_Chart_Of_Accounts_Upload!$C$1:$O$1,0))</f>
        <v>5230</v>
      </c>
      <c r="B82" s="230" t="s">
        <v>291</v>
      </c>
      <c r="C82" s="321"/>
      <c r="D82" s="324"/>
      <c r="E82" s="309">
        <f t="shared" ref="E82:P82" si="40">SUM($Q$12*E37)</f>
        <v>0</v>
      </c>
      <c r="F82" s="309">
        <f t="shared" si="40"/>
        <v>0</v>
      </c>
      <c r="G82" s="309">
        <f t="shared" si="40"/>
        <v>0</v>
      </c>
      <c r="H82" s="309">
        <f t="shared" si="40"/>
        <v>0</v>
      </c>
      <c r="I82" s="309">
        <f t="shared" si="40"/>
        <v>0</v>
      </c>
      <c r="J82" s="309">
        <f t="shared" si="40"/>
        <v>0</v>
      </c>
      <c r="K82" s="309">
        <f t="shared" si="40"/>
        <v>0</v>
      </c>
      <c r="L82" s="309">
        <f t="shared" si="40"/>
        <v>0</v>
      </c>
      <c r="M82" s="309">
        <f t="shared" si="40"/>
        <v>0</v>
      </c>
      <c r="N82" s="309">
        <f t="shared" si="40"/>
        <v>0</v>
      </c>
      <c r="O82" s="309">
        <f t="shared" si="40"/>
        <v>0</v>
      </c>
      <c r="P82" s="309">
        <f t="shared" si="40"/>
        <v>0</v>
      </c>
      <c r="Q82" s="310">
        <f t="shared" si="34"/>
        <v>0</v>
      </c>
      <c r="V82" s="813"/>
    </row>
    <row r="83" spans="1:22">
      <c r="A83" s="319">
        <f>INDEX(QS_Chart_Of_Accounts_Upload!$C:$O,MATCH(B83,QS_Chart_Of_Accounts_Upload!$E:$E,0),MATCH("ACCT_NO",QS_Chart_Of_Accounts_Upload!$C$1:$O$1,0))</f>
        <v>5265</v>
      </c>
      <c r="B83" s="230" t="s">
        <v>292</v>
      </c>
      <c r="C83" s="321"/>
      <c r="D83" s="324"/>
      <c r="E83" s="309">
        <f t="shared" ref="E83:P83" si="41">SUM($Q$13*$Q$16)*2</f>
        <v>64</v>
      </c>
      <c r="F83" s="309">
        <f t="shared" si="41"/>
        <v>64</v>
      </c>
      <c r="G83" s="309">
        <f t="shared" si="41"/>
        <v>64</v>
      </c>
      <c r="H83" s="309">
        <f t="shared" si="41"/>
        <v>64</v>
      </c>
      <c r="I83" s="309">
        <f t="shared" si="41"/>
        <v>64</v>
      </c>
      <c r="J83" s="309">
        <f t="shared" si="41"/>
        <v>64</v>
      </c>
      <c r="K83" s="309">
        <f t="shared" si="41"/>
        <v>64</v>
      </c>
      <c r="L83" s="309">
        <f t="shared" si="41"/>
        <v>64</v>
      </c>
      <c r="M83" s="309">
        <f t="shared" si="41"/>
        <v>64</v>
      </c>
      <c r="N83" s="309">
        <f t="shared" si="41"/>
        <v>64</v>
      </c>
      <c r="O83" s="309">
        <f t="shared" si="41"/>
        <v>64</v>
      </c>
      <c r="P83" s="309">
        <f t="shared" si="41"/>
        <v>64</v>
      </c>
      <c r="Q83" s="310">
        <f t="shared" si="34"/>
        <v>768</v>
      </c>
      <c r="V83" s="816"/>
    </row>
    <row r="84" spans="1:22">
      <c r="E84" s="327"/>
      <c r="F84" s="327"/>
      <c r="G84" s="327"/>
      <c r="H84" s="327"/>
      <c r="I84" s="327"/>
      <c r="J84" s="327"/>
      <c r="K84" s="327"/>
      <c r="L84" s="327"/>
      <c r="M84" s="327"/>
      <c r="N84" s="327"/>
      <c r="O84" s="327"/>
      <c r="P84" s="327"/>
      <c r="Q84" s="328"/>
      <c r="V84" s="405"/>
    </row>
    <row r="85" spans="1:22">
      <c r="A85" s="319"/>
      <c r="B85" s="230"/>
      <c r="C85" s="321"/>
      <c r="D85" s="231"/>
      <c r="E85" s="313"/>
      <c r="F85" s="313"/>
      <c r="G85" s="313"/>
      <c r="H85" s="313"/>
      <c r="I85" s="313"/>
      <c r="J85" s="313"/>
      <c r="K85" s="313"/>
      <c r="L85" s="313"/>
      <c r="M85" s="313"/>
      <c r="N85" s="313"/>
      <c r="O85" s="313"/>
      <c r="P85" s="313"/>
      <c r="Q85" s="314"/>
    </row>
    <row r="86" spans="1:22" ht="14" thickBot="1">
      <c r="B86" s="315" t="s">
        <v>90</v>
      </c>
      <c r="C86" s="315"/>
      <c r="D86" s="329"/>
      <c r="E86" s="817">
        <f t="shared" ref="E86:P86" si="42">SUM(E73:E84)</f>
        <v>2644</v>
      </c>
      <c r="F86" s="817">
        <f t="shared" si="42"/>
        <v>451</v>
      </c>
      <c r="G86" s="817">
        <f t="shared" si="42"/>
        <v>64</v>
      </c>
      <c r="H86" s="817">
        <f t="shared" si="42"/>
        <v>64</v>
      </c>
      <c r="I86" s="817">
        <f t="shared" si="42"/>
        <v>2644</v>
      </c>
      <c r="J86" s="817">
        <f t="shared" si="42"/>
        <v>3289</v>
      </c>
      <c r="K86" s="817">
        <f t="shared" si="42"/>
        <v>1870</v>
      </c>
      <c r="L86" s="817">
        <f t="shared" si="42"/>
        <v>64</v>
      </c>
      <c r="M86" s="817">
        <f t="shared" si="42"/>
        <v>64</v>
      </c>
      <c r="N86" s="817">
        <f t="shared" si="42"/>
        <v>64</v>
      </c>
      <c r="O86" s="817">
        <f t="shared" si="42"/>
        <v>64</v>
      </c>
      <c r="P86" s="817">
        <f t="shared" si="42"/>
        <v>64</v>
      </c>
      <c r="Q86" s="818">
        <f>+SUBTOTAL(9,E86:P86)</f>
        <v>11346</v>
      </c>
    </row>
    <row r="87" spans="1:22" ht="14" thickTop="1">
      <c r="B87" s="231"/>
      <c r="C87" s="231"/>
      <c r="D87" s="231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32"/>
      <c r="S87" s="232"/>
    </row>
    <row r="88" spans="1:22" hidden="1">
      <c r="B88" s="239" t="s">
        <v>91</v>
      </c>
      <c r="C88" s="231"/>
      <c r="D88" s="2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</row>
    <row r="89" spans="1:22" hidden="1">
      <c r="B89" s="231" t="s">
        <v>80</v>
      </c>
      <c r="C89" s="231"/>
      <c r="D89" s="333"/>
      <c r="E89" s="334"/>
      <c r="F89" s="334"/>
      <c r="G89" s="334"/>
      <c r="H89" s="334"/>
      <c r="I89" s="334"/>
      <c r="J89" s="334"/>
      <c r="K89" s="334"/>
      <c r="L89" s="334"/>
      <c r="M89" s="334"/>
      <c r="N89" s="334"/>
      <c r="O89" s="334"/>
      <c r="P89" s="334"/>
      <c r="Q89" s="334"/>
      <c r="R89" s="334"/>
      <c r="S89" s="334"/>
    </row>
    <row r="90" spans="1:22" hidden="1">
      <c r="B90" s="231" t="s">
        <v>92</v>
      </c>
      <c r="C90" s="231"/>
      <c r="D90" s="334"/>
      <c r="E90" s="335"/>
      <c r="F90" s="335"/>
      <c r="G90" s="335"/>
      <c r="H90" s="335"/>
      <c r="I90" s="335"/>
      <c r="J90" s="335"/>
      <c r="K90" s="335"/>
      <c r="L90" s="335"/>
      <c r="M90" s="335"/>
      <c r="N90" s="335"/>
      <c r="O90" s="335"/>
      <c r="P90" s="335"/>
      <c r="Q90" s="335"/>
      <c r="R90" s="335"/>
      <c r="S90" s="335"/>
    </row>
    <row r="91" spans="1:22" hidden="1">
      <c r="B91" s="231" t="s">
        <v>93</v>
      </c>
      <c r="C91" s="231"/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</row>
    <row r="92" spans="1:22" hidden="1">
      <c r="B92" s="231" t="s">
        <v>94</v>
      </c>
      <c r="C92" s="231"/>
      <c r="D92" s="336"/>
      <c r="E92" s="336"/>
      <c r="F92" s="336"/>
      <c r="G92" s="336"/>
      <c r="H92" s="336"/>
      <c r="I92" s="336"/>
      <c r="J92" s="336"/>
      <c r="K92" s="336"/>
      <c r="L92" s="336"/>
      <c r="M92" s="336"/>
      <c r="N92" s="336"/>
      <c r="O92" s="336"/>
      <c r="P92" s="336"/>
      <c r="Q92" s="336"/>
      <c r="R92" s="336"/>
      <c r="S92" s="336"/>
    </row>
    <row r="93" spans="1:22" hidden="1">
      <c r="B93" s="231" t="s">
        <v>95</v>
      </c>
      <c r="C93" s="231"/>
      <c r="D93" s="337"/>
      <c r="E93" s="337"/>
      <c r="F93" s="337"/>
      <c r="G93" s="337"/>
      <c r="H93" s="337"/>
      <c r="I93" s="337"/>
      <c r="J93" s="337"/>
      <c r="K93" s="337"/>
      <c r="L93" s="337"/>
      <c r="M93" s="337"/>
      <c r="N93" s="337"/>
      <c r="O93" s="337"/>
      <c r="P93" s="337"/>
      <c r="Q93" s="337"/>
      <c r="R93" s="337"/>
      <c r="S93" s="337"/>
    </row>
    <row r="94" spans="1:22" hidden="1">
      <c r="B94" s="231" t="s">
        <v>96</v>
      </c>
      <c r="C94" s="231"/>
      <c r="D94" s="337"/>
      <c r="E94" s="337"/>
      <c r="F94" s="337"/>
      <c r="G94" s="337"/>
      <c r="H94" s="337"/>
      <c r="I94" s="337"/>
      <c r="J94" s="337"/>
      <c r="K94" s="337"/>
      <c r="L94" s="337"/>
      <c r="M94" s="337"/>
      <c r="N94" s="337"/>
      <c r="O94" s="337"/>
      <c r="P94" s="337"/>
      <c r="Q94" s="337"/>
      <c r="R94" s="337"/>
      <c r="S94" s="337"/>
    </row>
    <row r="95" spans="1:22" hidden="1">
      <c r="B95" s="338" t="s">
        <v>97</v>
      </c>
      <c r="C95" s="339"/>
      <c r="D95" s="340"/>
      <c r="E95" s="341"/>
      <c r="F95" s="341"/>
      <c r="G95" s="341"/>
      <c r="H95" s="341"/>
      <c r="I95" s="341"/>
      <c r="J95" s="341"/>
      <c r="K95" s="341"/>
      <c r="L95" s="341"/>
      <c r="M95" s="341"/>
      <c r="N95" s="341"/>
      <c r="O95" s="341"/>
      <c r="P95" s="341"/>
      <c r="Q95" s="341"/>
      <c r="R95" s="341"/>
      <c r="S95" s="341"/>
    </row>
    <row r="96" spans="1:22" hidden="1">
      <c r="B96" s="231"/>
      <c r="C96" s="231"/>
      <c r="D96" s="336"/>
      <c r="E96" s="300"/>
      <c r="F96" s="336"/>
      <c r="G96" s="336"/>
      <c r="H96" s="336"/>
      <c r="I96" s="336"/>
      <c r="J96" s="336"/>
      <c r="K96" s="336"/>
      <c r="L96" s="336"/>
      <c r="M96" s="336"/>
      <c r="N96" s="336"/>
      <c r="O96" s="336"/>
      <c r="P96" s="336"/>
      <c r="Q96" s="336"/>
      <c r="R96" s="336"/>
      <c r="S96" s="336"/>
    </row>
    <row r="97" spans="2:19" hidden="1">
      <c r="B97" s="231"/>
      <c r="C97" s="231"/>
      <c r="D97" s="231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32"/>
      <c r="S97" s="232"/>
    </row>
    <row r="98" spans="2:19" hidden="1">
      <c r="B98" s="231" t="s">
        <v>82</v>
      </c>
      <c r="C98" s="231"/>
      <c r="D98" s="333"/>
      <c r="E98" s="334"/>
      <c r="F98" s="334"/>
      <c r="G98" s="334"/>
      <c r="H98" s="334"/>
      <c r="I98" s="334"/>
      <c r="J98" s="334"/>
      <c r="K98" s="334"/>
      <c r="L98" s="334"/>
      <c r="M98" s="334"/>
      <c r="N98" s="334"/>
      <c r="O98" s="334"/>
      <c r="P98" s="334"/>
      <c r="Q98" s="334"/>
      <c r="R98" s="334"/>
      <c r="S98" s="334"/>
    </row>
    <row r="99" spans="2:19" hidden="1">
      <c r="B99" s="231" t="s">
        <v>92</v>
      </c>
      <c r="C99" s="231"/>
      <c r="D99" s="334"/>
      <c r="E99" s="335"/>
      <c r="F99" s="335"/>
      <c r="G99" s="335"/>
      <c r="H99" s="335"/>
      <c r="I99" s="335"/>
      <c r="J99" s="335"/>
      <c r="K99" s="335"/>
      <c r="L99" s="335"/>
      <c r="M99" s="335"/>
      <c r="N99" s="335"/>
      <c r="O99" s="335"/>
      <c r="P99" s="335"/>
      <c r="Q99" s="335"/>
      <c r="R99" s="335"/>
      <c r="S99" s="335"/>
    </row>
    <row r="100" spans="2:19" hidden="1">
      <c r="B100" s="231" t="s">
        <v>98</v>
      </c>
      <c r="C100" s="231"/>
      <c r="D100" s="334"/>
      <c r="E100" s="334"/>
      <c r="F100" s="334"/>
      <c r="G100" s="334"/>
      <c r="H100" s="334"/>
      <c r="I100" s="334"/>
      <c r="J100" s="334"/>
      <c r="K100" s="334"/>
      <c r="L100" s="334"/>
      <c r="M100" s="334"/>
      <c r="N100" s="334"/>
      <c r="O100" s="334"/>
      <c r="P100" s="334"/>
      <c r="Q100" s="334"/>
      <c r="R100" s="334"/>
      <c r="S100" s="334"/>
    </row>
    <row r="101" spans="2:19" hidden="1">
      <c r="B101" s="231" t="s">
        <v>94</v>
      </c>
      <c r="C101" s="231"/>
      <c r="D101" s="336"/>
      <c r="E101" s="336"/>
      <c r="F101" s="336"/>
      <c r="G101" s="336"/>
      <c r="H101" s="336"/>
      <c r="I101" s="336"/>
      <c r="J101" s="336"/>
      <c r="K101" s="336"/>
      <c r="L101" s="336"/>
      <c r="M101" s="336"/>
      <c r="N101" s="336"/>
      <c r="O101" s="336"/>
      <c r="P101" s="336"/>
      <c r="Q101" s="336"/>
      <c r="R101" s="336"/>
      <c r="S101" s="336"/>
    </row>
    <row r="102" spans="2:19" hidden="1">
      <c r="B102" s="231" t="s">
        <v>95</v>
      </c>
      <c r="C102" s="231"/>
      <c r="D102" s="337"/>
      <c r="E102" s="337"/>
      <c r="F102" s="337"/>
      <c r="G102" s="337"/>
      <c r="H102" s="337"/>
      <c r="I102" s="337"/>
      <c r="J102" s="337"/>
      <c r="K102" s="337"/>
      <c r="L102" s="337"/>
      <c r="M102" s="337"/>
      <c r="N102" s="337"/>
      <c r="O102" s="337"/>
      <c r="P102" s="337"/>
      <c r="Q102" s="337"/>
      <c r="R102" s="337"/>
      <c r="S102" s="337"/>
    </row>
    <row r="103" spans="2:19" hidden="1">
      <c r="B103" s="231" t="s">
        <v>96</v>
      </c>
      <c r="C103" s="231"/>
      <c r="D103" s="337"/>
      <c r="E103" s="337"/>
      <c r="F103" s="337"/>
      <c r="G103" s="337"/>
      <c r="H103" s="337"/>
      <c r="I103" s="337"/>
      <c r="J103" s="337"/>
      <c r="K103" s="337"/>
      <c r="L103" s="337"/>
      <c r="M103" s="337"/>
      <c r="N103" s="337"/>
      <c r="O103" s="337"/>
      <c r="P103" s="337"/>
      <c r="Q103" s="337"/>
      <c r="R103" s="337"/>
      <c r="S103" s="337"/>
    </row>
    <row r="104" spans="2:19" hidden="1">
      <c r="B104" s="338" t="s">
        <v>99</v>
      </c>
      <c r="C104" s="339"/>
      <c r="D104" s="340"/>
      <c r="E104" s="341"/>
      <c r="F104" s="341"/>
      <c r="G104" s="341"/>
      <c r="H104" s="341"/>
      <c r="I104" s="341"/>
      <c r="J104" s="341"/>
      <c r="K104" s="341"/>
      <c r="L104" s="341"/>
      <c r="M104" s="341"/>
      <c r="N104" s="341"/>
      <c r="O104" s="341"/>
      <c r="P104" s="341"/>
      <c r="Q104" s="341"/>
      <c r="R104" s="341"/>
      <c r="S104" s="341"/>
    </row>
    <row r="105" spans="2:19" hidden="1">
      <c r="B105" s="231"/>
      <c r="C105" s="231"/>
      <c r="D105" s="231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32"/>
      <c r="S105" s="232"/>
    </row>
    <row r="106" spans="2:19" hidden="1">
      <c r="B106" s="338" t="s">
        <v>100</v>
      </c>
      <c r="C106" s="339"/>
      <c r="D106" s="339"/>
      <c r="E106" s="341">
        <f t="shared" ref="E106:P106" si="43">E95+E104</f>
        <v>0</v>
      </c>
      <c r="F106" s="341">
        <f t="shared" si="43"/>
        <v>0</v>
      </c>
      <c r="G106" s="341">
        <f t="shared" si="43"/>
        <v>0</v>
      </c>
      <c r="H106" s="341">
        <f t="shared" si="43"/>
        <v>0</v>
      </c>
      <c r="I106" s="341">
        <f t="shared" si="43"/>
        <v>0</v>
      </c>
      <c r="J106" s="341">
        <f t="shared" si="43"/>
        <v>0</v>
      </c>
      <c r="K106" s="341"/>
      <c r="L106" s="341"/>
      <c r="M106" s="341"/>
      <c r="N106" s="341">
        <f t="shared" si="43"/>
        <v>0</v>
      </c>
      <c r="O106" s="341">
        <f t="shared" si="43"/>
        <v>0</v>
      </c>
      <c r="P106" s="341">
        <f t="shared" si="43"/>
        <v>0</v>
      </c>
      <c r="Q106" s="341"/>
      <c r="R106" s="341"/>
      <c r="S106" s="341"/>
    </row>
    <row r="107" spans="2:19">
      <c r="B107" s="231"/>
      <c r="C107" s="231"/>
      <c r="D107" s="231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32"/>
      <c r="S107" s="232"/>
    </row>
  </sheetData>
  <customSheetViews>
    <customSheetView guid="{9DEAD063-F928-419C-837E-C1066ED7860B}" scale="90" showPageBreaks="1" printArea="1" hiddenRows="1" topLeftCell="A91">
      <selection activeCell="P121" sqref="P121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0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>
      <selection activeCell="E33" sqref="E33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5" orientation="landscape" r:id="rId2"/>
      <headerFooter>
        <oddHeader>&amp;L&amp;G&amp;C&amp;"Calibri,Regular"&amp;12 2017 BUDGET&amp;R&amp;D</oddHeader>
      </headerFooter>
    </customSheetView>
    <customSheetView guid="{D073F711-6285-4942-AB77-7D856F2758D2}" showPageBreaks="1" printArea="1" hiddenRows="1" topLeftCell="A82">
      <selection activeCell="E106" sqref="E106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5" orientation="landscape" r:id="rId3"/>
      <headerFooter>
        <oddHeader>&amp;L&amp;G&amp;C&amp;"Calibri,Regular"&amp;12 2017 BUDGET&amp;R&amp;D</oddHeader>
      </headerFooter>
    </customSheetView>
    <customSheetView guid="{37F60134-1665-4224-BDB0-AA938013E6F7}" showPageBreaks="1" printArea="1" hiddenRows="1" topLeftCell="A3">
      <selection activeCell="E106" sqref="E106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5" orientation="landscape" r:id="rId4"/>
      <headerFooter>
        <oddHeader>&amp;L&amp;G&amp;C&amp;"Calibri,Regular"&amp;12 2017 BUDGET&amp;R&amp;D</oddHeader>
      </headerFooter>
    </customSheetView>
    <customSheetView guid="{DE2360E6-2B91-4F5C-9697-CB1D2265B97A}" showPageBreaks="1" printArea="1" hiddenRows="1" topLeftCell="A7">
      <selection activeCell="E36" sqref="E36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>
      <selection activeCell="E33" sqref="E33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5" orientation="landscape" r:id="rId6"/>
      <headerFooter>
        <oddHeader>&amp;L&amp;G&amp;C&amp;"Calibri,Regular"&amp;12 2017 BUDGET&amp;R&amp;D</oddHeader>
      </headerFooter>
    </customSheetView>
    <customSheetView guid="{238B6A19-3218-4587-9C80-5E68600CCC2E}" scale="90" showPageBreaks="1" printArea="1" hiddenRows="1" topLeftCell="A91">
      <selection activeCell="P121" sqref="P121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0" orientation="landscape" r:id="rId7"/>
      <headerFooter>
        <oddHeader>&amp;L&amp;G&amp;C&amp;"Calibri,Regular"&amp;12 2017 BUDGET&amp;R&amp;D</oddHeader>
      </headerFooter>
    </customSheetView>
    <customSheetView guid="{BBC4A248-3FF0-4C22-89A9-106C1C902C44}" scale="90" hiddenRows="1">
      <selection activeCell="L155" sqref="L155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0" orientation="landscape" r:id="rId8"/>
      <headerFooter>
        <oddHeader>&amp;L&amp;G&amp;C&amp;"Calibri,Regular"&amp;12 2017 BUDGET&amp;R&amp;D</oddHeader>
      </headerFooter>
    </customSheetView>
    <customSheetView guid="{97516F51-8B9A-4ED3-BCEB-36791F0F2C00}" scale="90" showPageBreaks="1" printArea="1" hiddenRows="1">
      <selection activeCell="C34" sqref="C34"/>
      <rowBreaks count="2" manualBreakCount="2">
        <brk id="50" max="16383" man="1"/>
        <brk id="101" max="16383" man="1"/>
      </rowBreaks>
      <pageMargins left="0.2" right="0.2" top="1" bottom="0.25" header="0.3" footer="0.3"/>
      <printOptions horizontalCentered="1"/>
      <pageSetup scale="70" orientation="landscape" r:id="rId9"/>
      <headerFooter>
        <oddHeader>&amp;L&amp;G&amp;C&amp;"Calibri,Regular"&amp;12 2017 BUDGET&amp;R&amp;D</oddHeader>
      </headerFooter>
    </customSheetView>
  </customSheetViews>
  <mergeCells count="12">
    <mergeCell ref="N14:P14"/>
    <mergeCell ref="N7:P7"/>
    <mergeCell ref="N15:P15"/>
    <mergeCell ref="N16:P16"/>
    <mergeCell ref="N4:Q4"/>
    <mergeCell ref="N6:P6"/>
    <mergeCell ref="N11:P11"/>
    <mergeCell ref="N10:P10"/>
    <mergeCell ref="N8:P8"/>
    <mergeCell ref="N12:P12"/>
    <mergeCell ref="N13:P13"/>
    <mergeCell ref="N9:P9"/>
  </mergeCells>
  <dataValidations count="1">
    <dataValidation type="list" allowBlank="1" showInputMessage="1" showErrorMessage="1" sqref="K6:L6 K10:L21 K24:L33" xr:uid="{09A0F8F0-BD57-4FB0-B340-7745BE7F3290}">
      <formula1>$E$38:$R$38</formula1>
    </dataValidation>
  </dataValidations>
  <printOptions horizontalCentered="1"/>
  <pageMargins left="0.2" right="0.2" top="1" bottom="0.25" header="0.3" footer="0.3"/>
  <pageSetup scale="66" fitToHeight="0" orientation="landscape" r:id="rId10"/>
  <headerFooter>
    <oddHeader>&amp;L&amp;G&amp;C&amp;"Calibri,Regular"&amp;12 BUDGET&amp;R&amp;D</oddHeader>
  </headerFooter>
  <rowBreaks count="1" manualBreakCount="1">
    <brk id="70" max="16383" man="1"/>
  </rowBreaks>
  <legacyDrawingHF r:id="rId1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140"/>
  <sheetViews>
    <sheetView showGridLines="0" topLeftCell="A98" zoomScale="70" zoomScaleNormal="70" workbookViewId="0">
      <selection activeCell="A117" sqref="A117"/>
    </sheetView>
  </sheetViews>
  <sheetFormatPr baseColWidth="10" defaultColWidth="9.1640625" defaultRowHeight="13"/>
  <cols>
    <col min="1" max="1" width="9.1640625" style="414" bestFit="1" customWidth="1"/>
    <col min="2" max="2" width="42.83203125" style="414" bestFit="1" customWidth="1"/>
    <col min="3" max="9" width="7.83203125" style="414" bestFit="1" customWidth="1"/>
    <col min="10" max="10" width="7.83203125" style="414" customWidth="1"/>
    <col min="11" max="13" width="7.83203125" style="414" bestFit="1" customWidth="1"/>
    <col min="14" max="14" width="7.83203125" style="414" customWidth="1"/>
    <col min="15" max="15" width="12.83203125" style="414" customWidth="1"/>
    <col min="16" max="16" width="0.83203125" style="414" customWidth="1"/>
    <col min="17" max="17" width="82.6640625" style="414" bestFit="1" customWidth="1"/>
    <col min="18" max="18" width="9.1640625" style="414"/>
    <col min="19" max="19" width="10.5" style="414" customWidth="1"/>
    <col min="20" max="20" width="24.1640625" style="414" customWidth="1"/>
    <col min="21" max="16384" width="9.1640625" style="414"/>
  </cols>
  <sheetData>
    <row r="1" spans="1:21" ht="14">
      <c r="A1" s="819" t="str">
        <f ca="1">+"RKW Residential "&amp;" // "&amp;Cover!A23&amp;" // "&amp;Cover!A19&amp;" // "&amp;MID(CELL("filename",A1),FIND("]",CELL("filename",A1))+1,255)</f>
        <v>RKW Residential  // Abraham Ng'hwani // NOVA RTP 2680 // Marketing Worksheet</v>
      </c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819"/>
      <c r="P1" s="819"/>
      <c r="Q1" s="819"/>
    </row>
    <row r="3" spans="1:21" ht="12.75" customHeight="1">
      <c r="A3" s="820"/>
      <c r="C3" s="821"/>
      <c r="D3" s="822"/>
      <c r="E3" s="823"/>
      <c r="F3" s="821"/>
      <c r="G3" s="821"/>
      <c r="H3" s="821"/>
      <c r="I3" s="821"/>
      <c r="J3" s="821"/>
      <c r="K3" s="821"/>
      <c r="L3" s="821"/>
      <c r="M3" s="821"/>
      <c r="N3" s="821"/>
      <c r="O3" s="821"/>
      <c r="P3" s="824"/>
      <c r="Q3" s="825"/>
    </row>
    <row r="4" spans="1:21" ht="12.75" customHeight="1">
      <c r="A4" s="690" t="s">
        <v>206</v>
      </c>
      <c r="B4" s="691" t="s">
        <v>1017</v>
      </c>
      <c r="C4" s="692">
        <f>+'Operating Expenses'!C146</f>
        <v>45901</v>
      </c>
      <c r="D4" s="692">
        <f>+'Operating Expenses'!D146</f>
        <v>45961</v>
      </c>
      <c r="E4" s="692">
        <f>+'Operating Expenses'!E146</f>
        <v>45991</v>
      </c>
      <c r="F4" s="692">
        <f>+'Operating Expenses'!F146</f>
        <v>46022</v>
      </c>
      <c r="G4" s="692">
        <f>+'Operating Expenses'!G146</f>
        <v>46053</v>
      </c>
      <c r="H4" s="692">
        <f>+'Operating Expenses'!H146</f>
        <v>46081</v>
      </c>
      <c r="I4" s="692">
        <f>+'Operating Expenses'!I146</f>
        <v>46112</v>
      </c>
      <c r="J4" s="692">
        <f>+'Operating Expenses'!J146</f>
        <v>46142</v>
      </c>
      <c r="K4" s="692">
        <f>+'Operating Expenses'!K146</f>
        <v>46173</v>
      </c>
      <c r="L4" s="692">
        <f>+'Operating Expenses'!L146</f>
        <v>46203</v>
      </c>
      <c r="M4" s="692">
        <f>+'Operating Expenses'!M146</f>
        <v>46234</v>
      </c>
      <c r="N4" s="692">
        <f>+'Operating Expenses'!N146</f>
        <v>46265</v>
      </c>
      <c r="O4" s="693" t="s">
        <v>516</v>
      </c>
      <c r="P4" s="824"/>
      <c r="Q4" s="826" t="s">
        <v>23</v>
      </c>
    </row>
    <row r="5" spans="1:21" ht="12.75" customHeight="1">
      <c r="A5" s="827"/>
      <c r="B5" s="828" t="s">
        <v>174</v>
      </c>
      <c r="C5" s="708">
        <v>0</v>
      </c>
      <c r="D5" s="708">
        <v>0</v>
      </c>
      <c r="E5" s="708">
        <v>0</v>
      </c>
      <c r="F5" s="708">
        <v>0</v>
      </c>
      <c r="G5" s="708">
        <v>0</v>
      </c>
      <c r="H5" s="708">
        <v>0</v>
      </c>
      <c r="I5" s="708">
        <v>0</v>
      </c>
      <c r="J5" s="708">
        <v>0</v>
      </c>
      <c r="K5" s="708">
        <v>0</v>
      </c>
      <c r="L5" s="708">
        <v>0</v>
      </c>
      <c r="M5" s="708">
        <v>0</v>
      </c>
      <c r="N5" s="708">
        <v>0</v>
      </c>
      <c r="O5" s="703">
        <f t="shared" ref="O5:O14" si="0">+SUBTOTAL(9,C5:N5)</f>
        <v>0</v>
      </c>
      <c r="P5" s="824"/>
      <c r="Q5" s="829"/>
    </row>
    <row r="6" spans="1:21" ht="12.75" customHeight="1">
      <c r="A6" s="827"/>
      <c r="B6" s="828" t="s">
        <v>178</v>
      </c>
      <c r="C6" s="708">
        <v>0</v>
      </c>
      <c r="D6" s="708">
        <v>0</v>
      </c>
      <c r="E6" s="708">
        <v>0</v>
      </c>
      <c r="F6" s="708">
        <v>0</v>
      </c>
      <c r="G6" s="708">
        <v>0</v>
      </c>
      <c r="H6" s="708">
        <v>0</v>
      </c>
      <c r="I6" s="708">
        <v>0</v>
      </c>
      <c r="J6" s="708">
        <v>0</v>
      </c>
      <c r="K6" s="708">
        <v>0</v>
      </c>
      <c r="L6" s="708">
        <v>0</v>
      </c>
      <c r="M6" s="708">
        <v>0</v>
      </c>
      <c r="N6" s="708">
        <v>0</v>
      </c>
      <c r="O6" s="703">
        <f t="shared" si="0"/>
        <v>0</v>
      </c>
      <c r="P6" s="824"/>
      <c r="Q6" s="829"/>
    </row>
    <row r="7" spans="1:21" ht="12.75" customHeight="1">
      <c r="A7" s="827"/>
      <c r="B7" s="828" t="s">
        <v>1021</v>
      </c>
      <c r="C7" s="708">
        <v>1012</v>
      </c>
      <c r="D7" s="708">
        <v>1012</v>
      </c>
      <c r="E7" s="708">
        <v>1012</v>
      </c>
      <c r="F7" s="708">
        <v>1537</v>
      </c>
      <c r="G7" s="708">
        <v>1537</v>
      </c>
      <c r="H7" s="708">
        <v>1537</v>
      </c>
      <c r="I7" s="708">
        <v>1537</v>
      </c>
      <c r="J7" s="708">
        <v>1537</v>
      </c>
      <c r="K7" s="708">
        <v>0</v>
      </c>
      <c r="L7" s="708">
        <v>0</v>
      </c>
      <c r="M7" s="708">
        <v>0</v>
      </c>
      <c r="N7" s="708">
        <v>0</v>
      </c>
      <c r="O7" s="703">
        <f t="shared" si="0"/>
        <v>10721</v>
      </c>
      <c r="P7" s="824"/>
      <c r="Q7" s="829"/>
      <c r="U7" s="411"/>
    </row>
    <row r="8" spans="1:21" ht="12.75" customHeight="1">
      <c r="A8" s="827"/>
      <c r="B8" s="828" t="s">
        <v>1022</v>
      </c>
      <c r="C8" s="708">
        <v>0</v>
      </c>
      <c r="D8" s="708">
        <v>0</v>
      </c>
      <c r="E8" s="708">
        <v>0</v>
      </c>
      <c r="F8" s="708">
        <v>0</v>
      </c>
      <c r="G8" s="708">
        <v>0</v>
      </c>
      <c r="H8" s="708">
        <v>0</v>
      </c>
      <c r="I8" s="708">
        <v>0</v>
      </c>
      <c r="J8" s="708">
        <v>0</v>
      </c>
      <c r="K8" s="708">
        <v>0</v>
      </c>
      <c r="L8" s="708">
        <v>0</v>
      </c>
      <c r="M8" s="708">
        <v>0</v>
      </c>
      <c r="N8" s="708">
        <v>0</v>
      </c>
      <c r="O8" s="703">
        <f t="shared" si="0"/>
        <v>0</v>
      </c>
      <c r="P8" s="824"/>
      <c r="Q8" s="829"/>
      <c r="U8" s="411"/>
    </row>
    <row r="9" spans="1:21" ht="12.75" customHeight="1">
      <c r="A9" s="827"/>
      <c r="B9" s="828" t="s">
        <v>177</v>
      </c>
      <c r="C9" s="708">
        <v>4000</v>
      </c>
      <c r="D9" s="708">
        <v>3000</v>
      </c>
      <c r="E9" s="708">
        <v>2000</v>
      </c>
      <c r="F9" s="708">
        <v>2000</v>
      </c>
      <c r="G9" s="708">
        <v>2000</v>
      </c>
      <c r="H9" s="708">
        <v>2000</v>
      </c>
      <c r="I9" s="708">
        <v>2000</v>
      </c>
      <c r="J9" s="708">
        <v>1500</v>
      </c>
      <c r="K9" s="708">
        <v>1500</v>
      </c>
      <c r="L9" s="708">
        <v>1500</v>
      </c>
      <c r="M9" s="708">
        <v>1500</v>
      </c>
      <c r="N9" s="708">
        <v>1500</v>
      </c>
      <c r="O9" s="703">
        <f t="shared" si="0"/>
        <v>24500</v>
      </c>
      <c r="P9" s="824"/>
      <c r="Q9" s="829"/>
    </row>
    <row r="10" spans="1:21" ht="12.75" customHeight="1">
      <c r="A10" s="827"/>
      <c r="B10" s="828" t="s">
        <v>511</v>
      </c>
      <c r="C10" s="708">
        <v>0</v>
      </c>
      <c r="D10" s="708">
        <v>0</v>
      </c>
      <c r="E10" s="708">
        <v>0</v>
      </c>
      <c r="F10" s="708">
        <v>0</v>
      </c>
      <c r="G10" s="708">
        <v>0</v>
      </c>
      <c r="H10" s="708">
        <v>0</v>
      </c>
      <c r="I10" s="708">
        <v>0</v>
      </c>
      <c r="J10" s="708">
        <v>0</v>
      </c>
      <c r="K10" s="708">
        <v>0</v>
      </c>
      <c r="L10" s="708">
        <v>0</v>
      </c>
      <c r="M10" s="708">
        <v>0</v>
      </c>
      <c r="N10" s="708">
        <v>0</v>
      </c>
      <c r="O10" s="703">
        <f t="shared" si="0"/>
        <v>0</v>
      </c>
      <c r="P10" s="824"/>
      <c r="Q10" s="829"/>
    </row>
    <row r="11" spans="1:21" ht="12.75" customHeight="1">
      <c r="A11" s="827"/>
      <c r="B11" s="830" t="s">
        <v>922</v>
      </c>
      <c r="C11" s="708">
        <v>0</v>
      </c>
      <c r="D11" s="708">
        <v>0</v>
      </c>
      <c r="E11" s="708">
        <v>0</v>
      </c>
      <c r="F11" s="708">
        <v>0</v>
      </c>
      <c r="G11" s="708">
        <v>0</v>
      </c>
      <c r="H11" s="708">
        <v>0</v>
      </c>
      <c r="I11" s="708">
        <v>0</v>
      </c>
      <c r="J11" s="708">
        <v>0</v>
      </c>
      <c r="K11" s="708">
        <v>0</v>
      </c>
      <c r="L11" s="708">
        <v>0</v>
      </c>
      <c r="M11" s="708">
        <v>0</v>
      </c>
      <c r="N11" s="708">
        <v>0</v>
      </c>
      <c r="O11" s="703">
        <f t="shared" si="0"/>
        <v>0</v>
      </c>
      <c r="P11" s="824"/>
      <c r="Q11" s="829"/>
    </row>
    <row r="12" spans="1:21" ht="12.75" customHeight="1">
      <c r="A12" s="827"/>
      <c r="B12" s="830" t="s">
        <v>922</v>
      </c>
      <c r="C12" s="708">
        <v>0</v>
      </c>
      <c r="D12" s="708">
        <v>0</v>
      </c>
      <c r="E12" s="708">
        <v>0</v>
      </c>
      <c r="F12" s="708">
        <v>0</v>
      </c>
      <c r="G12" s="708">
        <v>0</v>
      </c>
      <c r="H12" s="708">
        <v>0</v>
      </c>
      <c r="I12" s="708">
        <v>0</v>
      </c>
      <c r="J12" s="708">
        <v>0</v>
      </c>
      <c r="K12" s="708">
        <v>0</v>
      </c>
      <c r="L12" s="708">
        <v>0</v>
      </c>
      <c r="M12" s="708">
        <v>0</v>
      </c>
      <c r="N12" s="708">
        <v>0</v>
      </c>
      <c r="O12" s="703">
        <f t="shared" si="0"/>
        <v>0</v>
      </c>
      <c r="P12" s="824"/>
      <c r="Q12" s="829"/>
    </row>
    <row r="13" spans="1:21" ht="12.75" customHeight="1">
      <c r="A13" s="827"/>
      <c r="B13" s="830" t="s">
        <v>922</v>
      </c>
      <c r="C13" s="708">
        <v>0</v>
      </c>
      <c r="D13" s="708">
        <v>0</v>
      </c>
      <c r="E13" s="708">
        <v>0</v>
      </c>
      <c r="F13" s="708">
        <v>0</v>
      </c>
      <c r="G13" s="708">
        <v>0</v>
      </c>
      <c r="H13" s="708">
        <v>0</v>
      </c>
      <c r="I13" s="708">
        <v>0</v>
      </c>
      <c r="J13" s="708">
        <v>0</v>
      </c>
      <c r="K13" s="708">
        <v>0</v>
      </c>
      <c r="L13" s="708">
        <v>0</v>
      </c>
      <c r="M13" s="708">
        <v>0</v>
      </c>
      <c r="N13" s="708">
        <v>0</v>
      </c>
      <c r="O13" s="703">
        <f t="shared" si="0"/>
        <v>0</v>
      </c>
      <c r="P13" s="824"/>
      <c r="Q13" s="829"/>
    </row>
    <row r="14" spans="1:21" ht="12.75" customHeight="1">
      <c r="A14" s="827"/>
      <c r="B14" s="830" t="s">
        <v>922</v>
      </c>
      <c r="C14" s="708">
        <v>0</v>
      </c>
      <c r="D14" s="708">
        <v>0</v>
      </c>
      <c r="E14" s="708">
        <v>0</v>
      </c>
      <c r="F14" s="708">
        <v>0</v>
      </c>
      <c r="G14" s="708">
        <v>0</v>
      </c>
      <c r="H14" s="708">
        <v>0</v>
      </c>
      <c r="I14" s="708">
        <v>0</v>
      </c>
      <c r="J14" s="708">
        <v>0</v>
      </c>
      <c r="K14" s="708">
        <v>0</v>
      </c>
      <c r="L14" s="708">
        <v>0</v>
      </c>
      <c r="M14" s="708">
        <v>0</v>
      </c>
      <c r="N14" s="708">
        <v>0</v>
      </c>
      <c r="O14" s="703">
        <f t="shared" si="0"/>
        <v>0</v>
      </c>
      <c r="P14" s="824"/>
      <c r="Q14" s="829"/>
    </row>
    <row r="15" spans="1:21" ht="13.5" customHeight="1">
      <c r="A15" s="831"/>
      <c r="B15" s="832"/>
      <c r="C15" s="833"/>
      <c r="D15" s="833"/>
      <c r="E15" s="833"/>
      <c r="F15" s="833"/>
      <c r="G15" s="833"/>
      <c r="H15" s="833"/>
      <c r="I15" s="833"/>
      <c r="J15" s="833"/>
      <c r="K15" s="833"/>
      <c r="L15" s="833"/>
      <c r="M15" s="833"/>
      <c r="N15" s="833"/>
      <c r="O15" s="834"/>
      <c r="P15" s="824"/>
      <c r="Q15" s="835"/>
    </row>
    <row r="16" spans="1:21" ht="12.75" customHeight="1" thickBot="1">
      <c r="A16" s="836">
        <v>7700</v>
      </c>
      <c r="B16" s="837" t="s">
        <v>475</v>
      </c>
      <c r="C16" s="838">
        <f t="shared" ref="C16:N16" si="1">SUM(C5:C15)</f>
        <v>5012</v>
      </c>
      <c r="D16" s="838">
        <f t="shared" si="1"/>
        <v>4012</v>
      </c>
      <c r="E16" s="838">
        <f t="shared" si="1"/>
        <v>3012</v>
      </c>
      <c r="F16" s="838">
        <f t="shared" si="1"/>
        <v>3537</v>
      </c>
      <c r="G16" s="838">
        <f t="shared" si="1"/>
        <v>3537</v>
      </c>
      <c r="H16" s="838">
        <f t="shared" si="1"/>
        <v>3537</v>
      </c>
      <c r="I16" s="838">
        <f t="shared" si="1"/>
        <v>3537</v>
      </c>
      <c r="J16" s="838">
        <f t="shared" si="1"/>
        <v>3037</v>
      </c>
      <c r="K16" s="838">
        <f t="shared" si="1"/>
        <v>1500</v>
      </c>
      <c r="L16" s="838">
        <f t="shared" si="1"/>
        <v>1500</v>
      </c>
      <c r="M16" s="838">
        <f t="shared" si="1"/>
        <v>1500</v>
      </c>
      <c r="N16" s="838">
        <f t="shared" si="1"/>
        <v>1500</v>
      </c>
      <c r="O16" s="839">
        <f>+SUBTOTAL(9,C16:N16)</f>
        <v>35221</v>
      </c>
      <c r="P16" s="824"/>
      <c r="Q16" s="840"/>
    </row>
    <row r="17" spans="1:17" ht="12.75" customHeight="1" thickTop="1">
      <c r="A17" s="821"/>
      <c r="B17" s="411"/>
      <c r="C17" s="841"/>
      <c r="D17" s="841"/>
      <c r="E17" s="841"/>
      <c r="F17" s="841"/>
      <c r="G17" s="841"/>
      <c r="H17" s="841"/>
      <c r="I17" s="841"/>
      <c r="J17" s="841"/>
      <c r="K17" s="841"/>
      <c r="L17" s="841"/>
      <c r="M17" s="841"/>
      <c r="N17" s="841"/>
      <c r="O17" s="841"/>
      <c r="P17" s="824"/>
    </row>
    <row r="18" spans="1:17" ht="12.75" customHeight="1">
      <c r="A18" s="690" t="s">
        <v>206</v>
      </c>
      <c r="B18" s="691" t="s">
        <v>393</v>
      </c>
      <c r="C18" s="692">
        <f t="shared" ref="C18:O18" si="2">C$4</f>
        <v>45901</v>
      </c>
      <c r="D18" s="692">
        <f t="shared" si="2"/>
        <v>45961</v>
      </c>
      <c r="E18" s="692">
        <f t="shared" si="2"/>
        <v>45991</v>
      </c>
      <c r="F18" s="692">
        <f t="shared" si="2"/>
        <v>46022</v>
      </c>
      <c r="G18" s="692">
        <f t="shared" si="2"/>
        <v>46053</v>
      </c>
      <c r="H18" s="692">
        <f t="shared" si="2"/>
        <v>46081</v>
      </c>
      <c r="I18" s="692">
        <f t="shared" si="2"/>
        <v>46112</v>
      </c>
      <c r="J18" s="692">
        <f t="shared" si="2"/>
        <v>46142</v>
      </c>
      <c r="K18" s="692">
        <f t="shared" si="2"/>
        <v>46173</v>
      </c>
      <c r="L18" s="692">
        <f t="shared" si="2"/>
        <v>46203</v>
      </c>
      <c r="M18" s="692">
        <f t="shared" si="2"/>
        <v>46234</v>
      </c>
      <c r="N18" s="692">
        <f t="shared" si="2"/>
        <v>46265</v>
      </c>
      <c r="O18" s="693" t="str">
        <f t="shared" si="2"/>
        <v>Year 1 Total</v>
      </c>
      <c r="P18" s="824"/>
      <c r="Q18" s="826" t="s">
        <v>23</v>
      </c>
    </row>
    <row r="19" spans="1:17" ht="12.75" customHeight="1">
      <c r="A19" s="827"/>
      <c r="B19" s="828" t="s">
        <v>176</v>
      </c>
      <c r="C19" s="708">
        <v>500</v>
      </c>
      <c r="D19" s="708">
        <v>500</v>
      </c>
      <c r="E19" s="708">
        <v>500</v>
      </c>
      <c r="F19" s="708">
        <v>500</v>
      </c>
      <c r="G19" s="708">
        <v>500</v>
      </c>
      <c r="H19" s="708">
        <v>500</v>
      </c>
      <c r="I19" s="708">
        <v>265</v>
      </c>
      <c r="J19" s="708">
        <v>265</v>
      </c>
      <c r="K19" s="708">
        <v>265</v>
      </c>
      <c r="L19" s="708">
        <v>265</v>
      </c>
      <c r="M19" s="708">
        <v>265</v>
      </c>
      <c r="N19" s="708">
        <v>265</v>
      </c>
      <c r="O19" s="703">
        <f t="shared" ref="O19:O27" si="3">+SUBTOTAL(9,C19:N19)</f>
        <v>4590</v>
      </c>
      <c r="P19" s="824"/>
      <c r="Q19" s="829"/>
    </row>
    <row r="20" spans="1:17" ht="12.75" customHeight="1">
      <c r="A20" s="827"/>
      <c r="B20" s="828" t="s">
        <v>1018</v>
      </c>
      <c r="C20" s="708">
        <v>0</v>
      </c>
      <c r="D20" s="708">
        <v>0</v>
      </c>
      <c r="E20" s="708">
        <v>0</v>
      </c>
      <c r="F20" s="708">
        <v>0</v>
      </c>
      <c r="G20" s="708">
        <v>0</v>
      </c>
      <c r="H20" s="708">
        <v>0</v>
      </c>
      <c r="I20" s="708">
        <v>0</v>
      </c>
      <c r="J20" s="708">
        <v>0</v>
      </c>
      <c r="K20" s="708">
        <v>0</v>
      </c>
      <c r="L20" s="708">
        <v>0</v>
      </c>
      <c r="M20" s="708">
        <v>0</v>
      </c>
      <c r="N20" s="708">
        <v>0</v>
      </c>
      <c r="O20" s="703">
        <f t="shared" si="3"/>
        <v>0</v>
      </c>
      <c r="P20" s="824"/>
      <c r="Q20" s="829"/>
    </row>
    <row r="21" spans="1:17" ht="12.75" customHeight="1">
      <c r="A21" s="827"/>
      <c r="B21" s="830" t="s">
        <v>515</v>
      </c>
      <c r="C21" s="708">
        <v>0</v>
      </c>
      <c r="D21" s="708">
        <v>0</v>
      </c>
      <c r="E21" s="708">
        <v>0</v>
      </c>
      <c r="F21" s="708">
        <v>0</v>
      </c>
      <c r="G21" s="708">
        <v>0</v>
      </c>
      <c r="H21" s="708">
        <v>0</v>
      </c>
      <c r="I21" s="708">
        <v>0</v>
      </c>
      <c r="J21" s="708">
        <v>0</v>
      </c>
      <c r="K21" s="708">
        <v>0</v>
      </c>
      <c r="L21" s="708">
        <v>0</v>
      </c>
      <c r="M21" s="708">
        <v>0</v>
      </c>
      <c r="N21" s="708">
        <v>0</v>
      </c>
      <c r="O21" s="703">
        <f t="shared" si="3"/>
        <v>0</v>
      </c>
      <c r="P21" s="824"/>
      <c r="Q21" s="829"/>
    </row>
    <row r="22" spans="1:17" ht="12.75" customHeight="1">
      <c r="A22" s="827"/>
      <c r="B22" s="830" t="s">
        <v>1019</v>
      </c>
      <c r="C22" s="708">
        <v>0</v>
      </c>
      <c r="D22" s="708">
        <v>0</v>
      </c>
      <c r="E22" s="708">
        <v>0</v>
      </c>
      <c r="F22" s="708">
        <v>0</v>
      </c>
      <c r="G22" s="708">
        <v>0</v>
      </c>
      <c r="H22" s="708">
        <v>0</v>
      </c>
      <c r="I22" s="708">
        <v>0</v>
      </c>
      <c r="J22" s="708">
        <v>0</v>
      </c>
      <c r="K22" s="708">
        <v>0</v>
      </c>
      <c r="L22" s="708">
        <v>0</v>
      </c>
      <c r="M22" s="708">
        <v>0</v>
      </c>
      <c r="N22" s="708">
        <v>0</v>
      </c>
      <c r="O22" s="703">
        <f t="shared" si="3"/>
        <v>0</v>
      </c>
      <c r="P22" s="824"/>
      <c r="Q22" s="829"/>
    </row>
    <row r="23" spans="1:17" ht="12.75" customHeight="1">
      <c r="A23" s="827"/>
      <c r="B23" s="830" t="s">
        <v>1020</v>
      </c>
      <c r="C23" s="708">
        <v>0</v>
      </c>
      <c r="D23" s="708">
        <v>0</v>
      </c>
      <c r="E23" s="708">
        <v>0</v>
      </c>
      <c r="F23" s="708">
        <v>0</v>
      </c>
      <c r="G23" s="708">
        <v>0</v>
      </c>
      <c r="H23" s="708">
        <v>0</v>
      </c>
      <c r="I23" s="708">
        <v>0</v>
      </c>
      <c r="J23" s="708">
        <v>0</v>
      </c>
      <c r="K23" s="708">
        <v>0</v>
      </c>
      <c r="L23" s="708">
        <v>0</v>
      </c>
      <c r="M23" s="708">
        <v>0</v>
      </c>
      <c r="N23" s="708">
        <v>0</v>
      </c>
      <c r="O23" s="703">
        <f t="shared" si="3"/>
        <v>0</v>
      </c>
      <c r="P23" s="824"/>
      <c r="Q23" s="829"/>
    </row>
    <row r="24" spans="1:17" ht="12.75" customHeight="1">
      <c r="A24" s="827"/>
      <c r="B24" s="830" t="s">
        <v>1050</v>
      </c>
      <c r="C24" s="708">
        <v>0</v>
      </c>
      <c r="D24" s="708">
        <v>0</v>
      </c>
      <c r="E24" s="708">
        <v>0</v>
      </c>
      <c r="F24" s="708">
        <v>0</v>
      </c>
      <c r="G24" s="708">
        <v>0</v>
      </c>
      <c r="H24" s="708">
        <v>0</v>
      </c>
      <c r="I24" s="708">
        <v>0</v>
      </c>
      <c r="J24" s="708">
        <v>0</v>
      </c>
      <c r="K24" s="708">
        <v>0</v>
      </c>
      <c r="L24" s="708">
        <v>0</v>
      </c>
      <c r="M24" s="708">
        <v>0</v>
      </c>
      <c r="N24" s="708">
        <v>0</v>
      </c>
      <c r="O24" s="703">
        <f t="shared" si="3"/>
        <v>0</v>
      </c>
      <c r="P24" s="824"/>
      <c r="Q24" s="829"/>
    </row>
    <row r="25" spans="1:17" ht="12.75" customHeight="1">
      <c r="A25" s="827"/>
      <c r="B25" s="830" t="s">
        <v>922</v>
      </c>
      <c r="C25" s="708">
        <v>0</v>
      </c>
      <c r="D25" s="708">
        <v>0</v>
      </c>
      <c r="E25" s="708">
        <v>0</v>
      </c>
      <c r="F25" s="708">
        <v>0</v>
      </c>
      <c r="G25" s="708">
        <v>0</v>
      </c>
      <c r="H25" s="708">
        <v>0</v>
      </c>
      <c r="I25" s="708">
        <v>0</v>
      </c>
      <c r="J25" s="708">
        <v>0</v>
      </c>
      <c r="K25" s="708">
        <v>0</v>
      </c>
      <c r="L25" s="708">
        <v>0</v>
      </c>
      <c r="M25" s="708">
        <v>0</v>
      </c>
      <c r="N25" s="708">
        <v>0</v>
      </c>
      <c r="O25" s="703">
        <f t="shared" si="3"/>
        <v>0</v>
      </c>
      <c r="P25" s="824"/>
      <c r="Q25" s="829"/>
    </row>
    <row r="26" spans="1:17" ht="12.75" customHeight="1">
      <c r="A26" s="827"/>
      <c r="B26" s="830" t="s">
        <v>922</v>
      </c>
      <c r="C26" s="708">
        <v>0</v>
      </c>
      <c r="D26" s="708">
        <v>0</v>
      </c>
      <c r="E26" s="708">
        <v>0</v>
      </c>
      <c r="F26" s="708">
        <v>0</v>
      </c>
      <c r="G26" s="708">
        <v>0</v>
      </c>
      <c r="H26" s="708">
        <v>0</v>
      </c>
      <c r="I26" s="708">
        <v>0</v>
      </c>
      <c r="J26" s="708">
        <v>0</v>
      </c>
      <c r="K26" s="708">
        <v>0</v>
      </c>
      <c r="L26" s="708">
        <v>0</v>
      </c>
      <c r="M26" s="708">
        <v>0</v>
      </c>
      <c r="N26" s="708">
        <v>0</v>
      </c>
      <c r="O26" s="703">
        <f t="shared" si="3"/>
        <v>0</v>
      </c>
      <c r="P26" s="824"/>
      <c r="Q26" s="829"/>
    </row>
    <row r="27" spans="1:17" ht="12.75" customHeight="1">
      <c r="A27" s="827"/>
      <c r="B27" s="830" t="s">
        <v>922</v>
      </c>
      <c r="C27" s="708">
        <v>0</v>
      </c>
      <c r="D27" s="708">
        <v>0</v>
      </c>
      <c r="E27" s="708">
        <v>0</v>
      </c>
      <c r="F27" s="708">
        <v>0</v>
      </c>
      <c r="G27" s="708">
        <v>0</v>
      </c>
      <c r="H27" s="708">
        <v>0</v>
      </c>
      <c r="I27" s="708">
        <v>0</v>
      </c>
      <c r="J27" s="708">
        <v>0</v>
      </c>
      <c r="K27" s="708">
        <v>0</v>
      </c>
      <c r="L27" s="708">
        <v>0</v>
      </c>
      <c r="M27" s="708">
        <v>0</v>
      </c>
      <c r="N27" s="708">
        <v>0</v>
      </c>
      <c r="O27" s="703">
        <f t="shared" si="3"/>
        <v>0</v>
      </c>
      <c r="P27" s="824"/>
      <c r="Q27" s="829"/>
    </row>
    <row r="28" spans="1:17" ht="12.75" customHeight="1">
      <c r="A28" s="827"/>
      <c r="B28" s="830" t="s">
        <v>922</v>
      </c>
      <c r="C28" s="708"/>
      <c r="D28" s="708"/>
      <c r="E28" s="708"/>
      <c r="F28" s="708"/>
      <c r="G28" s="708"/>
      <c r="H28" s="708"/>
      <c r="I28" s="708"/>
      <c r="J28" s="708"/>
      <c r="K28" s="708"/>
      <c r="L28" s="708"/>
      <c r="M28" s="708"/>
      <c r="N28" s="708"/>
      <c r="O28" s="703"/>
      <c r="P28" s="824"/>
      <c r="Q28" s="829"/>
    </row>
    <row r="29" spans="1:17">
      <c r="A29" s="827"/>
      <c r="B29" s="830"/>
      <c r="C29" s="842"/>
      <c r="D29" s="842"/>
      <c r="E29" s="842"/>
      <c r="F29" s="842"/>
      <c r="G29" s="842"/>
      <c r="H29" s="842"/>
      <c r="I29" s="842"/>
      <c r="J29" s="842"/>
      <c r="K29" s="842"/>
      <c r="L29" s="842"/>
      <c r="M29" s="842"/>
      <c r="N29" s="842"/>
      <c r="O29" s="843"/>
      <c r="Q29" s="844"/>
    </row>
    <row r="30" spans="1:17" ht="12.75" customHeight="1" thickBot="1">
      <c r="A30" s="836">
        <v>7710</v>
      </c>
      <c r="B30" s="837" t="s">
        <v>393</v>
      </c>
      <c r="C30" s="838">
        <f t="shared" ref="C30:N30" si="4">SUM(C19:C29)</f>
        <v>500</v>
      </c>
      <c r="D30" s="838">
        <f t="shared" si="4"/>
        <v>500</v>
      </c>
      <c r="E30" s="838">
        <f t="shared" si="4"/>
        <v>500</v>
      </c>
      <c r="F30" s="838">
        <f t="shared" si="4"/>
        <v>500</v>
      </c>
      <c r="G30" s="838">
        <f t="shared" si="4"/>
        <v>500</v>
      </c>
      <c r="H30" s="838">
        <f t="shared" si="4"/>
        <v>500</v>
      </c>
      <c r="I30" s="838">
        <f t="shared" si="4"/>
        <v>265</v>
      </c>
      <c r="J30" s="838">
        <f t="shared" si="4"/>
        <v>265</v>
      </c>
      <c r="K30" s="838">
        <f t="shared" si="4"/>
        <v>265</v>
      </c>
      <c r="L30" s="838">
        <f t="shared" si="4"/>
        <v>265</v>
      </c>
      <c r="M30" s="838">
        <f t="shared" si="4"/>
        <v>265</v>
      </c>
      <c r="N30" s="838">
        <f t="shared" si="4"/>
        <v>265</v>
      </c>
      <c r="O30" s="839">
        <f>+SUBTOTAL(9,C30:N30)</f>
        <v>4590</v>
      </c>
      <c r="P30" s="824"/>
      <c r="Q30" s="840"/>
    </row>
    <row r="31" spans="1:17" ht="12.75" customHeight="1" thickTop="1">
      <c r="A31" s="821"/>
      <c r="B31" s="411"/>
      <c r="C31" s="845"/>
      <c r="D31" s="845"/>
      <c r="E31" s="845"/>
      <c r="F31" s="845"/>
      <c r="G31" s="845"/>
      <c r="H31" s="845"/>
      <c r="I31" s="845"/>
      <c r="J31" s="845"/>
      <c r="K31" s="845"/>
      <c r="L31" s="845"/>
      <c r="M31" s="845"/>
      <c r="N31" s="845"/>
      <c r="O31" s="846"/>
      <c r="P31" s="824"/>
      <c r="Q31" s="825"/>
    </row>
    <row r="32" spans="1:17" ht="12.75" customHeight="1">
      <c r="A32" s="690" t="s">
        <v>206</v>
      </c>
      <c r="B32" s="691" t="s">
        <v>748</v>
      </c>
      <c r="C32" s="692">
        <f t="shared" ref="C32:O32" si="5">C4</f>
        <v>45901</v>
      </c>
      <c r="D32" s="692">
        <f t="shared" si="5"/>
        <v>45961</v>
      </c>
      <c r="E32" s="692">
        <f t="shared" si="5"/>
        <v>45991</v>
      </c>
      <c r="F32" s="692">
        <f t="shared" si="5"/>
        <v>46022</v>
      </c>
      <c r="G32" s="692">
        <f t="shared" si="5"/>
        <v>46053</v>
      </c>
      <c r="H32" s="692">
        <f t="shared" si="5"/>
        <v>46081</v>
      </c>
      <c r="I32" s="692">
        <f t="shared" si="5"/>
        <v>46112</v>
      </c>
      <c r="J32" s="692">
        <f t="shared" si="5"/>
        <v>46142</v>
      </c>
      <c r="K32" s="692">
        <f t="shared" si="5"/>
        <v>46173</v>
      </c>
      <c r="L32" s="692">
        <f t="shared" si="5"/>
        <v>46203</v>
      </c>
      <c r="M32" s="692">
        <f t="shared" si="5"/>
        <v>46234</v>
      </c>
      <c r="N32" s="692">
        <f t="shared" si="5"/>
        <v>46265</v>
      </c>
      <c r="O32" s="693" t="str">
        <f t="shared" si="5"/>
        <v>Year 1 Total</v>
      </c>
      <c r="P32" s="824"/>
      <c r="Q32" s="826" t="s">
        <v>23</v>
      </c>
    </row>
    <row r="33" spans="1:20" ht="5.25" customHeight="1">
      <c r="A33" s="847"/>
      <c r="C33" s="842"/>
      <c r="D33" s="842"/>
      <c r="E33" s="842"/>
      <c r="F33" s="842"/>
      <c r="G33" s="842"/>
      <c r="H33" s="842"/>
      <c r="I33" s="842"/>
      <c r="J33" s="842"/>
      <c r="K33" s="842"/>
      <c r="L33" s="842"/>
      <c r="M33" s="842"/>
      <c r="N33" s="842"/>
      <c r="O33" s="843"/>
      <c r="P33" s="824"/>
      <c r="Q33" s="844"/>
    </row>
    <row r="34" spans="1:20" ht="12.75" customHeight="1">
      <c r="A34" s="847"/>
      <c r="B34" s="828" t="s">
        <v>897</v>
      </c>
      <c r="C34" s="708">
        <v>125</v>
      </c>
      <c r="D34" s="708">
        <v>125</v>
      </c>
      <c r="E34" s="708">
        <v>125</v>
      </c>
      <c r="F34" s="708">
        <v>125</v>
      </c>
      <c r="G34" s="708">
        <v>125</v>
      </c>
      <c r="H34" s="708">
        <v>125</v>
      </c>
      <c r="I34" s="708">
        <v>125</v>
      </c>
      <c r="J34" s="708">
        <v>125</v>
      </c>
      <c r="K34" s="708">
        <v>125</v>
      </c>
      <c r="L34" s="708">
        <v>125</v>
      </c>
      <c r="M34" s="708">
        <v>125</v>
      </c>
      <c r="N34" s="708">
        <v>125</v>
      </c>
      <c r="O34" s="703">
        <f t="shared" ref="O34:O40" si="6">+SUBTOTAL(9,C34:N34)</f>
        <v>1500</v>
      </c>
      <c r="P34" s="824"/>
      <c r="Q34" s="829"/>
    </row>
    <row r="35" spans="1:20" ht="12.75" customHeight="1">
      <c r="A35" s="847"/>
      <c r="B35" s="828" t="s">
        <v>1023</v>
      </c>
      <c r="C35" s="708">
        <v>0</v>
      </c>
      <c r="D35" s="708">
        <v>0</v>
      </c>
      <c r="E35" s="708">
        <v>0</v>
      </c>
      <c r="F35" s="708">
        <v>0</v>
      </c>
      <c r="G35" s="708">
        <v>0</v>
      </c>
      <c r="H35" s="708">
        <v>0</v>
      </c>
      <c r="I35" s="708">
        <v>0</v>
      </c>
      <c r="J35" s="708">
        <v>0</v>
      </c>
      <c r="K35" s="708">
        <v>0</v>
      </c>
      <c r="L35" s="708">
        <v>0</v>
      </c>
      <c r="M35" s="708">
        <v>0</v>
      </c>
      <c r="N35" s="708">
        <v>0</v>
      </c>
      <c r="O35" s="703">
        <f t="shared" si="6"/>
        <v>0</v>
      </c>
      <c r="P35" s="824"/>
      <c r="Q35" s="829"/>
    </row>
    <row r="36" spans="1:20" ht="12.75" customHeight="1">
      <c r="A36" s="847"/>
      <c r="B36" s="828" t="s">
        <v>514</v>
      </c>
      <c r="C36" s="708">
        <v>0</v>
      </c>
      <c r="D36" s="708">
        <v>0</v>
      </c>
      <c r="E36" s="708">
        <v>0</v>
      </c>
      <c r="F36" s="708">
        <v>0</v>
      </c>
      <c r="G36" s="708">
        <v>0</v>
      </c>
      <c r="H36" s="708">
        <v>0</v>
      </c>
      <c r="I36" s="708">
        <v>0</v>
      </c>
      <c r="J36" s="708">
        <v>0</v>
      </c>
      <c r="K36" s="708">
        <v>0</v>
      </c>
      <c r="L36" s="708">
        <v>0</v>
      </c>
      <c r="M36" s="708">
        <v>0</v>
      </c>
      <c r="N36" s="708">
        <v>0</v>
      </c>
      <c r="O36" s="703">
        <f t="shared" si="6"/>
        <v>0</v>
      </c>
      <c r="P36" s="824"/>
      <c r="Q36" s="829"/>
    </row>
    <row r="37" spans="1:20" ht="12.75" customHeight="1">
      <c r="A37" s="847"/>
      <c r="B37" s="830" t="s">
        <v>1146</v>
      </c>
      <c r="C37" s="708">
        <v>0</v>
      </c>
      <c r="D37" s="708">
        <v>0</v>
      </c>
      <c r="E37" s="708">
        <v>0</v>
      </c>
      <c r="F37" s="708">
        <v>0</v>
      </c>
      <c r="G37" s="708">
        <v>0</v>
      </c>
      <c r="H37" s="708">
        <v>0</v>
      </c>
      <c r="I37" s="708">
        <v>0</v>
      </c>
      <c r="J37" s="708">
        <v>0</v>
      </c>
      <c r="K37" s="708">
        <v>0</v>
      </c>
      <c r="L37" s="708">
        <v>0</v>
      </c>
      <c r="M37" s="708">
        <v>0</v>
      </c>
      <c r="N37" s="708">
        <v>0</v>
      </c>
      <c r="O37" s="703">
        <f t="shared" si="6"/>
        <v>0</v>
      </c>
      <c r="P37" s="824"/>
      <c r="Q37" s="844"/>
    </row>
    <row r="38" spans="1:20" ht="12.75" customHeight="1">
      <c r="A38" s="847"/>
      <c r="B38" s="830" t="s">
        <v>1166</v>
      </c>
      <c r="C38" s="708">
        <f>+$T$38*'GPR Worksheet'!$C$22</f>
        <v>560.25</v>
      </c>
      <c r="D38" s="708">
        <f>+$T$38*'GPR Worksheet'!$C$22</f>
        <v>560.25</v>
      </c>
      <c r="E38" s="708">
        <f>+$T$38*'GPR Worksheet'!$C$22</f>
        <v>560.25</v>
      </c>
      <c r="F38" s="708">
        <f>+$T$38*'GPR Worksheet'!$C$22</f>
        <v>560.25</v>
      </c>
      <c r="G38" s="708">
        <f>+$T$38*'GPR Worksheet'!$C$22</f>
        <v>560.25</v>
      </c>
      <c r="H38" s="708">
        <f>+$T$38*'GPR Worksheet'!$C$22</f>
        <v>560.25</v>
      </c>
      <c r="I38" s="708">
        <f>+$T$38*'GPR Worksheet'!$C$22</f>
        <v>560.25</v>
      </c>
      <c r="J38" s="708">
        <f>+$T$38*'GPR Worksheet'!$C$22</f>
        <v>560.25</v>
      </c>
      <c r="K38" s="708">
        <f>+$T$38*'GPR Worksheet'!$C$22</f>
        <v>560.25</v>
      </c>
      <c r="L38" s="708">
        <f>+$T$38*'GPR Worksheet'!$C$22</f>
        <v>560.25</v>
      </c>
      <c r="M38" s="708">
        <f>+$T$38*'GPR Worksheet'!$C$22</f>
        <v>560.25</v>
      </c>
      <c r="N38" s="708">
        <f>+$T$38*'GPR Worksheet'!$C$22</f>
        <v>560.25</v>
      </c>
      <c r="O38" s="703">
        <f t="shared" si="6"/>
        <v>6723</v>
      </c>
      <c r="P38" s="824"/>
      <c r="Q38" s="844"/>
      <c r="S38" s="414" t="s">
        <v>138</v>
      </c>
      <c r="T38" s="414">
        <v>6.75</v>
      </c>
    </row>
    <row r="39" spans="1:20" ht="12.75" customHeight="1">
      <c r="A39" s="847"/>
      <c r="B39" s="830" t="s">
        <v>922</v>
      </c>
      <c r="C39" s="708">
        <v>0</v>
      </c>
      <c r="D39" s="708">
        <v>0</v>
      </c>
      <c r="E39" s="708">
        <v>0</v>
      </c>
      <c r="F39" s="708">
        <v>0</v>
      </c>
      <c r="G39" s="708">
        <v>0</v>
      </c>
      <c r="H39" s="708">
        <v>0</v>
      </c>
      <c r="I39" s="708">
        <v>0</v>
      </c>
      <c r="J39" s="708">
        <v>0</v>
      </c>
      <c r="K39" s="708">
        <v>0</v>
      </c>
      <c r="L39" s="708">
        <v>0</v>
      </c>
      <c r="M39" s="708">
        <v>0</v>
      </c>
      <c r="N39" s="708">
        <v>0</v>
      </c>
      <c r="O39" s="703">
        <f t="shared" si="6"/>
        <v>0</v>
      </c>
      <c r="P39" s="824"/>
      <c r="Q39" s="844"/>
    </row>
    <row r="40" spans="1:20" ht="12.75" customHeight="1">
      <c r="A40" s="847"/>
      <c r="B40" s="830" t="s">
        <v>922</v>
      </c>
      <c r="C40" s="708">
        <v>0</v>
      </c>
      <c r="D40" s="708">
        <v>0</v>
      </c>
      <c r="E40" s="708">
        <v>0</v>
      </c>
      <c r="F40" s="708">
        <v>0</v>
      </c>
      <c r="G40" s="708">
        <v>0</v>
      </c>
      <c r="H40" s="708">
        <v>0</v>
      </c>
      <c r="I40" s="708">
        <v>0</v>
      </c>
      <c r="J40" s="708">
        <v>0</v>
      </c>
      <c r="K40" s="708">
        <v>0</v>
      </c>
      <c r="L40" s="708">
        <v>0</v>
      </c>
      <c r="M40" s="708">
        <v>0</v>
      </c>
      <c r="N40" s="708">
        <v>0</v>
      </c>
      <c r="O40" s="703">
        <f t="shared" si="6"/>
        <v>0</v>
      </c>
      <c r="P40" s="824"/>
      <c r="Q40" s="844"/>
    </row>
    <row r="41" spans="1:20">
      <c r="A41" s="847"/>
      <c r="B41" s="828"/>
      <c r="O41" s="848"/>
      <c r="Q41" s="849"/>
    </row>
    <row r="42" spans="1:20" ht="12.75" customHeight="1" thickBot="1">
      <c r="A42" s="850">
        <v>7715</v>
      </c>
      <c r="B42" s="837" t="s">
        <v>748</v>
      </c>
      <c r="C42" s="838">
        <f t="shared" ref="C42:N42" si="7">+SUM(C34:C40)</f>
        <v>685.25</v>
      </c>
      <c r="D42" s="838">
        <f t="shared" si="7"/>
        <v>685.25</v>
      </c>
      <c r="E42" s="838">
        <f t="shared" si="7"/>
        <v>685.25</v>
      </c>
      <c r="F42" s="838">
        <f t="shared" si="7"/>
        <v>685.25</v>
      </c>
      <c r="G42" s="838">
        <f t="shared" si="7"/>
        <v>685.25</v>
      </c>
      <c r="H42" s="838">
        <f t="shared" si="7"/>
        <v>685.25</v>
      </c>
      <c r="I42" s="838">
        <f t="shared" si="7"/>
        <v>685.25</v>
      </c>
      <c r="J42" s="838">
        <f t="shared" si="7"/>
        <v>685.25</v>
      </c>
      <c r="K42" s="838">
        <f t="shared" si="7"/>
        <v>685.25</v>
      </c>
      <c r="L42" s="838">
        <f t="shared" si="7"/>
        <v>685.25</v>
      </c>
      <c r="M42" s="838">
        <f t="shared" si="7"/>
        <v>685.25</v>
      </c>
      <c r="N42" s="838">
        <f t="shared" si="7"/>
        <v>685.25</v>
      </c>
      <c r="O42" s="839">
        <f>+SUBTOTAL(9,C42:N42)</f>
        <v>8223</v>
      </c>
      <c r="P42" s="824"/>
      <c r="Q42" s="840"/>
    </row>
    <row r="43" spans="1:20" ht="12.75" customHeight="1" thickTop="1">
      <c r="A43" s="827"/>
      <c r="C43" s="842"/>
      <c r="D43" s="842"/>
      <c r="E43" s="842"/>
      <c r="F43" s="842"/>
      <c r="G43" s="842"/>
      <c r="H43" s="842"/>
      <c r="I43" s="842"/>
      <c r="J43" s="842"/>
      <c r="K43" s="842"/>
      <c r="L43" s="842"/>
      <c r="M43" s="842"/>
      <c r="N43" s="842"/>
      <c r="O43" s="842"/>
      <c r="P43" s="824"/>
    </row>
    <row r="44" spans="1:20" ht="12.75" customHeight="1">
      <c r="A44" s="827"/>
      <c r="C44" s="842"/>
      <c r="D44" s="842"/>
      <c r="E44" s="842"/>
      <c r="F44" s="842"/>
      <c r="G44" s="842"/>
      <c r="H44" s="842"/>
      <c r="I44" s="842"/>
      <c r="J44" s="842"/>
      <c r="K44" s="842"/>
      <c r="L44" s="842"/>
      <c r="M44" s="842"/>
      <c r="N44" s="842"/>
      <c r="O44" s="842"/>
      <c r="P44" s="824"/>
    </row>
    <row r="45" spans="1:20" ht="12.75" customHeight="1">
      <c r="A45" s="690" t="s">
        <v>206</v>
      </c>
      <c r="B45" s="691" t="s">
        <v>179</v>
      </c>
      <c r="C45" s="692">
        <f t="shared" ref="C45:O45" si="8">C4</f>
        <v>45901</v>
      </c>
      <c r="D45" s="692">
        <f t="shared" si="8"/>
        <v>45961</v>
      </c>
      <c r="E45" s="692">
        <f t="shared" si="8"/>
        <v>45991</v>
      </c>
      <c r="F45" s="692">
        <f t="shared" si="8"/>
        <v>46022</v>
      </c>
      <c r="G45" s="692">
        <f t="shared" si="8"/>
        <v>46053</v>
      </c>
      <c r="H45" s="692">
        <f t="shared" si="8"/>
        <v>46081</v>
      </c>
      <c r="I45" s="692">
        <f t="shared" si="8"/>
        <v>46112</v>
      </c>
      <c r="J45" s="692">
        <f t="shared" si="8"/>
        <v>46142</v>
      </c>
      <c r="K45" s="692">
        <f t="shared" si="8"/>
        <v>46173</v>
      </c>
      <c r="L45" s="692">
        <f t="shared" si="8"/>
        <v>46203</v>
      </c>
      <c r="M45" s="692">
        <f t="shared" si="8"/>
        <v>46234</v>
      </c>
      <c r="N45" s="692">
        <f t="shared" si="8"/>
        <v>46265</v>
      </c>
      <c r="O45" s="693" t="str">
        <f t="shared" si="8"/>
        <v>Year 1 Total</v>
      </c>
      <c r="P45" s="824"/>
      <c r="Q45" s="826" t="s">
        <v>23</v>
      </c>
    </row>
    <row r="46" spans="1:20" ht="12.75" customHeight="1">
      <c r="A46" s="827"/>
      <c r="B46" s="828" t="s">
        <v>119</v>
      </c>
      <c r="C46" s="708">
        <v>0</v>
      </c>
      <c r="D46" s="708">
        <v>0</v>
      </c>
      <c r="E46" s="708">
        <v>0</v>
      </c>
      <c r="F46" s="708">
        <v>0</v>
      </c>
      <c r="G46" s="708">
        <v>0</v>
      </c>
      <c r="H46" s="708">
        <v>0</v>
      </c>
      <c r="I46" s="708">
        <v>0</v>
      </c>
      <c r="J46" s="708">
        <v>0</v>
      </c>
      <c r="K46" s="708">
        <v>0</v>
      </c>
      <c r="L46" s="708">
        <v>0</v>
      </c>
      <c r="M46" s="708">
        <v>0</v>
      </c>
      <c r="N46" s="708">
        <v>0</v>
      </c>
      <c r="O46" s="703">
        <f t="shared" ref="O46:O51" si="9">+SUBTOTAL(9,C46:N46)</f>
        <v>0</v>
      </c>
      <c r="P46" s="824"/>
      <c r="Q46" s="829"/>
    </row>
    <row r="47" spans="1:20" ht="12.75" customHeight="1">
      <c r="A47" s="827"/>
      <c r="B47" s="830" t="s">
        <v>180</v>
      </c>
      <c r="C47" s="706">
        <v>0</v>
      </c>
      <c r="D47" s="706">
        <v>0</v>
      </c>
      <c r="E47" s="706">
        <v>0</v>
      </c>
      <c r="F47" s="706">
        <v>0</v>
      </c>
      <c r="G47" s="706">
        <v>0</v>
      </c>
      <c r="H47" s="706">
        <v>0</v>
      </c>
      <c r="I47" s="706">
        <v>0</v>
      </c>
      <c r="J47" s="706">
        <v>0</v>
      </c>
      <c r="K47" s="706">
        <v>0</v>
      </c>
      <c r="L47" s="706">
        <v>0</v>
      </c>
      <c r="M47" s="706">
        <v>0</v>
      </c>
      <c r="N47" s="706">
        <v>0</v>
      </c>
      <c r="O47" s="703">
        <f t="shared" si="9"/>
        <v>0</v>
      </c>
      <c r="P47" s="824"/>
      <c r="Q47" s="844"/>
      <c r="R47" s="1004"/>
      <c r="S47" s="1003" t="s">
        <v>1154</v>
      </c>
      <c r="T47" s="1005">
        <v>0.15</v>
      </c>
    </row>
    <row r="48" spans="1:20" ht="12.75" customHeight="1">
      <c r="A48" s="827"/>
      <c r="B48" s="830" t="s">
        <v>181</v>
      </c>
      <c r="C48" s="708">
        <v>0</v>
      </c>
      <c r="D48" s="708" t="s">
        <v>1156</v>
      </c>
      <c r="E48" s="708">
        <v>0</v>
      </c>
      <c r="F48" s="708">
        <v>0</v>
      </c>
      <c r="G48" s="708">
        <v>0</v>
      </c>
      <c r="H48" s="708">
        <v>0</v>
      </c>
      <c r="I48" s="708">
        <v>0</v>
      </c>
      <c r="J48" s="708">
        <v>0</v>
      </c>
      <c r="K48" s="708">
        <v>0</v>
      </c>
      <c r="L48" s="708">
        <v>0</v>
      </c>
      <c r="M48" s="708">
        <v>0</v>
      </c>
      <c r="N48" s="708">
        <v>0</v>
      </c>
      <c r="O48" s="703">
        <f t="shared" si="9"/>
        <v>0</v>
      </c>
      <c r="P48" s="824"/>
      <c r="Q48" s="829" t="s">
        <v>1155</v>
      </c>
    </row>
    <row r="49" spans="1:17" ht="12.75" customHeight="1">
      <c r="A49" s="827"/>
      <c r="B49" s="830" t="s">
        <v>922</v>
      </c>
      <c r="C49" s="708">
        <v>0</v>
      </c>
      <c r="D49" s="708">
        <v>0</v>
      </c>
      <c r="E49" s="708">
        <v>0</v>
      </c>
      <c r="F49" s="708">
        <v>0</v>
      </c>
      <c r="G49" s="708">
        <v>0</v>
      </c>
      <c r="H49" s="708">
        <v>0</v>
      </c>
      <c r="I49" s="708">
        <v>0</v>
      </c>
      <c r="J49" s="708">
        <v>0</v>
      </c>
      <c r="K49" s="708">
        <v>0</v>
      </c>
      <c r="L49" s="708">
        <v>0</v>
      </c>
      <c r="M49" s="708">
        <v>0</v>
      </c>
      <c r="N49" s="708">
        <v>0</v>
      </c>
      <c r="O49" s="703">
        <f t="shared" si="9"/>
        <v>0</v>
      </c>
      <c r="P49" s="824"/>
      <c r="Q49" s="829"/>
    </row>
    <row r="50" spans="1:17" ht="12.75" customHeight="1">
      <c r="A50" s="827"/>
      <c r="B50" s="830" t="s">
        <v>922</v>
      </c>
      <c r="C50" s="708">
        <v>0</v>
      </c>
      <c r="D50" s="708">
        <v>0</v>
      </c>
      <c r="E50" s="708">
        <v>0</v>
      </c>
      <c r="F50" s="708">
        <v>0</v>
      </c>
      <c r="G50" s="708">
        <v>0</v>
      </c>
      <c r="H50" s="708">
        <v>0</v>
      </c>
      <c r="I50" s="708">
        <v>0</v>
      </c>
      <c r="J50" s="708">
        <v>0</v>
      </c>
      <c r="K50" s="708">
        <v>0</v>
      </c>
      <c r="L50" s="708">
        <v>0</v>
      </c>
      <c r="M50" s="708">
        <v>0</v>
      </c>
      <c r="N50" s="708">
        <v>0</v>
      </c>
      <c r="O50" s="703">
        <f t="shared" si="9"/>
        <v>0</v>
      </c>
      <c r="P50" s="824"/>
      <c r="Q50" s="829"/>
    </row>
    <row r="51" spans="1:17" ht="12.75" customHeight="1">
      <c r="A51" s="827"/>
      <c r="B51" s="830" t="s">
        <v>922</v>
      </c>
      <c r="C51" s="708">
        <v>0</v>
      </c>
      <c r="D51" s="708">
        <v>0</v>
      </c>
      <c r="E51" s="708">
        <v>0</v>
      </c>
      <c r="F51" s="708">
        <v>0</v>
      </c>
      <c r="G51" s="708">
        <v>0</v>
      </c>
      <c r="H51" s="708">
        <v>0</v>
      </c>
      <c r="I51" s="708">
        <v>0</v>
      </c>
      <c r="J51" s="708">
        <v>0</v>
      </c>
      <c r="K51" s="708">
        <v>0</v>
      </c>
      <c r="L51" s="708">
        <v>0</v>
      </c>
      <c r="M51" s="708">
        <v>0</v>
      </c>
      <c r="N51" s="708">
        <v>0</v>
      </c>
      <c r="O51" s="703">
        <f t="shared" si="9"/>
        <v>0</v>
      </c>
      <c r="P51" s="824"/>
      <c r="Q51" s="829"/>
    </row>
    <row r="52" spans="1:17">
      <c r="A52" s="827"/>
      <c r="B52" s="830"/>
      <c r="C52" s="842"/>
      <c r="D52" s="842"/>
      <c r="E52" s="842"/>
      <c r="F52" s="842"/>
      <c r="G52" s="842"/>
      <c r="H52" s="842"/>
      <c r="I52" s="842"/>
      <c r="J52" s="842"/>
      <c r="K52" s="842"/>
      <c r="L52" s="842"/>
      <c r="M52" s="842"/>
      <c r="N52" s="842"/>
      <c r="O52" s="843"/>
      <c r="Q52" s="844"/>
    </row>
    <row r="53" spans="1:17" ht="12.75" customHeight="1" thickBot="1">
      <c r="A53" s="836">
        <v>7730</v>
      </c>
      <c r="B53" s="837" t="s">
        <v>749</v>
      </c>
      <c r="C53" s="838">
        <f t="shared" ref="C53:N53" si="10">SUM(C46:C52)</f>
        <v>0</v>
      </c>
      <c r="D53" s="838">
        <f t="shared" si="10"/>
        <v>0</v>
      </c>
      <c r="E53" s="838">
        <f t="shared" si="10"/>
        <v>0</v>
      </c>
      <c r="F53" s="838">
        <f t="shared" si="10"/>
        <v>0</v>
      </c>
      <c r="G53" s="838">
        <f t="shared" si="10"/>
        <v>0</v>
      </c>
      <c r="H53" s="838">
        <f t="shared" si="10"/>
        <v>0</v>
      </c>
      <c r="I53" s="838">
        <f t="shared" si="10"/>
        <v>0</v>
      </c>
      <c r="J53" s="838">
        <f t="shared" si="10"/>
        <v>0</v>
      </c>
      <c r="K53" s="838">
        <f t="shared" si="10"/>
        <v>0</v>
      </c>
      <c r="L53" s="838">
        <f t="shared" si="10"/>
        <v>0</v>
      </c>
      <c r="M53" s="838">
        <f t="shared" si="10"/>
        <v>0</v>
      </c>
      <c r="N53" s="838">
        <f t="shared" si="10"/>
        <v>0</v>
      </c>
      <c r="O53" s="839">
        <f>+SUBTOTAL(9,C53:N53)</f>
        <v>0</v>
      </c>
      <c r="P53" s="824"/>
      <c r="Q53" s="840"/>
    </row>
    <row r="54" spans="1:17" ht="12.75" customHeight="1" thickTop="1">
      <c r="A54" s="851"/>
      <c r="B54" s="852"/>
      <c r="C54" s="851"/>
      <c r="D54" s="853"/>
      <c r="E54" s="854"/>
      <c r="F54" s="851"/>
      <c r="G54" s="851"/>
      <c r="H54" s="851"/>
      <c r="I54" s="851"/>
      <c r="J54" s="851"/>
      <c r="K54" s="851"/>
      <c r="L54" s="851"/>
      <c r="M54" s="851"/>
      <c r="N54" s="851"/>
      <c r="O54" s="851"/>
      <c r="P54" s="824"/>
    </row>
    <row r="55" spans="1:17" ht="12.75" customHeight="1">
      <c r="A55" s="821"/>
      <c r="C55" s="821"/>
      <c r="D55" s="822"/>
      <c r="E55" s="823"/>
      <c r="F55" s="821"/>
      <c r="G55" s="821"/>
      <c r="H55" s="821"/>
      <c r="I55" s="821"/>
      <c r="J55" s="821"/>
      <c r="K55" s="821"/>
      <c r="L55" s="821"/>
      <c r="M55" s="821"/>
      <c r="N55" s="821"/>
      <c r="O55" s="821"/>
      <c r="P55" s="824"/>
    </row>
    <row r="56" spans="1:17" ht="12.75" customHeight="1">
      <c r="A56" s="690" t="s">
        <v>206</v>
      </c>
      <c r="B56" s="691" t="s">
        <v>187</v>
      </c>
      <c r="C56" s="692">
        <f t="shared" ref="C56:O56" si="11">C103</f>
        <v>45901</v>
      </c>
      <c r="D56" s="692">
        <f t="shared" si="11"/>
        <v>45961</v>
      </c>
      <c r="E56" s="692">
        <f t="shared" si="11"/>
        <v>45991</v>
      </c>
      <c r="F56" s="692">
        <f t="shared" si="11"/>
        <v>46022</v>
      </c>
      <c r="G56" s="692">
        <f t="shared" si="11"/>
        <v>46053</v>
      </c>
      <c r="H56" s="692">
        <f t="shared" si="11"/>
        <v>46081</v>
      </c>
      <c r="I56" s="692">
        <f t="shared" si="11"/>
        <v>46112</v>
      </c>
      <c r="J56" s="692">
        <f t="shared" si="11"/>
        <v>46142</v>
      </c>
      <c r="K56" s="692">
        <f t="shared" si="11"/>
        <v>46173</v>
      </c>
      <c r="L56" s="692">
        <f t="shared" si="11"/>
        <v>46203</v>
      </c>
      <c r="M56" s="692">
        <f t="shared" si="11"/>
        <v>46234</v>
      </c>
      <c r="N56" s="692">
        <f t="shared" ref="N56" si="12">N103</f>
        <v>46265</v>
      </c>
      <c r="O56" s="693" t="str">
        <f t="shared" si="11"/>
        <v>Year 1 Total</v>
      </c>
      <c r="P56" s="824"/>
      <c r="Q56" s="826" t="s">
        <v>23</v>
      </c>
    </row>
    <row r="57" spans="1:17" ht="12.75" customHeight="1">
      <c r="A57" s="827"/>
      <c r="B57" s="828" t="s">
        <v>188</v>
      </c>
      <c r="C57" s="708">
        <v>0</v>
      </c>
      <c r="D57" s="708">
        <v>0</v>
      </c>
      <c r="E57" s="708">
        <v>0</v>
      </c>
      <c r="F57" s="708">
        <v>0</v>
      </c>
      <c r="G57" s="708">
        <v>0</v>
      </c>
      <c r="H57" s="708">
        <v>0</v>
      </c>
      <c r="I57" s="708">
        <v>0</v>
      </c>
      <c r="J57" s="708">
        <v>0</v>
      </c>
      <c r="K57" s="708">
        <v>0</v>
      </c>
      <c r="L57" s="708">
        <v>0</v>
      </c>
      <c r="M57" s="708">
        <v>0</v>
      </c>
      <c r="N57" s="708">
        <v>0</v>
      </c>
      <c r="O57" s="703">
        <f t="shared" ref="O57:O64" si="13">+SUBTOTAL(9,C57:N57)</f>
        <v>0</v>
      </c>
      <c r="P57" s="824"/>
      <c r="Q57" s="829"/>
    </row>
    <row r="58" spans="1:17" ht="12.75" customHeight="1">
      <c r="B58" s="828" t="s">
        <v>189</v>
      </c>
      <c r="C58" s="708">
        <v>0</v>
      </c>
      <c r="D58" s="708">
        <v>0</v>
      </c>
      <c r="E58" s="708">
        <v>0</v>
      </c>
      <c r="F58" s="708">
        <v>0</v>
      </c>
      <c r="G58" s="708">
        <v>0</v>
      </c>
      <c r="H58" s="708">
        <v>0</v>
      </c>
      <c r="I58" s="708">
        <v>0</v>
      </c>
      <c r="J58" s="708">
        <v>0</v>
      </c>
      <c r="K58" s="708">
        <v>0</v>
      </c>
      <c r="L58" s="708">
        <v>0</v>
      </c>
      <c r="M58" s="708">
        <v>0</v>
      </c>
      <c r="N58" s="708">
        <v>0</v>
      </c>
      <c r="O58" s="703">
        <f t="shared" si="13"/>
        <v>0</v>
      </c>
      <c r="P58" s="824"/>
      <c r="Q58" s="829"/>
    </row>
    <row r="59" spans="1:17" ht="12.75" customHeight="1">
      <c r="B59" s="828" t="s">
        <v>1024</v>
      </c>
      <c r="C59" s="708">
        <v>0</v>
      </c>
      <c r="D59" s="708">
        <v>0</v>
      </c>
      <c r="E59" s="708">
        <v>0</v>
      </c>
      <c r="F59" s="708">
        <v>0</v>
      </c>
      <c r="G59" s="708">
        <v>0</v>
      </c>
      <c r="H59" s="708">
        <v>0</v>
      </c>
      <c r="I59" s="708">
        <v>0</v>
      </c>
      <c r="J59" s="708">
        <v>0</v>
      </c>
      <c r="K59" s="708">
        <v>0</v>
      </c>
      <c r="L59" s="708">
        <v>0</v>
      </c>
      <c r="M59" s="708">
        <v>0</v>
      </c>
      <c r="N59" s="708">
        <v>0</v>
      </c>
      <c r="O59" s="703">
        <f t="shared" si="13"/>
        <v>0</v>
      </c>
      <c r="P59" s="824"/>
      <c r="Q59" s="829"/>
    </row>
    <row r="60" spans="1:17" ht="12.75" customHeight="1">
      <c r="A60" s="827"/>
      <c r="B60" s="828" t="s">
        <v>508</v>
      </c>
      <c r="C60" s="708">
        <v>0</v>
      </c>
      <c r="D60" s="708">
        <v>0</v>
      </c>
      <c r="E60" s="708">
        <v>0</v>
      </c>
      <c r="F60" s="708">
        <v>0</v>
      </c>
      <c r="G60" s="708">
        <v>0</v>
      </c>
      <c r="H60" s="708">
        <v>0</v>
      </c>
      <c r="I60" s="708">
        <v>0</v>
      </c>
      <c r="J60" s="708">
        <v>0</v>
      </c>
      <c r="K60" s="708">
        <v>0</v>
      </c>
      <c r="L60" s="708">
        <v>0</v>
      </c>
      <c r="M60" s="708">
        <v>0</v>
      </c>
      <c r="N60" s="708">
        <v>0</v>
      </c>
      <c r="O60" s="703">
        <f t="shared" si="13"/>
        <v>0</v>
      </c>
      <c r="P60" s="824"/>
      <c r="Q60" s="829"/>
    </row>
    <row r="61" spans="1:17" ht="12.75" customHeight="1">
      <c r="A61" s="827"/>
      <c r="B61" s="828" t="s">
        <v>898</v>
      </c>
      <c r="C61" s="708">
        <v>0</v>
      </c>
      <c r="D61" s="708">
        <v>0</v>
      </c>
      <c r="E61" s="708">
        <v>0</v>
      </c>
      <c r="F61" s="708">
        <v>0</v>
      </c>
      <c r="G61" s="708">
        <v>0</v>
      </c>
      <c r="H61" s="708">
        <v>0</v>
      </c>
      <c r="I61" s="708">
        <v>0</v>
      </c>
      <c r="J61" s="708">
        <v>0</v>
      </c>
      <c r="K61" s="708">
        <v>0</v>
      </c>
      <c r="L61" s="708">
        <v>0</v>
      </c>
      <c r="M61" s="708">
        <v>0</v>
      </c>
      <c r="N61" s="708">
        <v>0</v>
      </c>
      <c r="O61" s="703">
        <f t="shared" si="13"/>
        <v>0</v>
      </c>
      <c r="P61" s="824"/>
      <c r="Q61" s="829"/>
    </row>
    <row r="62" spans="1:17" ht="12.75" customHeight="1">
      <c r="A62" s="827"/>
      <c r="B62" s="830" t="s">
        <v>922</v>
      </c>
      <c r="C62" s="708">
        <v>0</v>
      </c>
      <c r="D62" s="708">
        <v>0</v>
      </c>
      <c r="E62" s="708">
        <v>0</v>
      </c>
      <c r="F62" s="708">
        <v>0</v>
      </c>
      <c r="G62" s="708">
        <v>0</v>
      </c>
      <c r="H62" s="708">
        <v>0</v>
      </c>
      <c r="I62" s="708">
        <v>0</v>
      </c>
      <c r="J62" s="708">
        <v>0</v>
      </c>
      <c r="K62" s="708">
        <v>0</v>
      </c>
      <c r="L62" s="708">
        <v>0</v>
      </c>
      <c r="M62" s="708">
        <v>0</v>
      </c>
      <c r="N62" s="708">
        <v>0</v>
      </c>
      <c r="O62" s="703">
        <f t="shared" si="13"/>
        <v>0</v>
      </c>
      <c r="P62" s="824"/>
      <c r="Q62" s="829"/>
    </row>
    <row r="63" spans="1:17" ht="12.75" customHeight="1">
      <c r="A63" s="827"/>
      <c r="B63" s="830" t="s">
        <v>922</v>
      </c>
      <c r="C63" s="708">
        <v>0</v>
      </c>
      <c r="D63" s="708">
        <v>0</v>
      </c>
      <c r="E63" s="708">
        <v>0</v>
      </c>
      <c r="F63" s="708">
        <v>0</v>
      </c>
      <c r="G63" s="708">
        <v>0</v>
      </c>
      <c r="H63" s="708">
        <v>0</v>
      </c>
      <c r="I63" s="708">
        <v>0</v>
      </c>
      <c r="J63" s="708">
        <v>0</v>
      </c>
      <c r="K63" s="708">
        <v>0</v>
      </c>
      <c r="L63" s="708">
        <v>0</v>
      </c>
      <c r="M63" s="708">
        <v>0</v>
      </c>
      <c r="N63" s="708">
        <v>0</v>
      </c>
      <c r="O63" s="703">
        <f t="shared" si="13"/>
        <v>0</v>
      </c>
      <c r="P63" s="824"/>
      <c r="Q63" s="829"/>
    </row>
    <row r="64" spans="1:17" ht="12.75" customHeight="1">
      <c r="A64" s="827"/>
      <c r="B64" s="830" t="s">
        <v>922</v>
      </c>
      <c r="C64" s="708">
        <v>0</v>
      </c>
      <c r="D64" s="708">
        <v>0</v>
      </c>
      <c r="E64" s="708">
        <v>0</v>
      </c>
      <c r="F64" s="708">
        <v>0</v>
      </c>
      <c r="G64" s="708">
        <v>0</v>
      </c>
      <c r="H64" s="708">
        <v>0</v>
      </c>
      <c r="I64" s="708">
        <v>0</v>
      </c>
      <c r="J64" s="708">
        <v>0</v>
      </c>
      <c r="K64" s="708">
        <v>0</v>
      </c>
      <c r="L64" s="708">
        <v>0</v>
      </c>
      <c r="M64" s="708">
        <v>0</v>
      </c>
      <c r="N64" s="708">
        <v>0</v>
      </c>
      <c r="O64" s="703">
        <f t="shared" si="13"/>
        <v>0</v>
      </c>
      <c r="P64" s="824"/>
      <c r="Q64" s="829"/>
    </row>
    <row r="65" spans="1:20" ht="12.75" customHeight="1">
      <c r="A65" s="827"/>
      <c r="B65" s="828"/>
      <c r="C65" s="842"/>
      <c r="D65" s="842"/>
      <c r="E65" s="842"/>
      <c r="F65" s="842"/>
      <c r="G65" s="842"/>
      <c r="H65" s="842"/>
      <c r="I65" s="842"/>
      <c r="J65" s="842"/>
      <c r="K65" s="842"/>
      <c r="L65" s="842"/>
      <c r="M65" s="842"/>
      <c r="N65" s="842"/>
      <c r="O65" s="843"/>
      <c r="P65" s="824"/>
      <c r="Q65" s="844"/>
    </row>
    <row r="66" spans="1:20" ht="14" thickBot="1">
      <c r="A66" s="836">
        <v>7740</v>
      </c>
      <c r="B66" s="837" t="s">
        <v>477</v>
      </c>
      <c r="C66" s="838">
        <f t="shared" ref="C66:N66" si="14">SUM(C57:C65)</f>
        <v>0</v>
      </c>
      <c r="D66" s="838">
        <f t="shared" si="14"/>
        <v>0</v>
      </c>
      <c r="E66" s="838">
        <f t="shared" si="14"/>
        <v>0</v>
      </c>
      <c r="F66" s="838">
        <f t="shared" si="14"/>
        <v>0</v>
      </c>
      <c r="G66" s="838">
        <f t="shared" si="14"/>
        <v>0</v>
      </c>
      <c r="H66" s="838">
        <f t="shared" si="14"/>
        <v>0</v>
      </c>
      <c r="I66" s="838">
        <f t="shared" si="14"/>
        <v>0</v>
      </c>
      <c r="J66" s="838">
        <f t="shared" si="14"/>
        <v>0</v>
      </c>
      <c r="K66" s="838">
        <f t="shared" si="14"/>
        <v>0</v>
      </c>
      <c r="L66" s="838">
        <f t="shared" si="14"/>
        <v>0</v>
      </c>
      <c r="M66" s="838">
        <f t="shared" si="14"/>
        <v>0</v>
      </c>
      <c r="N66" s="838">
        <f t="shared" si="14"/>
        <v>0</v>
      </c>
      <c r="O66" s="839">
        <f>+SUBTOTAL(9,C66:N66)</f>
        <v>0</v>
      </c>
      <c r="P66" s="824"/>
      <c r="Q66" s="840"/>
    </row>
    <row r="67" spans="1:20" ht="12.75" customHeight="1" thickTop="1">
      <c r="A67" s="855"/>
      <c r="B67" s="856"/>
      <c r="C67" s="857"/>
      <c r="D67" s="858"/>
      <c r="E67" s="859"/>
      <c r="F67" s="857"/>
      <c r="G67" s="857"/>
      <c r="H67" s="857"/>
      <c r="I67" s="857"/>
      <c r="J67" s="857"/>
      <c r="K67" s="857"/>
      <c r="L67" s="857"/>
      <c r="M67" s="857"/>
      <c r="N67" s="857"/>
      <c r="O67" s="857"/>
      <c r="P67" s="824"/>
    </row>
    <row r="68" spans="1:20" ht="12.75" customHeight="1">
      <c r="A68" s="690" t="s">
        <v>206</v>
      </c>
      <c r="B68" s="691" t="s">
        <v>467</v>
      </c>
      <c r="C68" s="692">
        <f t="shared" ref="C68:O68" si="15">C45</f>
        <v>45901</v>
      </c>
      <c r="D68" s="692">
        <f t="shared" si="15"/>
        <v>45961</v>
      </c>
      <c r="E68" s="692">
        <f t="shared" si="15"/>
        <v>45991</v>
      </c>
      <c r="F68" s="692">
        <f t="shared" si="15"/>
        <v>46022</v>
      </c>
      <c r="G68" s="692">
        <f t="shared" si="15"/>
        <v>46053</v>
      </c>
      <c r="H68" s="692">
        <f t="shared" si="15"/>
        <v>46081</v>
      </c>
      <c r="I68" s="692">
        <f t="shared" si="15"/>
        <v>46112</v>
      </c>
      <c r="J68" s="692">
        <f t="shared" si="15"/>
        <v>46142</v>
      </c>
      <c r="K68" s="692">
        <f t="shared" si="15"/>
        <v>46173</v>
      </c>
      <c r="L68" s="692">
        <f t="shared" si="15"/>
        <v>46203</v>
      </c>
      <c r="M68" s="692">
        <f t="shared" si="15"/>
        <v>46234</v>
      </c>
      <c r="N68" s="692">
        <f t="shared" si="15"/>
        <v>46265</v>
      </c>
      <c r="O68" s="693" t="str">
        <f t="shared" si="15"/>
        <v>Year 1 Total</v>
      </c>
      <c r="P68" s="824"/>
      <c r="Q68" s="826" t="s">
        <v>23</v>
      </c>
    </row>
    <row r="69" spans="1:20" ht="12.75" customHeight="1">
      <c r="A69" s="827"/>
      <c r="B69" s="828" t="s">
        <v>512</v>
      </c>
      <c r="C69" s="708">
        <v>0</v>
      </c>
      <c r="D69" s="708">
        <v>0</v>
      </c>
      <c r="E69" s="708">
        <v>0</v>
      </c>
      <c r="F69" s="708">
        <v>0</v>
      </c>
      <c r="G69" s="708">
        <v>0</v>
      </c>
      <c r="H69" s="708">
        <v>0</v>
      </c>
      <c r="I69" s="708">
        <v>0</v>
      </c>
      <c r="J69" s="708">
        <v>0</v>
      </c>
      <c r="K69" s="708">
        <v>0</v>
      </c>
      <c r="L69" s="708">
        <v>0</v>
      </c>
      <c r="M69" s="708">
        <v>0</v>
      </c>
      <c r="N69" s="708">
        <v>0</v>
      </c>
      <c r="O69" s="703">
        <f t="shared" ref="O69:O78" si="16">+SUBTOTAL(9,C69:N69)</f>
        <v>0</v>
      </c>
      <c r="P69" s="824"/>
      <c r="Q69" s="829"/>
    </row>
    <row r="70" spans="1:20" ht="12.75" customHeight="1">
      <c r="A70" s="827"/>
      <c r="B70" s="828" t="s">
        <v>120</v>
      </c>
      <c r="C70" s="708">
        <v>0</v>
      </c>
      <c r="D70" s="708">
        <v>0</v>
      </c>
      <c r="E70" s="708">
        <v>0</v>
      </c>
      <c r="F70" s="708">
        <v>0</v>
      </c>
      <c r="G70" s="708">
        <v>300</v>
      </c>
      <c r="H70" s="708">
        <v>0</v>
      </c>
      <c r="I70" s="708">
        <v>0</v>
      </c>
      <c r="J70" s="708">
        <v>0</v>
      </c>
      <c r="K70" s="708">
        <v>0</v>
      </c>
      <c r="L70" s="708">
        <v>0</v>
      </c>
      <c r="M70" s="708">
        <v>0</v>
      </c>
      <c r="N70" s="708">
        <v>0</v>
      </c>
      <c r="O70" s="703">
        <f t="shared" si="16"/>
        <v>300</v>
      </c>
      <c r="P70" s="824"/>
      <c r="Q70" s="829"/>
    </row>
    <row r="71" spans="1:20" ht="12.75" customHeight="1">
      <c r="A71" s="827"/>
      <c r="B71" s="828" t="s">
        <v>1025</v>
      </c>
      <c r="C71" s="708">
        <v>0</v>
      </c>
      <c r="D71" s="708">
        <v>0</v>
      </c>
      <c r="E71" s="708">
        <v>0</v>
      </c>
      <c r="F71" s="708">
        <v>0</v>
      </c>
      <c r="G71" s="708">
        <v>0</v>
      </c>
      <c r="H71" s="708">
        <v>0</v>
      </c>
      <c r="I71" s="708">
        <v>0</v>
      </c>
      <c r="J71" s="708">
        <v>0</v>
      </c>
      <c r="K71" s="708">
        <v>0</v>
      </c>
      <c r="L71" s="708">
        <v>0</v>
      </c>
      <c r="M71" s="708">
        <v>0</v>
      </c>
      <c r="N71" s="708">
        <v>0</v>
      </c>
      <c r="O71" s="703">
        <f t="shared" si="16"/>
        <v>0</v>
      </c>
      <c r="P71" s="824"/>
      <c r="Q71" s="829"/>
    </row>
    <row r="72" spans="1:20" ht="12.75" customHeight="1">
      <c r="A72" s="827"/>
      <c r="B72" s="828" t="s">
        <v>1026</v>
      </c>
      <c r="C72" s="708">
        <v>0</v>
      </c>
      <c r="D72" s="708">
        <v>0</v>
      </c>
      <c r="E72" s="708">
        <v>0</v>
      </c>
      <c r="F72" s="708">
        <v>0</v>
      </c>
      <c r="G72" s="708">
        <v>0</v>
      </c>
      <c r="H72" s="708">
        <v>0</v>
      </c>
      <c r="I72" s="708">
        <v>0</v>
      </c>
      <c r="J72" s="708">
        <v>0</v>
      </c>
      <c r="K72" s="708">
        <v>0</v>
      </c>
      <c r="L72" s="708">
        <v>0</v>
      </c>
      <c r="M72" s="708">
        <v>0</v>
      </c>
      <c r="N72" s="708">
        <v>0</v>
      </c>
      <c r="O72" s="703">
        <f t="shared" si="16"/>
        <v>0</v>
      </c>
      <c r="P72" s="824"/>
      <c r="Q72" s="829"/>
    </row>
    <row r="73" spans="1:20" ht="12.75" customHeight="1">
      <c r="A73" s="827"/>
      <c r="B73" s="828" t="s">
        <v>122</v>
      </c>
      <c r="C73" s="708">
        <v>0</v>
      </c>
      <c r="D73" s="708">
        <v>0</v>
      </c>
      <c r="E73" s="708">
        <v>0</v>
      </c>
      <c r="F73" s="708">
        <v>0</v>
      </c>
      <c r="G73" s="708">
        <v>0</v>
      </c>
      <c r="H73" s="708">
        <v>0</v>
      </c>
      <c r="I73" s="708">
        <v>0</v>
      </c>
      <c r="J73" s="708">
        <v>0</v>
      </c>
      <c r="K73" s="708">
        <v>0</v>
      </c>
      <c r="L73" s="708">
        <v>0</v>
      </c>
      <c r="M73" s="708">
        <v>0</v>
      </c>
      <c r="N73" s="708">
        <v>0</v>
      </c>
      <c r="O73" s="703">
        <f t="shared" si="16"/>
        <v>0</v>
      </c>
      <c r="P73" s="824"/>
      <c r="Q73" s="829"/>
    </row>
    <row r="74" spans="1:20" ht="12.75" customHeight="1">
      <c r="A74" s="827"/>
      <c r="B74" s="828" t="s">
        <v>1027</v>
      </c>
      <c r="C74" s="708">
        <v>0</v>
      </c>
      <c r="D74" s="708">
        <v>0</v>
      </c>
      <c r="E74" s="708">
        <v>0</v>
      </c>
      <c r="F74" s="708">
        <v>0</v>
      </c>
      <c r="G74" s="708">
        <v>0</v>
      </c>
      <c r="H74" s="708">
        <v>0</v>
      </c>
      <c r="I74" s="708">
        <v>0</v>
      </c>
      <c r="J74" s="708">
        <v>0</v>
      </c>
      <c r="K74" s="708">
        <v>0</v>
      </c>
      <c r="L74" s="708">
        <v>0</v>
      </c>
      <c r="M74" s="708">
        <v>0</v>
      </c>
      <c r="N74" s="708">
        <v>0</v>
      </c>
      <c r="O74" s="703">
        <f t="shared" si="16"/>
        <v>0</v>
      </c>
      <c r="P74" s="824"/>
      <c r="Q74" s="829"/>
    </row>
    <row r="75" spans="1:20" ht="12.75" customHeight="1">
      <c r="A75" s="827"/>
      <c r="B75" s="828" t="s">
        <v>899</v>
      </c>
      <c r="C75" s="706">
        <f>+$T$75</f>
        <v>79</v>
      </c>
      <c r="D75" s="706">
        <f t="shared" ref="D75:N75" si="17">+$T$75</f>
        <v>79</v>
      </c>
      <c r="E75" s="706">
        <f t="shared" si="17"/>
        <v>79</v>
      </c>
      <c r="F75" s="706">
        <f t="shared" si="17"/>
        <v>79</v>
      </c>
      <c r="G75" s="706">
        <f t="shared" si="17"/>
        <v>79</v>
      </c>
      <c r="H75" s="706">
        <f t="shared" si="17"/>
        <v>79</v>
      </c>
      <c r="I75" s="706">
        <f t="shared" si="17"/>
        <v>79</v>
      </c>
      <c r="J75" s="706">
        <f t="shared" si="17"/>
        <v>79</v>
      </c>
      <c r="K75" s="706">
        <f t="shared" si="17"/>
        <v>79</v>
      </c>
      <c r="L75" s="706">
        <f t="shared" si="17"/>
        <v>79</v>
      </c>
      <c r="M75" s="706">
        <f t="shared" si="17"/>
        <v>79</v>
      </c>
      <c r="N75" s="706">
        <f t="shared" si="17"/>
        <v>79</v>
      </c>
      <c r="O75" s="703">
        <f t="shared" si="16"/>
        <v>948</v>
      </c>
      <c r="P75" s="824"/>
      <c r="Q75" s="829"/>
      <c r="S75" s="414" t="s">
        <v>941</v>
      </c>
      <c r="T75" s="1007">
        <v>79</v>
      </c>
    </row>
    <row r="76" spans="1:20" ht="12.75" customHeight="1">
      <c r="A76" s="827"/>
      <c r="B76" s="830" t="s">
        <v>922</v>
      </c>
      <c r="C76" s="708">
        <v>0</v>
      </c>
      <c r="D76" s="708">
        <v>0</v>
      </c>
      <c r="E76" s="708">
        <v>0</v>
      </c>
      <c r="F76" s="708">
        <v>0</v>
      </c>
      <c r="G76" s="708">
        <v>0</v>
      </c>
      <c r="H76" s="708">
        <v>0</v>
      </c>
      <c r="I76" s="708">
        <v>0</v>
      </c>
      <c r="J76" s="708">
        <v>0</v>
      </c>
      <c r="K76" s="708">
        <v>0</v>
      </c>
      <c r="L76" s="708">
        <v>0</v>
      </c>
      <c r="M76" s="708">
        <v>0</v>
      </c>
      <c r="N76" s="708">
        <v>0</v>
      </c>
      <c r="O76" s="703">
        <f t="shared" si="16"/>
        <v>0</v>
      </c>
      <c r="P76" s="824"/>
      <c r="Q76" s="829"/>
    </row>
    <row r="77" spans="1:20" ht="12.75" customHeight="1">
      <c r="A77" s="827"/>
      <c r="B77" s="830" t="s">
        <v>922</v>
      </c>
      <c r="C77" s="708">
        <v>0</v>
      </c>
      <c r="D77" s="708">
        <v>0</v>
      </c>
      <c r="E77" s="708">
        <v>0</v>
      </c>
      <c r="F77" s="708">
        <v>0</v>
      </c>
      <c r="G77" s="708">
        <v>0</v>
      </c>
      <c r="H77" s="708">
        <v>0</v>
      </c>
      <c r="I77" s="708">
        <v>0</v>
      </c>
      <c r="J77" s="708">
        <v>0</v>
      </c>
      <c r="K77" s="708">
        <v>0</v>
      </c>
      <c r="L77" s="708">
        <v>0</v>
      </c>
      <c r="M77" s="708">
        <v>0</v>
      </c>
      <c r="N77" s="708">
        <v>0</v>
      </c>
      <c r="O77" s="703">
        <f t="shared" si="16"/>
        <v>0</v>
      </c>
      <c r="P77" s="824"/>
      <c r="Q77" s="829"/>
    </row>
    <row r="78" spans="1:20" ht="12.75" customHeight="1">
      <c r="A78" s="827"/>
      <c r="B78" s="830" t="s">
        <v>922</v>
      </c>
      <c r="C78" s="708">
        <v>0</v>
      </c>
      <c r="D78" s="708">
        <v>0</v>
      </c>
      <c r="E78" s="708">
        <v>0</v>
      </c>
      <c r="F78" s="708">
        <v>0</v>
      </c>
      <c r="G78" s="708">
        <v>0</v>
      </c>
      <c r="H78" s="708">
        <v>0</v>
      </c>
      <c r="I78" s="708">
        <v>0</v>
      </c>
      <c r="J78" s="708">
        <v>0</v>
      </c>
      <c r="K78" s="708">
        <v>0</v>
      </c>
      <c r="L78" s="708">
        <v>0</v>
      </c>
      <c r="M78" s="708">
        <v>0</v>
      </c>
      <c r="N78" s="708">
        <v>0</v>
      </c>
      <c r="O78" s="703">
        <f t="shared" si="16"/>
        <v>0</v>
      </c>
      <c r="P78" s="824"/>
      <c r="Q78" s="829"/>
    </row>
    <row r="79" spans="1:20" ht="12.75" customHeight="1">
      <c r="A79" s="827"/>
      <c r="B79" s="860"/>
      <c r="C79" s="861"/>
      <c r="D79" s="861"/>
      <c r="E79" s="861"/>
      <c r="F79" s="861"/>
      <c r="G79" s="861"/>
      <c r="H79" s="861"/>
      <c r="I79" s="861"/>
      <c r="J79" s="861"/>
      <c r="K79" s="861"/>
      <c r="L79" s="861"/>
      <c r="M79" s="861"/>
      <c r="N79" s="861"/>
      <c r="O79" s="712"/>
      <c r="P79" s="824"/>
      <c r="Q79" s="829"/>
    </row>
    <row r="80" spans="1:20" ht="12.75" customHeight="1" thickBot="1">
      <c r="A80" s="836">
        <v>7750</v>
      </c>
      <c r="B80" s="837" t="s">
        <v>476</v>
      </c>
      <c r="C80" s="838">
        <f t="shared" ref="C80:N80" si="18">SUM(C69:C79)</f>
        <v>79</v>
      </c>
      <c r="D80" s="838">
        <f t="shared" si="18"/>
        <v>79</v>
      </c>
      <c r="E80" s="838">
        <f t="shared" si="18"/>
        <v>79</v>
      </c>
      <c r="F80" s="838">
        <f t="shared" si="18"/>
        <v>79</v>
      </c>
      <c r="G80" s="838">
        <f t="shared" si="18"/>
        <v>379</v>
      </c>
      <c r="H80" s="838">
        <f t="shared" si="18"/>
        <v>79</v>
      </c>
      <c r="I80" s="838">
        <f t="shared" si="18"/>
        <v>79</v>
      </c>
      <c r="J80" s="838">
        <f t="shared" si="18"/>
        <v>79</v>
      </c>
      <c r="K80" s="838">
        <f t="shared" si="18"/>
        <v>79</v>
      </c>
      <c r="L80" s="838">
        <f t="shared" si="18"/>
        <v>79</v>
      </c>
      <c r="M80" s="838">
        <f t="shared" si="18"/>
        <v>79</v>
      </c>
      <c r="N80" s="838">
        <f t="shared" si="18"/>
        <v>79</v>
      </c>
      <c r="O80" s="839">
        <f>+SUBTOTAL(9,C80:N80)</f>
        <v>1248</v>
      </c>
      <c r="P80" s="862"/>
      <c r="Q80" s="840"/>
    </row>
    <row r="81" spans="1:17" ht="12.75" customHeight="1" thickTop="1">
      <c r="A81" s="821"/>
      <c r="B81" s="411"/>
      <c r="C81" s="841"/>
      <c r="D81" s="841"/>
      <c r="E81" s="841"/>
      <c r="F81" s="841"/>
      <c r="G81" s="841"/>
      <c r="H81" s="841"/>
      <c r="I81" s="841"/>
      <c r="J81" s="841"/>
      <c r="K81" s="841"/>
      <c r="L81" s="841"/>
      <c r="M81" s="841"/>
      <c r="N81" s="841"/>
      <c r="O81" s="841"/>
      <c r="P81" s="824"/>
    </row>
    <row r="82" spans="1:17" ht="12.75" customHeight="1">
      <c r="A82" s="690" t="s">
        <v>206</v>
      </c>
      <c r="B82" s="691" t="s">
        <v>15</v>
      </c>
      <c r="C82" s="692">
        <f t="shared" ref="C82:O82" si="19">C68</f>
        <v>45901</v>
      </c>
      <c r="D82" s="692">
        <f t="shared" si="19"/>
        <v>45961</v>
      </c>
      <c r="E82" s="692">
        <f t="shared" si="19"/>
        <v>45991</v>
      </c>
      <c r="F82" s="692">
        <f t="shared" si="19"/>
        <v>46022</v>
      </c>
      <c r="G82" s="692">
        <f t="shared" si="19"/>
        <v>46053</v>
      </c>
      <c r="H82" s="692">
        <f t="shared" si="19"/>
        <v>46081</v>
      </c>
      <c r="I82" s="692">
        <f t="shared" si="19"/>
        <v>46112</v>
      </c>
      <c r="J82" s="692">
        <f t="shared" si="19"/>
        <v>46142</v>
      </c>
      <c r="K82" s="692">
        <f t="shared" si="19"/>
        <v>46173</v>
      </c>
      <c r="L82" s="692">
        <f t="shared" si="19"/>
        <v>46203</v>
      </c>
      <c r="M82" s="692">
        <f t="shared" si="19"/>
        <v>46234</v>
      </c>
      <c r="N82" s="692">
        <f t="shared" si="19"/>
        <v>46265</v>
      </c>
      <c r="O82" s="693" t="str">
        <f t="shared" si="19"/>
        <v>Year 1 Total</v>
      </c>
      <c r="P82" s="824"/>
      <c r="Q82" s="826" t="s">
        <v>23</v>
      </c>
    </row>
    <row r="83" spans="1:17" ht="12.75" customHeight="1">
      <c r="A83" s="827"/>
      <c r="B83" s="828" t="s">
        <v>125</v>
      </c>
      <c r="C83" s="708">
        <v>0</v>
      </c>
      <c r="D83" s="708">
        <v>0</v>
      </c>
      <c r="E83" s="708">
        <v>0</v>
      </c>
      <c r="F83" s="708">
        <v>0</v>
      </c>
      <c r="G83" s="708">
        <v>0</v>
      </c>
      <c r="H83" s="708">
        <v>0</v>
      </c>
      <c r="I83" s="708">
        <v>0</v>
      </c>
      <c r="J83" s="708">
        <v>0</v>
      </c>
      <c r="K83" s="708">
        <v>600</v>
      </c>
      <c r="L83" s="708">
        <v>0</v>
      </c>
      <c r="M83" s="708">
        <v>0</v>
      </c>
      <c r="N83" s="708">
        <v>0</v>
      </c>
      <c r="O83" s="703">
        <f t="shared" ref="O83:O89" si="20">+SUBTOTAL(9,C83:N83)</f>
        <v>600</v>
      </c>
      <c r="P83" s="824"/>
      <c r="Q83" s="829"/>
    </row>
    <row r="84" spans="1:17" ht="12.75" customHeight="1">
      <c r="A84" s="827"/>
      <c r="B84" s="828" t="s">
        <v>124</v>
      </c>
      <c r="C84" s="708">
        <v>50</v>
      </c>
      <c r="D84" s="708">
        <v>50</v>
      </c>
      <c r="E84" s="708">
        <v>50</v>
      </c>
      <c r="F84" s="708">
        <v>50</v>
      </c>
      <c r="G84" s="708">
        <v>50</v>
      </c>
      <c r="H84" s="708">
        <v>50</v>
      </c>
      <c r="I84" s="708">
        <v>50</v>
      </c>
      <c r="J84" s="708">
        <v>50</v>
      </c>
      <c r="K84" s="708">
        <v>50</v>
      </c>
      <c r="L84" s="708">
        <v>50</v>
      </c>
      <c r="M84" s="708">
        <v>50</v>
      </c>
      <c r="N84" s="708">
        <v>50</v>
      </c>
      <c r="O84" s="703">
        <f t="shared" si="20"/>
        <v>600</v>
      </c>
      <c r="P84" s="824"/>
      <c r="Q84" s="829"/>
    </row>
    <row r="85" spans="1:17" ht="12.75" customHeight="1">
      <c r="A85" s="827"/>
      <c r="B85" s="828" t="s">
        <v>123</v>
      </c>
      <c r="C85" s="708">
        <v>0</v>
      </c>
      <c r="D85" s="708">
        <v>0</v>
      </c>
      <c r="E85" s="708">
        <v>0</v>
      </c>
      <c r="F85" s="708">
        <v>0</v>
      </c>
      <c r="G85" s="708"/>
      <c r="H85" s="708">
        <v>0</v>
      </c>
      <c r="I85" s="708">
        <v>0</v>
      </c>
      <c r="J85" s="708">
        <v>0</v>
      </c>
      <c r="K85" s="708">
        <v>0</v>
      </c>
      <c r="L85" s="708">
        <v>0</v>
      </c>
      <c r="M85" s="708">
        <v>0</v>
      </c>
      <c r="N85" s="708">
        <v>0</v>
      </c>
      <c r="O85" s="703">
        <f t="shared" si="20"/>
        <v>0</v>
      </c>
      <c r="P85" s="824"/>
      <c r="Q85" s="829"/>
    </row>
    <row r="86" spans="1:17" ht="12.75" customHeight="1">
      <c r="A86" s="827"/>
      <c r="B86" s="828" t="s">
        <v>1028</v>
      </c>
      <c r="C86" s="708">
        <v>0</v>
      </c>
      <c r="D86" s="708">
        <v>0</v>
      </c>
      <c r="E86" s="708">
        <v>0</v>
      </c>
      <c r="F86" s="708">
        <v>0</v>
      </c>
      <c r="G86" s="708">
        <v>400</v>
      </c>
      <c r="H86" s="708">
        <v>0</v>
      </c>
      <c r="I86" s="708">
        <v>0</v>
      </c>
      <c r="J86" s="708">
        <v>0</v>
      </c>
      <c r="K86" s="708">
        <v>0</v>
      </c>
      <c r="L86" s="708">
        <v>0</v>
      </c>
      <c r="M86" s="708">
        <v>0</v>
      </c>
      <c r="N86" s="708">
        <v>0</v>
      </c>
      <c r="O86" s="703">
        <f t="shared" si="20"/>
        <v>400</v>
      </c>
      <c r="P86" s="824"/>
      <c r="Q86" s="829"/>
    </row>
    <row r="87" spans="1:17" ht="12.75" customHeight="1">
      <c r="A87" s="827"/>
      <c r="B87" s="830" t="s">
        <v>922</v>
      </c>
      <c r="C87" s="708">
        <v>0</v>
      </c>
      <c r="D87" s="708">
        <v>0</v>
      </c>
      <c r="E87" s="708">
        <v>0</v>
      </c>
      <c r="F87" s="708">
        <v>0</v>
      </c>
      <c r="G87" s="708">
        <v>0</v>
      </c>
      <c r="H87" s="708">
        <v>0</v>
      </c>
      <c r="I87" s="708">
        <v>0</v>
      </c>
      <c r="J87" s="708">
        <v>0</v>
      </c>
      <c r="K87" s="708">
        <v>0</v>
      </c>
      <c r="L87" s="708">
        <v>0</v>
      </c>
      <c r="M87" s="708">
        <v>0</v>
      </c>
      <c r="N87" s="708">
        <v>0</v>
      </c>
      <c r="O87" s="703">
        <f t="shared" si="20"/>
        <v>0</v>
      </c>
      <c r="P87" s="824"/>
      <c r="Q87" s="829"/>
    </row>
    <row r="88" spans="1:17" ht="12.75" customHeight="1">
      <c r="A88" s="827"/>
      <c r="B88" s="830" t="s">
        <v>922</v>
      </c>
      <c r="C88" s="708">
        <v>0</v>
      </c>
      <c r="D88" s="708">
        <v>0</v>
      </c>
      <c r="E88" s="708">
        <v>0</v>
      </c>
      <c r="F88" s="708">
        <v>0</v>
      </c>
      <c r="G88" s="708">
        <v>0</v>
      </c>
      <c r="H88" s="708">
        <v>0</v>
      </c>
      <c r="I88" s="708">
        <v>0</v>
      </c>
      <c r="J88" s="708">
        <v>0</v>
      </c>
      <c r="K88" s="708">
        <v>0</v>
      </c>
      <c r="L88" s="708">
        <v>0</v>
      </c>
      <c r="M88" s="708">
        <v>0</v>
      </c>
      <c r="N88" s="708">
        <v>0</v>
      </c>
      <c r="O88" s="703">
        <f t="shared" si="20"/>
        <v>0</v>
      </c>
      <c r="P88" s="824"/>
      <c r="Q88" s="829"/>
    </row>
    <row r="89" spans="1:17" ht="12.75" customHeight="1">
      <c r="A89" s="827"/>
      <c r="B89" s="830" t="s">
        <v>922</v>
      </c>
      <c r="C89" s="708">
        <v>0</v>
      </c>
      <c r="D89" s="708">
        <v>0</v>
      </c>
      <c r="E89" s="708">
        <v>0</v>
      </c>
      <c r="F89" s="708">
        <v>0</v>
      </c>
      <c r="G89" s="708">
        <v>0</v>
      </c>
      <c r="H89" s="708">
        <v>0</v>
      </c>
      <c r="I89" s="708">
        <v>0</v>
      </c>
      <c r="J89" s="708">
        <v>0</v>
      </c>
      <c r="K89" s="708">
        <v>0</v>
      </c>
      <c r="L89" s="708">
        <v>0</v>
      </c>
      <c r="M89" s="708">
        <v>0</v>
      </c>
      <c r="N89" s="708">
        <v>0</v>
      </c>
      <c r="O89" s="703">
        <f t="shared" si="20"/>
        <v>0</v>
      </c>
      <c r="P89" s="824"/>
      <c r="Q89" s="829"/>
    </row>
    <row r="90" spans="1:17" ht="12.75" customHeight="1">
      <c r="A90" s="827"/>
      <c r="B90" s="860"/>
      <c r="C90" s="861"/>
      <c r="D90" s="861"/>
      <c r="E90" s="861"/>
      <c r="F90" s="861"/>
      <c r="G90" s="861"/>
      <c r="H90" s="861"/>
      <c r="I90" s="861"/>
      <c r="J90" s="861"/>
      <c r="K90" s="861"/>
      <c r="L90" s="861"/>
      <c r="M90" s="861"/>
      <c r="N90" s="861"/>
      <c r="O90" s="712"/>
      <c r="P90" s="824"/>
      <c r="Q90" s="829"/>
    </row>
    <row r="91" spans="1:17" ht="12.75" customHeight="1" thickBot="1">
      <c r="A91" s="836">
        <v>7820</v>
      </c>
      <c r="B91" s="837" t="s">
        <v>756</v>
      </c>
      <c r="C91" s="838">
        <f t="shared" ref="C91:N91" si="21">SUM(C83:C90)</f>
        <v>50</v>
      </c>
      <c r="D91" s="838">
        <f t="shared" si="21"/>
        <v>50</v>
      </c>
      <c r="E91" s="838">
        <f t="shared" si="21"/>
        <v>50</v>
      </c>
      <c r="F91" s="838">
        <f t="shared" si="21"/>
        <v>50</v>
      </c>
      <c r="G91" s="838">
        <f t="shared" si="21"/>
        <v>450</v>
      </c>
      <c r="H91" s="838">
        <f t="shared" si="21"/>
        <v>50</v>
      </c>
      <c r="I91" s="838">
        <f t="shared" si="21"/>
        <v>50</v>
      </c>
      <c r="J91" s="838">
        <f t="shared" si="21"/>
        <v>50</v>
      </c>
      <c r="K91" s="838">
        <f t="shared" si="21"/>
        <v>650</v>
      </c>
      <c r="L91" s="838">
        <f t="shared" si="21"/>
        <v>50</v>
      </c>
      <c r="M91" s="838">
        <f t="shared" si="21"/>
        <v>50</v>
      </c>
      <c r="N91" s="838">
        <f t="shared" si="21"/>
        <v>50</v>
      </c>
      <c r="O91" s="839">
        <f>+SUBTOTAL(9,C91:N91)</f>
        <v>1600</v>
      </c>
      <c r="P91" s="824"/>
      <c r="Q91" s="848"/>
    </row>
    <row r="92" spans="1:17" ht="12.75" customHeight="1" thickTop="1">
      <c r="A92" s="863"/>
      <c r="C92" s="821"/>
      <c r="D92" s="822"/>
      <c r="E92" s="823"/>
      <c r="F92" s="821"/>
      <c r="G92" s="821"/>
      <c r="H92" s="821"/>
      <c r="I92" s="821"/>
      <c r="J92" s="821"/>
      <c r="K92" s="821"/>
      <c r="L92" s="821"/>
      <c r="M92" s="821"/>
      <c r="N92" s="821"/>
      <c r="O92" s="821"/>
      <c r="P92" s="824"/>
    </row>
    <row r="93" spans="1:17" ht="12.75" customHeight="1">
      <c r="A93" s="690" t="s">
        <v>206</v>
      </c>
      <c r="B93" s="691" t="s">
        <v>186</v>
      </c>
      <c r="C93" s="692">
        <f t="shared" ref="C93:O93" si="22">C82</f>
        <v>45901</v>
      </c>
      <c r="D93" s="692">
        <f t="shared" si="22"/>
        <v>45961</v>
      </c>
      <c r="E93" s="692">
        <f t="shared" si="22"/>
        <v>45991</v>
      </c>
      <c r="F93" s="692">
        <f t="shared" si="22"/>
        <v>46022</v>
      </c>
      <c r="G93" s="692">
        <f t="shared" si="22"/>
        <v>46053</v>
      </c>
      <c r="H93" s="692">
        <f t="shared" si="22"/>
        <v>46081</v>
      </c>
      <c r="I93" s="692">
        <f t="shared" si="22"/>
        <v>46112</v>
      </c>
      <c r="J93" s="692">
        <f t="shared" si="22"/>
        <v>46142</v>
      </c>
      <c r="K93" s="692">
        <f t="shared" si="22"/>
        <v>46173</v>
      </c>
      <c r="L93" s="692">
        <f t="shared" si="22"/>
        <v>46203</v>
      </c>
      <c r="M93" s="692">
        <f t="shared" si="22"/>
        <v>46234</v>
      </c>
      <c r="N93" s="692">
        <f t="shared" si="22"/>
        <v>46265</v>
      </c>
      <c r="O93" s="693" t="str">
        <f t="shared" si="22"/>
        <v>Year 1 Total</v>
      </c>
      <c r="P93" s="824"/>
      <c r="Q93" s="826" t="s">
        <v>23</v>
      </c>
    </row>
    <row r="94" spans="1:17" ht="12.75" customHeight="1">
      <c r="A94" s="827"/>
      <c r="B94" s="828" t="s">
        <v>182</v>
      </c>
      <c r="C94" s="708">
        <v>0</v>
      </c>
      <c r="D94" s="708">
        <v>0</v>
      </c>
      <c r="E94" s="708">
        <v>0</v>
      </c>
      <c r="F94" s="708">
        <v>0</v>
      </c>
      <c r="G94" s="708">
        <v>0</v>
      </c>
      <c r="H94" s="708">
        <v>0</v>
      </c>
      <c r="I94" s="708">
        <v>0</v>
      </c>
      <c r="J94" s="708">
        <v>0</v>
      </c>
      <c r="K94" s="708">
        <v>0</v>
      </c>
      <c r="L94" s="708">
        <v>0</v>
      </c>
      <c r="M94" s="708">
        <v>0</v>
      </c>
      <c r="N94" s="708">
        <v>0</v>
      </c>
      <c r="O94" s="703">
        <f t="shared" ref="O94:O99" si="23">+SUBTOTAL(9,C94:N94)</f>
        <v>0</v>
      </c>
      <c r="P94" s="824"/>
      <c r="Q94" s="829"/>
    </row>
    <row r="95" spans="1:17" ht="12.75" customHeight="1">
      <c r="A95" s="827"/>
      <c r="B95" s="828" t="s">
        <v>128</v>
      </c>
      <c r="C95" s="708">
        <v>0</v>
      </c>
      <c r="D95" s="708">
        <v>0</v>
      </c>
      <c r="E95" s="708">
        <v>0</v>
      </c>
      <c r="F95" s="708">
        <v>0</v>
      </c>
      <c r="G95" s="708">
        <v>0</v>
      </c>
      <c r="H95" s="708">
        <v>0</v>
      </c>
      <c r="I95" s="708">
        <v>0</v>
      </c>
      <c r="J95" s="708">
        <v>0</v>
      </c>
      <c r="K95" s="708">
        <v>0</v>
      </c>
      <c r="L95" s="708">
        <v>0</v>
      </c>
      <c r="M95" s="708">
        <v>0</v>
      </c>
      <c r="N95" s="708">
        <v>0</v>
      </c>
      <c r="O95" s="703">
        <f t="shared" si="23"/>
        <v>0</v>
      </c>
      <c r="P95" s="824"/>
      <c r="Q95" s="829"/>
    </row>
    <row r="96" spans="1:17" ht="12.75" customHeight="1">
      <c r="A96" s="827"/>
      <c r="B96" s="828" t="s">
        <v>183</v>
      </c>
      <c r="C96" s="708">
        <v>0</v>
      </c>
      <c r="D96" s="708">
        <v>0</v>
      </c>
      <c r="E96" s="708">
        <v>0</v>
      </c>
      <c r="F96" s="708">
        <v>0</v>
      </c>
      <c r="G96" s="708">
        <v>0</v>
      </c>
      <c r="H96" s="708">
        <v>0</v>
      </c>
      <c r="I96" s="708">
        <v>0</v>
      </c>
      <c r="J96" s="708">
        <v>0</v>
      </c>
      <c r="K96" s="708">
        <v>0</v>
      </c>
      <c r="L96" s="708">
        <v>0</v>
      </c>
      <c r="M96" s="708">
        <v>0</v>
      </c>
      <c r="N96" s="708">
        <v>0</v>
      </c>
      <c r="O96" s="703">
        <f t="shared" si="23"/>
        <v>0</v>
      </c>
      <c r="P96" s="824"/>
      <c r="Q96" s="829"/>
    </row>
    <row r="97" spans="1:20" ht="12.75" customHeight="1">
      <c r="A97" s="827"/>
      <c r="B97" s="830" t="s">
        <v>922</v>
      </c>
      <c r="C97" s="708">
        <v>0</v>
      </c>
      <c r="D97" s="708">
        <v>0</v>
      </c>
      <c r="E97" s="708">
        <v>0</v>
      </c>
      <c r="F97" s="708">
        <v>0</v>
      </c>
      <c r="G97" s="708">
        <v>0</v>
      </c>
      <c r="H97" s="708">
        <v>0</v>
      </c>
      <c r="I97" s="708">
        <v>0</v>
      </c>
      <c r="J97" s="708">
        <v>0</v>
      </c>
      <c r="K97" s="708">
        <v>0</v>
      </c>
      <c r="L97" s="708">
        <v>0</v>
      </c>
      <c r="M97" s="708">
        <v>0</v>
      </c>
      <c r="N97" s="708">
        <v>0</v>
      </c>
      <c r="O97" s="703">
        <f t="shared" si="23"/>
        <v>0</v>
      </c>
      <c r="P97" s="824"/>
      <c r="Q97" s="829"/>
    </row>
    <row r="98" spans="1:20" ht="12.75" customHeight="1">
      <c r="A98" s="827"/>
      <c r="B98" s="830" t="s">
        <v>922</v>
      </c>
      <c r="C98" s="708">
        <v>0</v>
      </c>
      <c r="D98" s="708">
        <v>0</v>
      </c>
      <c r="E98" s="708">
        <v>0</v>
      </c>
      <c r="F98" s="708">
        <v>0</v>
      </c>
      <c r="G98" s="708">
        <v>0</v>
      </c>
      <c r="H98" s="708">
        <v>0</v>
      </c>
      <c r="I98" s="708">
        <v>0</v>
      </c>
      <c r="J98" s="708">
        <v>0</v>
      </c>
      <c r="K98" s="708">
        <v>0</v>
      </c>
      <c r="L98" s="708">
        <v>0</v>
      </c>
      <c r="M98" s="708">
        <v>0</v>
      </c>
      <c r="N98" s="708">
        <v>0</v>
      </c>
      <c r="O98" s="703">
        <f t="shared" si="23"/>
        <v>0</v>
      </c>
      <c r="P98" s="824"/>
      <c r="Q98" s="829"/>
    </row>
    <row r="99" spans="1:20" ht="12.75" customHeight="1">
      <c r="A99" s="827"/>
      <c r="B99" s="830" t="s">
        <v>922</v>
      </c>
      <c r="C99" s="708">
        <v>0</v>
      </c>
      <c r="D99" s="708">
        <v>0</v>
      </c>
      <c r="E99" s="708">
        <v>0</v>
      </c>
      <c r="F99" s="708">
        <v>0</v>
      </c>
      <c r="G99" s="708">
        <v>0</v>
      </c>
      <c r="H99" s="708">
        <v>0</v>
      </c>
      <c r="I99" s="708">
        <v>0</v>
      </c>
      <c r="J99" s="708">
        <v>0</v>
      </c>
      <c r="K99" s="708">
        <v>0</v>
      </c>
      <c r="L99" s="708">
        <v>0</v>
      </c>
      <c r="M99" s="708">
        <v>0</v>
      </c>
      <c r="N99" s="708">
        <v>0</v>
      </c>
      <c r="O99" s="703">
        <f t="shared" si="23"/>
        <v>0</v>
      </c>
      <c r="P99" s="824"/>
      <c r="Q99" s="829"/>
    </row>
    <row r="100" spans="1:20" ht="12.75" customHeight="1">
      <c r="A100" s="827"/>
      <c r="B100" s="830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712"/>
      <c r="P100" s="824"/>
      <c r="Q100" s="829"/>
    </row>
    <row r="101" spans="1:20" ht="12.75" customHeight="1" thickBot="1">
      <c r="A101" s="836">
        <v>7760</v>
      </c>
      <c r="B101" s="837" t="s">
        <v>750</v>
      </c>
      <c r="C101" s="838">
        <f t="shared" ref="C101:N101" si="24">SUM(C94:C100)</f>
        <v>0</v>
      </c>
      <c r="D101" s="838">
        <f t="shared" si="24"/>
        <v>0</v>
      </c>
      <c r="E101" s="838">
        <f t="shared" si="24"/>
        <v>0</v>
      </c>
      <c r="F101" s="838">
        <f t="shared" si="24"/>
        <v>0</v>
      </c>
      <c r="G101" s="838">
        <f t="shared" si="24"/>
        <v>0</v>
      </c>
      <c r="H101" s="838">
        <f t="shared" si="24"/>
        <v>0</v>
      </c>
      <c r="I101" s="838">
        <f t="shared" si="24"/>
        <v>0</v>
      </c>
      <c r="J101" s="838">
        <f t="shared" si="24"/>
        <v>0</v>
      </c>
      <c r="K101" s="838">
        <f t="shared" si="24"/>
        <v>0</v>
      </c>
      <c r="L101" s="838">
        <f t="shared" si="24"/>
        <v>0</v>
      </c>
      <c r="M101" s="838">
        <f t="shared" si="24"/>
        <v>0</v>
      </c>
      <c r="N101" s="838">
        <f t="shared" si="24"/>
        <v>0</v>
      </c>
      <c r="O101" s="839">
        <f>+SUBTOTAL(9,C101:N101)</f>
        <v>0</v>
      </c>
      <c r="P101" s="824"/>
      <c r="Q101" s="840"/>
    </row>
    <row r="102" spans="1:20" ht="12.75" customHeight="1" thickTop="1">
      <c r="A102" s="821"/>
      <c r="B102" s="411"/>
      <c r="C102" s="841"/>
      <c r="D102" s="841"/>
      <c r="E102" s="841"/>
      <c r="F102" s="841"/>
      <c r="G102" s="841"/>
      <c r="H102" s="841"/>
      <c r="I102" s="841"/>
      <c r="J102" s="841"/>
      <c r="K102" s="841"/>
      <c r="L102" s="841"/>
      <c r="M102" s="841"/>
      <c r="N102" s="841"/>
      <c r="O102" s="841"/>
      <c r="P102" s="824"/>
    </row>
    <row r="103" spans="1:20" ht="12.75" customHeight="1">
      <c r="A103" s="690" t="s">
        <v>206</v>
      </c>
      <c r="B103" s="691" t="s">
        <v>137</v>
      </c>
      <c r="C103" s="692">
        <f t="shared" ref="C103:O103" si="25">C93</f>
        <v>45901</v>
      </c>
      <c r="D103" s="692">
        <f t="shared" si="25"/>
        <v>45961</v>
      </c>
      <c r="E103" s="692">
        <f t="shared" si="25"/>
        <v>45991</v>
      </c>
      <c r="F103" s="692">
        <f t="shared" si="25"/>
        <v>46022</v>
      </c>
      <c r="G103" s="692">
        <f t="shared" si="25"/>
        <v>46053</v>
      </c>
      <c r="H103" s="692">
        <f t="shared" si="25"/>
        <v>46081</v>
      </c>
      <c r="I103" s="692">
        <f t="shared" si="25"/>
        <v>46112</v>
      </c>
      <c r="J103" s="692">
        <f t="shared" si="25"/>
        <v>46142</v>
      </c>
      <c r="K103" s="692">
        <f t="shared" si="25"/>
        <v>46173</v>
      </c>
      <c r="L103" s="692">
        <f t="shared" si="25"/>
        <v>46203</v>
      </c>
      <c r="M103" s="692">
        <f t="shared" si="25"/>
        <v>46234</v>
      </c>
      <c r="N103" s="692">
        <f t="shared" si="25"/>
        <v>46265</v>
      </c>
      <c r="O103" s="693" t="str">
        <f t="shared" si="25"/>
        <v>Year 1 Total</v>
      </c>
      <c r="P103" s="824"/>
      <c r="Q103" s="826" t="s">
        <v>23</v>
      </c>
    </row>
    <row r="104" spans="1:20" ht="12.75" customHeight="1">
      <c r="A104" s="827"/>
      <c r="B104" s="828" t="s">
        <v>129</v>
      </c>
      <c r="C104" s="708">
        <v>250</v>
      </c>
      <c r="D104" s="708">
        <v>250</v>
      </c>
      <c r="E104" s="708">
        <v>250</v>
      </c>
      <c r="F104" s="708">
        <v>250</v>
      </c>
      <c r="G104" s="708">
        <v>250</v>
      </c>
      <c r="H104" s="708">
        <v>250</v>
      </c>
      <c r="I104" s="708">
        <f t="shared" ref="I104:N104" si="26">+$T$104</f>
        <v>490</v>
      </c>
      <c r="J104" s="708">
        <f t="shared" si="26"/>
        <v>490</v>
      </c>
      <c r="K104" s="708">
        <f t="shared" si="26"/>
        <v>490</v>
      </c>
      <c r="L104" s="708">
        <f t="shared" si="26"/>
        <v>490</v>
      </c>
      <c r="M104" s="708">
        <f t="shared" si="26"/>
        <v>490</v>
      </c>
      <c r="N104" s="708">
        <f t="shared" si="26"/>
        <v>490</v>
      </c>
      <c r="O104" s="703">
        <f t="shared" ref="O104:O107" si="27">+SUBTOTAL(9,C104:N104)</f>
        <v>4440</v>
      </c>
      <c r="P104" s="824"/>
      <c r="Q104" s="829"/>
      <c r="S104" s="414" t="s">
        <v>941</v>
      </c>
      <c r="T104" s="1007">
        <v>490</v>
      </c>
    </row>
    <row r="105" spans="1:20" ht="12.75" customHeight="1">
      <c r="A105" s="827"/>
      <c r="B105" s="828" t="s">
        <v>184</v>
      </c>
      <c r="C105" s="708">
        <v>0</v>
      </c>
      <c r="D105" s="708">
        <v>0</v>
      </c>
      <c r="E105" s="708">
        <v>0</v>
      </c>
      <c r="F105" s="708">
        <v>0</v>
      </c>
      <c r="G105" s="708">
        <v>0</v>
      </c>
      <c r="H105" s="708">
        <v>0</v>
      </c>
      <c r="I105" s="708">
        <v>0</v>
      </c>
      <c r="J105" s="708">
        <v>0</v>
      </c>
      <c r="K105" s="708">
        <v>0</v>
      </c>
      <c r="L105" s="708">
        <v>0</v>
      </c>
      <c r="M105" s="708">
        <v>0</v>
      </c>
      <c r="N105" s="708">
        <v>0</v>
      </c>
      <c r="O105" s="703">
        <f t="shared" si="27"/>
        <v>0</v>
      </c>
      <c r="P105" s="824"/>
      <c r="Q105" s="829"/>
    </row>
    <row r="106" spans="1:20" ht="12.75" customHeight="1">
      <c r="A106" s="827"/>
      <c r="B106" s="830" t="s">
        <v>1029</v>
      </c>
      <c r="C106" s="708">
        <v>0</v>
      </c>
      <c r="D106" s="708">
        <v>0</v>
      </c>
      <c r="E106" s="708">
        <v>0</v>
      </c>
      <c r="F106" s="708">
        <v>0</v>
      </c>
      <c r="G106" s="708">
        <v>0</v>
      </c>
      <c r="H106" s="708">
        <v>0</v>
      </c>
      <c r="I106" s="708">
        <v>0</v>
      </c>
      <c r="J106" s="708">
        <v>0</v>
      </c>
      <c r="K106" s="708">
        <v>0</v>
      </c>
      <c r="L106" s="708">
        <v>0</v>
      </c>
      <c r="M106" s="708">
        <v>0</v>
      </c>
      <c r="N106" s="708">
        <v>0</v>
      </c>
      <c r="O106" s="703">
        <f t="shared" si="27"/>
        <v>0</v>
      </c>
      <c r="P106" s="824"/>
      <c r="Q106" s="829"/>
    </row>
    <row r="107" spans="1:20" ht="12.75" customHeight="1">
      <c r="A107" s="827"/>
      <c r="B107" s="830" t="s">
        <v>922</v>
      </c>
      <c r="C107" s="708">
        <v>0</v>
      </c>
      <c r="D107" s="708">
        <v>0</v>
      </c>
      <c r="E107" s="708">
        <v>0</v>
      </c>
      <c r="F107" s="708">
        <v>0</v>
      </c>
      <c r="G107" s="708">
        <v>0</v>
      </c>
      <c r="H107" s="708">
        <v>0</v>
      </c>
      <c r="I107" s="708">
        <v>0</v>
      </c>
      <c r="J107" s="708">
        <v>0</v>
      </c>
      <c r="K107" s="708">
        <v>0</v>
      </c>
      <c r="L107" s="708">
        <v>0</v>
      </c>
      <c r="M107" s="708">
        <v>0</v>
      </c>
      <c r="N107" s="708">
        <v>0</v>
      </c>
      <c r="O107" s="703">
        <f t="shared" si="27"/>
        <v>0</v>
      </c>
      <c r="P107" s="824"/>
      <c r="Q107" s="829"/>
    </row>
    <row r="108" spans="1:20" ht="12.75" customHeight="1">
      <c r="A108" s="827"/>
      <c r="B108" s="830" t="s">
        <v>922</v>
      </c>
      <c r="C108" s="708">
        <v>0</v>
      </c>
      <c r="D108" s="708">
        <v>0</v>
      </c>
      <c r="E108" s="708">
        <v>0</v>
      </c>
      <c r="F108" s="708">
        <v>0</v>
      </c>
      <c r="G108" s="708">
        <v>0</v>
      </c>
      <c r="H108" s="708">
        <v>0</v>
      </c>
      <c r="I108" s="708">
        <v>0</v>
      </c>
      <c r="J108" s="708">
        <v>0</v>
      </c>
      <c r="K108" s="708">
        <v>0</v>
      </c>
      <c r="L108" s="708">
        <v>0</v>
      </c>
      <c r="M108" s="708">
        <v>0</v>
      </c>
      <c r="N108" s="708">
        <v>0</v>
      </c>
      <c r="O108" s="703">
        <f t="shared" ref="O108:O109" si="28">+SUBTOTAL(9,C108:N108)</f>
        <v>0</v>
      </c>
      <c r="P108" s="824"/>
      <c r="Q108" s="829"/>
    </row>
    <row r="109" spans="1:20" ht="12.75" customHeight="1">
      <c r="A109" s="827"/>
      <c r="B109" s="830" t="s">
        <v>922</v>
      </c>
      <c r="C109" s="708">
        <v>0</v>
      </c>
      <c r="D109" s="708">
        <v>0</v>
      </c>
      <c r="E109" s="708">
        <v>0</v>
      </c>
      <c r="F109" s="708">
        <v>0</v>
      </c>
      <c r="G109" s="708">
        <v>0</v>
      </c>
      <c r="H109" s="708">
        <v>0</v>
      </c>
      <c r="I109" s="708">
        <v>0</v>
      </c>
      <c r="J109" s="708">
        <v>0</v>
      </c>
      <c r="K109" s="708">
        <v>0</v>
      </c>
      <c r="L109" s="708">
        <v>0</v>
      </c>
      <c r="M109" s="708">
        <v>0</v>
      </c>
      <c r="N109" s="708">
        <v>0</v>
      </c>
      <c r="O109" s="703">
        <f t="shared" si="28"/>
        <v>0</v>
      </c>
      <c r="P109" s="824"/>
      <c r="Q109" s="829"/>
    </row>
    <row r="110" spans="1:20">
      <c r="A110" s="827"/>
      <c r="B110" s="864"/>
      <c r="C110" s="865"/>
      <c r="D110" s="865"/>
      <c r="E110" s="865"/>
      <c r="F110" s="865"/>
      <c r="G110" s="865"/>
      <c r="H110" s="865"/>
      <c r="I110" s="865"/>
      <c r="J110" s="865"/>
      <c r="K110" s="865"/>
      <c r="L110" s="865"/>
      <c r="M110" s="865"/>
      <c r="N110" s="865"/>
      <c r="O110" s="866"/>
      <c r="P110" s="824"/>
      <c r="Q110" s="844"/>
    </row>
    <row r="111" spans="1:20" ht="12.75" customHeight="1" thickBot="1">
      <c r="A111" s="836">
        <v>7800</v>
      </c>
      <c r="B111" s="837" t="s">
        <v>137</v>
      </c>
      <c r="C111" s="838">
        <f t="shared" ref="C111:N111" si="29">SUM(C104:C110)</f>
        <v>250</v>
      </c>
      <c r="D111" s="838">
        <f t="shared" si="29"/>
        <v>250</v>
      </c>
      <c r="E111" s="838">
        <f t="shared" si="29"/>
        <v>250</v>
      </c>
      <c r="F111" s="838">
        <f t="shared" si="29"/>
        <v>250</v>
      </c>
      <c r="G111" s="838">
        <f t="shared" si="29"/>
        <v>250</v>
      </c>
      <c r="H111" s="838">
        <f t="shared" si="29"/>
        <v>250</v>
      </c>
      <c r="I111" s="838">
        <f t="shared" si="29"/>
        <v>490</v>
      </c>
      <c r="J111" s="838">
        <f t="shared" si="29"/>
        <v>490</v>
      </c>
      <c r="K111" s="838">
        <f t="shared" si="29"/>
        <v>490</v>
      </c>
      <c r="L111" s="838">
        <f t="shared" si="29"/>
        <v>490</v>
      </c>
      <c r="M111" s="838">
        <f t="shared" si="29"/>
        <v>490</v>
      </c>
      <c r="N111" s="838">
        <f t="shared" si="29"/>
        <v>490</v>
      </c>
      <c r="O111" s="839">
        <f>+SUBTOTAL(9,C111:N111)</f>
        <v>4440</v>
      </c>
      <c r="P111" s="824"/>
      <c r="Q111" s="840"/>
    </row>
    <row r="112" spans="1:20" ht="12.75" customHeight="1" thickTop="1">
      <c r="A112" s="836"/>
      <c r="B112" s="867"/>
      <c r="C112" s="846"/>
      <c r="D112" s="846"/>
      <c r="E112" s="846"/>
      <c r="F112" s="846"/>
      <c r="G112" s="846"/>
      <c r="H112" s="846"/>
      <c r="I112" s="846"/>
      <c r="J112" s="846"/>
      <c r="K112" s="846"/>
      <c r="L112" s="846"/>
      <c r="M112" s="846"/>
      <c r="N112" s="846"/>
      <c r="O112" s="846"/>
      <c r="P112" s="824"/>
      <c r="Q112" s="825"/>
    </row>
    <row r="113" spans="1:21" ht="12.75" customHeight="1">
      <c r="A113" s="690" t="s">
        <v>206</v>
      </c>
      <c r="B113" s="691" t="s">
        <v>1168</v>
      </c>
      <c r="C113" s="692">
        <f t="shared" ref="C113:O113" si="30">C103</f>
        <v>45901</v>
      </c>
      <c r="D113" s="692">
        <f t="shared" si="30"/>
        <v>45961</v>
      </c>
      <c r="E113" s="692">
        <f t="shared" si="30"/>
        <v>45991</v>
      </c>
      <c r="F113" s="692">
        <f t="shared" si="30"/>
        <v>46022</v>
      </c>
      <c r="G113" s="692">
        <f t="shared" si="30"/>
        <v>46053</v>
      </c>
      <c r="H113" s="692">
        <f t="shared" si="30"/>
        <v>46081</v>
      </c>
      <c r="I113" s="692">
        <f t="shared" si="30"/>
        <v>46112</v>
      </c>
      <c r="J113" s="692">
        <f t="shared" si="30"/>
        <v>46142</v>
      </c>
      <c r="K113" s="692">
        <f t="shared" si="30"/>
        <v>46173</v>
      </c>
      <c r="L113" s="692">
        <f t="shared" si="30"/>
        <v>46203</v>
      </c>
      <c r="M113" s="692">
        <f t="shared" si="30"/>
        <v>46234</v>
      </c>
      <c r="N113" s="692">
        <f t="shared" si="30"/>
        <v>46265</v>
      </c>
      <c r="O113" s="693" t="str">
        <f t="shared" si="30"/>
        <v>Year 1 Total</v>
      </c>
      <c r="P113" s="824"/>
      <c r="Q113" s="826" t="s">
        <v>23</v>
      </c>
      <c r="S113" s="1098" t="s">
        <v>924</v>
      </c>
      <c r="T113" s="1099"/>
      <c r="U113" s="1100"/>
    </row>
    <row r="114" spans="1:21" ht="12.75" customHeight="1">
      <c r="A114" s="836"/>
      <c r="B114" s="828" t="s">
        <v>1170</v>
      </c>
      <c r="C114" s="846">
        <f>+$T$114*'GPR Worksheet'!$C$10</f>
        <v>664.82999999999993</v>
      </c>
      <c r="D114" s="846">
        <f>+$T$114*'GPR Worksheet'!$C$10</f>
        <v>664.82999999999993</v>
      </c>
      <c r="E114" s="846">
        <f>+$T$114*'GPR Worksheet'!$C$10</f>
        <v>664.82999999999993</v>
      </c>
      <c r="F114" s="846">
        <f>+$T$114*'GPR Worksheet'!$C$10</f>
        <v>664.82999999999993</v>
      </c>
      <c r="G114" s="846">
        <f>+$T$114*'GPR Worksheet'!$C$10</f>
        <v>664.82999999999993</v>
      </c>
      <c r="H114" s="846">
        <f>+$T$114*'GPR Worksheet'!$C$10</f>
        <v>664.82999999999993</v>
      </c>
      <c r="I114" s="846">
        <f>+$T$114*'GPR Worksheet'!$C$10</f>
        <v>664.82999999999993</v>
      </c>
      <c r="J114" s="846">
        <f>+$T$114*'GPR Worksheet'!$C$10</f>
        <v>664.82999999999993</v>
      </c>
      <c r="K114" s="846">
        <f>+$T$114*'GPR Worksheet'!$C$10</f>
        <v>664.82999999999993</v>
      </c>
      <c r="L114" s="846">
        <f>+$T$114*'GPR Worksheet'!$C$10</f>
        <v>664.82999999999993</v>
      </c>
      <c r="M114" s="846">
        <f>+$T$114*'GPR Worksheet'!$C$10</f>
        <v>664.82999999999993</v>
      </c>
      <c r="N114" s="846">
        <f>+$T$114*'GPR Worksheet'!$C$10</f>
        <v>664.82999999999993</v>
      </c>
      <c r="O114" s="703">
        <f t="shared" ref="O114:O116" si="31">+SUBTOTAL(9,C114:N114)</f>
        <v>7977.9599999999991</v>
      </c>
      <c r="P114" s="824"/>
      <c r="Q114" s="1041" t="s">
        <v>1173</v>
      </c>
      <c r="S114" s="1037" t="s">
        <v>1174</v>
      </c>
      <c r="T114" s="1043">
        <v>8.01</v>
      </c>
      <c r="U114" s="1038"/>
    </row>
    <row r="115" spans="1:21" ht="12.75" customHeight="1">
      <c r="A115" s="836"/>
      <c r="B115" s="828" t="s">
        <v>1171</v>
      </c>
      <c r="C115" s="846">
        <v>0</v>
      </c>
      <c r="D115" s="846">
        <v>0</v>
      </c>
      <c r="E115" s="846">
        <v>0</v>
      </c>
      <c r="F115" s="846">
        <v>0</v>
      </c>
      <c r="G115" s="846">
        <v>0</v>
      </c>
      <c r="H115" s="846">
        <v>0</v>
      </c>
      <c r="I115" s="846">
        <v>0</v>
      </c>
      <c r="J115" s="846">
        <v>0</v>
      </c>
      <c r="K115" s="846">
        <v>0</v>
      </c>
      <c r="L115" s="846">
        <v>0</v>
      </c>
      <c r="M115" s="846">
        <v>0</v>
      </c>
      <c r="N115" s="846">
        <v>0</v>
      </c>
      <c r="O115" s="703">
        <f t="shared" si="31"/>
        <v>0</v>
      </c>
      <c r="P115" s="824"/>
      <c r="Q115" s="829"/>
      <c r="S115" s="1004" t="s">
        <v>1175</v>
      </c>
      <c r="T115" s="414" t="s">
        <v>1180</v>
      </c>
      <c r="U115" s="828"/>
    </row>
    <row r="116" spans="1:21" ht="12.75" customHeight="1">
      <c r="A116" s="836"/>
      <c r="B116" s="828" t="s">
        <v>1172</v>
      </c>
      <c r="C116" s="846">
        <v>0</v>
      </c>
      <c r="D116" s="846">
        <v>0</v>
      </c>
      <c r="E116" s="846">
        <v>0</v>
      </c>
      <c r="F116" s="846">
        <v>0</v>
      </c>
      <c r="G116" s="846">
        <v>0</v>
      </c>
      <c r="H116" s="846">
        <v>0</v>
      </c>
      <c r="I116" s="846">
        <v>0</v>
      </c>
      <c r="J116" s="846">
        <v>0</v>
      </c>
      <c r="K116" s="846">
        <v>0</v>
      </c>
      <c r="L116" s="846">
        <v>0</v>
      </c>
      <c r="M116" s="846">
        <v>0</v>
      </c>
      <c r="N116" s="846">
        <v>0</v>
      </c>
      <c r="O116" s="703">
        <f t="shared" si="31"/>
        <v>0</v>
      </c>
      <c r="P116" s="824"/>
      <c r="Q116" s="829"/>
      <c r="S116" s="1004" t="s">
        <v>1176</v>
      </c>
      <c r="T116" s="414" t="s">
        <v>1181</v>
      </c>
      <c r="U116" s="828"/>
    </row>
    <row r="117" spans="1:21" ht="12.75" customHeight="1" thickBot="1">
      <c r="A117" s="1044">
        <v>7711</v>
      </c>
      <c r="B117" s="837" t="s">
        <v>1169</v>
      </c>
      <c r="C117" s="1035">
        <f>+SUM(C114:C116)</f>
        <v>664.82999999999993</v>
      </c>
      <c r="D117" s="1035">
        <f t="shared" ref="D117:N117" si="32">+SUM(D114:D116)</f>
        <v>664.82999999999993</v>
      </c>
      <c r="E117" s="1035">
        <f t="shared" si="32"/>
        <v>664.82999999999993</v>
      </c>
      <c r="F117" s="1035">
        <f t="shared" si="32"/>
        <v>664.82999999999993</v>
      </c>
      <c r="G117" s="1035">
        <f t="shared" si="32"/>
        <v>664.82999999999993</v>
      </c>
      <c r="H117" s="1035">
        <f t="shared" si="32"/>
        <v>664.82999999999993</v>
      </c>
      <c r="I117" s="1035">
        <f t="shared" si="32"/>
        <v>664.82999999999993</v>
      </c>
      <c r="J117" s="1035">
        <f t="shared" si="32"/>
        <v>664.82999999999993</v>
      </c>
      <c r="K117" s="1035">
        <f t="shared" si="32"/>
        <v>664.82999999999993</v>
      </c>
      <c r="L117" s="1035">
        <f t="shared" si="32"/>
        <v>664.82999999999993</v>
      </c>
      <c r="M117" s="1035">
        <f t="shared" si="32"/>
        <v>664.82999999999993</v>
      </c>
      <c r="N117" s="1035">
        <f t="shared" si="32"/>
        <v>664.82999999999993</v>
      </c>
      <c r="O117" s="839">
        <f>+SUBTOTAL(9,C117:N117)</f>
        <v>7977.9599999999991</v>
      </c>
      <c r="P117" s="1036"/>
      <c r="Q117" s="829"/>
      <c r="S117" s="1004" t="s">
        <v>1177</v>
      </c>
      <c r="T117" s="414" t="s">
        <v>1182</v>
      </c>
      <c r="U117" s="828"/>
    </row>
    <row r="118" spans="1:21" ht="12.75" customHeight="1" thickTop="1">
      <c r="A118" s="821"/>
      <c r="B118" s="828"/>
      <c r="C118" s="821"/>
      <c r="D118" s="821"/>
      <c r="E118" s="821"/>
      <c r="F118" s="821"/>
      <c r="G118" s="821"/>
      <c r="H118" s="821"/>
      <c r="I118" s="821"/>
      <c r="J118" s="821"/>
      <c r="K118" s="821"/>
      <c r="L118" s="821"/>
      <c r="M118" s="821"/>
      <c r="N118" s="821"/>
      <c r="O118" s="821"/>
      <c r="P118" s="824"/>
      <c r="Q118" s="829"/>
      <c r="S118" s="1004" t="s">
        <v>1178</v>
      </c>
      <c r="T118" s="414" t="s">
        <v>1183</v>
      </c>
      <c r="U118" s="828"/>
    </row>
    <row r="119" spans="1:21" ht="12.75" customHeight="1" thickBot="1">
      <c r="B119" s="837" t="s">
        <v>190</v>
      </c>
      <c r="C119" s="868">
        <f t="shared" ref="C119:N119" si="33">SUM(C16+C42+C53+C80+C91+C101+C111+C66+C30+C117)</f>
        <v>7241.08</v>
      </c>
      <c r="D119" s="868">
        <f t="shared" si="33"/>
        <v>6241.08</v>
      </c>
      <c r="E119" s="868">
        <f t="shared" si="33"/>
        <v>5241.08</v>
      </c>
      <c r="F119" s="868">
        <f t="shared" si="33"/>
        <v>5766.08</v>
      </c>
      <c r="G119" s="868">
        <f t="shared" si="33"/>
        <v>6466.08</v>
      </c>
      <c r="H119" s="868">
        <f t="shared" si="33"/>
        <v>5766.08</v>
      </c>
      <c r="I119" s="868">
        <f t="shared" si="33"/>
        <v>5771.08</v>
      </c>
      <c r="J119" s="868">
        <f t="shared" si="33"/>
        <v>5271.08</v>
      </c>
      <c r="K119" s="868">
        <f t="shared" si="33"/>
        <v>4334.08</v>
      </c>
      <c r="L119" s="868">
        <f t="shared" si="33"/>
        <v>3734.08</v>
      </c>
      <c r="M119" s="868">
        <f t="shared" si="33"/>
        <v>3734.08</v>
      </c>
      <c r="N119" s="868">
        <f t="shared" si="33"/>
        <v>3734.08</v>
      </c>
      <c r="O119" s="839">
        <f>+SUBTOTAL(9,C119:N119)</f>
        <v>63299.960000000014</v>
      </c>
      <c r="P119" s="824"/>
      <c r="Q119" s="1042"/>
      <c r="S119" s="1039" t="s">
        <v>1179</v>
      </c>
      <c r="T119" s="852" t="s">
        <v>1184</v>
      </c>
      <c r="U119" s="1040"/>
    </row>
    <row r="120" spans="1:21" ht="14" thickTop="1">
      <c r="P120" s="824"/>
    </row>
    <row r="121" spans="1:21">
      <c r="P121" s="824"/>
    </row>
    <row r="122" spans="1:21">
      <c r="P122" s="824"/>
    </row>
    <row r="123" spans="1:21">
      <c r="P123" s="824"/>
    </row>
    <row r="124" spans="1:21">
      <c r="P124" s="824"/>
    </row>
    <row r="125" spans="1:21">
      <c r="P125" s="824"/>
    </row>
    <row r="126" spans="1:21">
      <c r="P126" s="824"/>
    </row>
    <row r="127" spans="1:21">
      <c r="P127" s="824"/>
    </row>
    <row r="128" spans="1:21">
      <c r="P128" s="824"/>
    </row>
    <row r="129" spans="16:23">
      <c r="P129" s="824"/>
    </row>
    <row r="130" spans="16:23">
      <c r="P130" s="824"/>
    </row>
    <row r="140" spans="16:23">
      <c r="U140" s="869"/>
      <c r="V140" s="869"/>
      <c r="W140" s="665"/>
    </row>
  </sheetData>
  <sortState xmlns:xlrd2="http://schemas.microsoft.com/office/spreadsheetml/2017/richdata2" ref="B106:W120">
    <sortCondition ref="B106:B120"/>
  </sortState>
  <customSheetViews>
    <customSheetView guid="{9DEAD063-F928-419C-837E-C1066ED7860B}" showPageBreaks="1" hiddenRows="1" hiddenColumns="1" topLeftCell="B4">
      <selection activeCell="K19" sqref="K19"/>
      <pageMargins left="0.2" right="0.2" top="0.75" bottom="0.75" header="0.3" footer="0.3"/>
      <printOptions horizontalCentered="1"/>
      <pageSetup scale="65" orientation="landscape" r:id="rId1"/>
      <headerFooter>
        <oddHeader>&amp;L&amp;G&amp;C&amp;"Calibri,Regular"&amp;12 2017 BUDGET&amp;R&amp;D</oddHeader>
      </headerFooter>
    </customSheetView>
    <customSheetView guid="{CD41F76E-02CC-455C-B8BC-2EB46CDD6483}" hiddenRows="1" hiddenColumns="1" topLeftCell="B1">
      <selection activeCell="R4" sqref="R4"/>
      <pageMargins left="0.2" right="0.2" top="0.75" bottom="0.75" header="0.3" footer="0.3"/>
      <printOptions horizontalCentered="1"/>
      <pageSetup scale="65" orientation="landscape" r:id="rId2"/>
      <headerFooter>
        <oddHeader>&amp;L&amp;G&amp;C&amp;"Calibri,Regular"&amp;12 2017 BUDGET&amp;R&amp;D</oddHeader>
      </headerFooter>
    </customSheetView>
    <customSheetView guid="{D073F711-6285-4942-AB77-7D856F2758D2}" hiddenRows="1" hiddenColumns="1" topLeftCell="B1">
      <selection activeCell="D10" sqref="D10"/>
      <pageMargins left="0.2" right="0.2" top="0.75" bottom="0.75" header="0.3" footer="0.3"/>
      <printOptions horizontalCentered="1"/>
      <pageSetup scale="65" orientation="landscape" r:id="rId3"/>
      <headerFooter>
        <oddHeader>&amp;L&amp;G&amp;C&amp;"Calibri,Regular"&amp;12 2017 BUDGET&amp;R&amp;D</oddHeader>
      </headerFooter>
    </customSheetView>
    <customSheetView guid="{37F60134-1665-4224-BDB0-AA938013E6F7}" hiddenRows="1" hiddenColumns="1" topLeftCell="B1">
      <selection activeCell="D10" sqref="D10"/>
      <pageMargins left="0.2" right="0.2" top="0.75" bottom="0.75" header="0.3" footer="0.3"/>
      <printOptions horizontalCentered="1"/>
      <pageSetup scale="65" orientation="landscape" r:id="rId4"/>
      <headerFooter>
        <oddHeader>&amp;L&amp;G&amp;C&amp;"Calibri,Regular"&amp;12 2017 BUDGET&amp;R&amp;D</oddHeader>
      </headerFooter>
    </customSheetView>
    <customSheetView guid="{DE2360E6-2B91-4F5C-9697-CB1D2265B97A}" hiddenRows="1" hiddenColumns="1" topLeftCell="B93">
      <selection activeCell="D104" sqref="D104:O104"/>
      <pageMargins left="0.2" right="0.2" top="0.75" bottom="0.75" header="0.3" footer="0.3"/>
      <printOptions horizontalCentered="1"/>
      <pageSetup scale="65" orientation="landscape" r:id="rId5"/>
      <headerFooter>
        <oddHeader>&amp;L&amp;G&amp;C&amp;"Calibri,Regular"&amp;12 2017 BUDGET&amp;R&amp;D</oddHeader>
      </headerFooter>
    </customSheetView>
    <customSheetView guid="{20D88610-093B-4F6F-9D08-6EE3E18F1365}" hiddenRows="1" hiddenColumns="1" topLeftCell="B1">
      <selection activeCell="Q104" sqref="Q104"/>
      <pageMargins left="0.2" right="0.2" top="0.75" bottom="0.75" header="0.3" footer="0.3"/>
      <printOptions horizontalCentered="1"/>
      <pageSetup scale="65" orientation="landscape" r:id="rId6"/>
      <headerFooter>
        <oddHeader>&amp;L&amp;G&amp;C&amp;"Calibri,Regular"&amp;12 2017 BUDGET&amp;R&amp;D</oddHeader>
      </headerFooter>
    </customSheetView>
    <customSheetView guid="{238B6A19-3218-4587-9C80-5E68600CCC2E}" showPageBreaks="1" hiddenRows="1" hiddenColumns="1" topLeftCell="B4">
      <selection activeCell="K19" sqref="K19"/>
      <pageMargins left="0.2" right="0.2" top="0.75" bottom="0.75" header="0.3" footer="0.3"/>
      <printOptions horizontalCentered="1"/>
      <pageSetup scale="65" orientation="landscape" r:id="rId7"/>
      <headerFooter>
        <oddHeader>&amp;L&amp;G&amp;C&amp;"Calibri,Regular"&amp;12 2017 BUDGET&amp;R&amp;D</oddHeader>
      </headerFooter>
    </customSheetView>
    <customSheetView guid="{BBC4A248-3FF0-4C22-89A9-106C1C902C44}" hiddenRows="1" hiddenColumns="1" topLeftCell="B1">
      <selection activeCell="R2" sqref="R2"/>
      <pageMargins left="0.2" right="0.2" top="0.75" bottom="0.75" header="0.3" footer="0.3"/>
      <printOptions horizontalCentered="1"/>
      <pageSetup scale="65" orientation="landscape" r:id="rId8"/>
      <headerFooter>
        <oddHeader>&amp;L&amp;G&amp;C&amp;"Calibri,Regular"&amp;12 2017 BUDGET&amp;R&amp;D</oddHeader>
      </headerFooter>
    </customSheetView>
    <customSheetView guid="{97516F51-8B9A-4ED3-BCEB-36791F0F2C00}" hiddenRows="1" hiddenColumns="1" topLeftCell="B1">
      <selection activeCell="I33" sqref="I33"/>
      <pageMargins left="0.2" right="0.2" top="0.75" bottom="0.75" header="0.3" footer="0.3"/>
      <printOptions horizontalCentered="1"/>
      <pageSetup scale="65" orientation="landscape" r:id="rId9"/>
      <headerFooter>
        <oddHeader>&amp;L&amp;G&amp;C&amp;"Calibri,Regular"&amp;12 2017 BUDGET&amp;R&amp;D</oddHeader>
      </headerFooter>
    </customSheetView>
  </customSheetViews>
  <mergeCells count="1">
    <mergeCell ref="S113:U113"/>
  </mergeCells>
  <printOptions horizontalCentered="1"/>
  <pageMargins left="0.2" right="0.2" top="0.75" bottom="0.75" header="0.3" footer="0.3"/>
  <pageSetup scale="39" orientation="landscape" r:id="rId10"/>
  <headerFooter>
    <oddHeader>&amp;L&amp;G&amp;C&amp;"Calibri,Regular"&amp;12BUDGET&amp;R&amp;D</oddHeader>
  </headerFooter>
  <legacyDrawingHF r:id="rId1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Q37"/>
  <sheetViews>
    <sheetView showGridLines="0" zoomScale="80" zoomScaleNormal="80" workbookViewId="0"/>
  </sheetViews>
  <sheetFormatPr baseColWidth="10" defaultColWidth="9.1640625" defaultRowHeight="13"/>
  <cols>
    <col min="1" max="1" width="9.1640625" style="108"/>
    <col min="2" max="2" width="30.1640625" style="108" bestFit="1" customWidth="1"/>
    <col min="3" max="4" width="9.1640625" style="108" bestFit="1" customWidth="1"/>
    <col min="5" max="7" width="9.1640625" style="108" customWidth="1"/>
    <col min="8" max="8" width="10.83203125" style="108" bestFit="1" customWidth="1"/>
    <col min="9" max="9" width="10.83203125" style="108" customWidth="1"/>
    <col min="10" max="11" width="9.1640625" style="108" bestFit="1" customWidth="1"/>
    <col min="12" max="13" width="10.83203125" style="108" bestFit="1" customWidth="1"/>
    <col min="14" max="14" width="9.1640625" style="108" bestFit="1" customWidth="1"/>
    <col min="15" max="15" width="13.5" style="108" customWidth="1"/>
    <col min="16" max="16" width="4.33203125" style="108" customWidth="1"/>
    <col min="17" max="17" width="20.83203125" style="108" customWidth="1"/>
    <col min="18" max="16384" width="9.1640625" style="108"/>
  </cols>
  <sheetData>
    <row r="1" spans="1:17" ht="14">
      <c r="A1" s="229" t="str">
        <f ca="1">+"RKW Residential "&amp;" // "&amp;Cover!A23&amp;" // "&amp;Cover!A19&amp;" // "&amp;MID(CELL("filename",A1),FIND("]",CELL("filename",A1))+1,255)</f>
        <v>RKW Residential  // Abraham Ng'hwani // NOVA RTP 2680 // Make Ready Worksheet</v>
      </c>
      <c r="B1" s="908"/>
      <c r="C1" s="908"/>
      <c r="D1" s="908"/>
      <c r="E1" s="908"/>
      <c r="F1" s="908"/>
      <c r="G1" s="908"/>
      <c r="H1" s="908"/>
      <c r="I1" s="908"/>
      <c r="J1" s="908"/>
      <c r="K1" s="908"/>
      <c r="L1" s="908"/>
      <c r="M1" s="908"/>
      <c r="N1" s="908"/>
      <c r="O1" s="908"/>
      <c r="P1" s="101"/>
      <c r="Q1" s="101"/>
    </row>
    <row r="3" spans="1:17" ht="14">
      <c r="B3" s="588" t="s">
        <v>207</v>
      </c>
      <c r="D3" s="907">
        <f>Summary!C8</f>
        <v>83</v>
      </c>
      <c r="E3" s="870"/>
      <c r="F3" s="870"/>
      <c r="G3" s="870"/>
      <c r="H3" s="871"/>
      <c r="I3" s="871"/>
      <c r="J3" s="871"/>
      <c r="K3" s="871"/>
      <c r="L3" s="871"/>
      <c r="M3" s="871"/>
      <c r="N3" s="871"/>
      <c r="O3" s="871"/>
    </row>
    <row r="4" spans="1:17">
      <c r="A4" s="525"/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5"/>
      <c r="O4" s="525"/>
      <c r="Q4" s="872"/>
    </row>
    <row r="5" spans="1:17">
      <c r="B5" s="588" t="s">
        <v>158</v>
      </c>
      <c r="D5" s="873">
        <v>300</v>
      </c>
      <c r="E5" s="874"/>
      <c r="F5" s="874"/>
      <c r="G5" s="874"/>
      <c r="H5" s="525"/>
      <c r="I5" s="525"/>
      <c r="J5" s="525"/>
      <c r="K5" s="525"/>
      <c r="L5" s="525"/>
      <c r="M5" s="525"/>
      <c r="N5" s="525"/>
      <c r="O5" s="525"/>
      <c r="Q5" s="875"/>
    </row>
    <row r="6" spans="1:17">
      <c r="B6" s="588" t="s">
        <v>159</v>
      </c>
      <c r="D6" s="876">
        <v>105</v>
      </c>
      <c r="E6" s="874"/>
      <c r="F6" s="874"/>
      <c r="G6" s="874"/>
      <c r="H6" s="525"/>
      <c r="I6" s="525"/>
      <c r="J6" s="525"/>
      <c r="K6" s="525"/>
      <c r="L6" s="525"/>
      <c r="M6" s="525"/>
      <c r="N6" s="525"/>
      <c r="O6" s="525"/>
      <c r="Q6" s="875"/>
    </row>
    <row r="7" spans="1:17">
      <c r="B7" s="588" t="s">
        <v>160</v>
      </c>
      <c r="D7" s="877">
        <v>75</v>
      </c>
      <c r="E7" s="874"/>
      <c r="F7" s="874"/>
      <c r="G7" s="874"/>
      <c r="H7" s="525"/>
      <c r="I7" s="525"/>
      <c r="J7" s="525"/>
      <c r="K7" s="525"/>
      <c r="L7" s="525"/>
      <c r="M7" s="525"/>
      <c r="N7" s="525"/>
      <c r="O7" s="525"/>
      <c r="Q7" s="875"/>
    </row>
    <row r="8" spans="1:17">
      <c r="A8" s="525"/>
      <c r="B8" s="588"/>
      <c r="C8" s="525"/>
      <c r="D8" s="525"/>
      <c r="E8" s="525"/>
      <c r="F8" s="525"/>
      <c r="G8" s="525"/>
      <c r="H8" s="525"/>
      <c r="I8" s="525"/>
      <c r="J8" s="525"/>
      <c r="K8" s="525"/>
      <c r="L8" s="525"/>
      <c r="M8" s="525"/>
      <c r="N8" s="525"/>
      <c r="O8" s="525"/>
      <c r="Q8" s="878"/>
    </row>
    <row r="9" spans="1:17">
      <c r="A9" s="914" t="s">
        <v>206</v>
      </c>
      <c r="B9" s="915"/>
      <c r="C9" s="915">
        <f>'Marketing Worksheet'!C4</f>
        <v>45901</v>
      </c>
      <c r="D9" s="915">
        <f>'Marketing Worksheet'!D4</f>
        <v>45961</v>
      </c>
      <c r="E9" s="915">
        <f>'Marketing Worksheet'!E4</f>
        <v>45991</v>
      </c>
      <c r="F9" s="915">
        <f>'Marketing Worksheet'!F4</f>
        <v>46022</v>
      </c>
      <c r="G9" s="915">
        <f>'Marketing Worksheet'!G4</f>
        <v>46053</v>
      </c>
      <c r="H9" s="915">
        <f>'Marketing Worksheet'!H4</f>
        <v>46081</v>
      </c>
      <c r="I9" s="915">
        <f>'Marketing Worksheet'!I4</f>
        <v>46112</v>
      </c>
      <c r="J9" s="915">
        <f>'Marketing Worksheet'!J4</f>
        <v>46142</v>
      </c>
      <c r="K9" s="915">
        <f>'Marketing Worksheet'!K4</f>
        <v>46173</v>
      </c>
      <c r="L9" s="915">
        <f>'Marketing Worksheet'!L4</f>
        <v>46203</v>
      </c>
      <c r="M9" s="915">
        <f>'Marketing Worksheet'!M4</f>
        <v>46234</v>
      </c>
      <c r="N9" s="915">
        <f>'Marketing Worksheet'!N4</f>
        <v>46265</v>
      </c>
      <c r="O9" s="917" t="str">
        <f>'Marketing Worksheet'!O4</f>
        <v>Year 1 Total</v>
      </c>
      <c r="Q9" s="918" t="s">
        <v>23</v>
      </c>
    </row>
    <row r="10" spans="1:17">
      <c r="A10" s="525"/>
      <c r="B10" s="566" t="s">
        <v>139</v>
      </c>
      <c r="C10" s="879">
        <f>'Revenue Worksheet'!D17</f>
        <v>0</v>
      </c>
      <c r="D10" s="879">
        <f>'Revenue Worksheet'!E17</f>
        <v>0</v>
      </c>
      <c r="E10" s="879">
        <f>'Revenue Worksheet'!F17</f>
        <v>0</v>
      </c>
      <c r="F10" s="879">
        <f>'Revenue Worksheet'!G17</f>
        <v>0</v>
      </c>
      <c r="G10" s="879">
        <f>'Revenue Worksheet'!H17</f>
        <v>0</v>
      </c>
      <c r="H10" s="879">
        <f>'Revenue Worksheet'!I17</f>
        <v>0</v>
      </c>
      <c r="I10" s="879">
        <f>'Revenue Worksheet'!J17</f>
        <v>0</v>
      </c>
      <c r="J10" s="879">
        <f>'Revenue Worksheet'!K17</f>
        <v>0</v>
      </c>
      <c r="K10" s="879">
        <f>'Revenue Worksheet'!L17</f>
        <v>0</v>
      </c>
      <c r="L10" s="879">
        <f>'Revenue Worksheet'!M17</f>
        <v>0</v>
      </c>
      <c r="M10" s="879">
        <f>'Revenue Worksheet'!N17</f>
        <v>0</v>
      </c>
      <c r="N10" s="879">
        <f>'Revenue Worksheet'!O17</f>
        <v>0</v>
      </c>
      <c r="O10" s="880">
        <f>+SUBTOTAL(9,C10:N10)</f>
        <v>0</v>
      </c>
      <c r="Q10" s="252"/>
    </row>
    <row r="11" spans="1:17">
      <c r="A11" s="525"/>
      <c r="B11" s="588"/>
      <c r="C11" s="881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2"/>
      <c r="Q11" s="252"/>
    </row>
    <row r="12" spans="1:17">
      <c r="A12" s="883"/>
      <c r="B12" s="884" t="s">
        <v>140</v>
      </c>
      <c r="C12" s="885">
        <v>1</v>
      </c>
      <c r="D12" s="885">
        <v>1</v>
      </c>
      <c r="E12" s="885">
        <v>1</v>
      </c>
      <c r="F12" s="885">
        <v>1</v>
      </c>
      <c r="G12" s="885">
        <v>1</v>
      </c>
      <c r="H12" s="885">
        <v>1</v>
      </c>
      <c r="I12" s="885">
        <v>1</v>
      </c>
      <c r="J12" s="885">
        <v>1</v>
      </c>
      <c r="K12" s="885">
        <v>1</v>
      </c>
      <c r="L12" s="885">
        <v>1</v>
      </c>
      <c r="M12" s="885">
        <v>1</v>
      </c>
      <c r="N12" s="885">
        <v>1</v>
      </c>
      <c r="O12" s="886"/>
      <c r="P12" s="887"/>
      <c r="Q12" s="888"/>
    </row>
    <row r="13" spans="1:17">
      <c r="A13" s="883"/>
      <c r="B13" s="889" t="s">
        <v>141</v>
      </c>
      <c r="C13" s="890">
        <f t="shared" ref="C13:N13" si="0">SUM(C10*$D$5*C12)</f>
        <v>0</v>
      </c>
      <c r="D13" s="890">
        <f t="shared" ref="D13:G13" si="1">SUM(D10*$D$5*D12)</f>
        <v>0</v>
      </c>
      <c r="E13" s="890">
        <f t="shared" si="1"/>
        <v>0</v>
      </c>
      <c r="F13" s="890">
        <f t="shared" si="1"/>
        <v>0</v>
      </c>
      <c r="G13" s="890">
        <f t="shared" si="1"/>
        <v>0</v>
      </c>
      <c r="H13" s="890">
        <f t="shared" si="0"/>
        <v>0</v>
      </c>
      <c r="I13" s="890">
        <f t="shared" si="0"/>
        <v>0</v>
      </c>
      <c r="J13" s="890">
        <f t="shared" si="0"/>
        <v>0</v>
      </c>
      <c r="K13" s="890">
        <f t="shared" si="0"/>
        <v>0</v>
      </c>
      <c r="L13" s="890">
        <f t="shared" si="0"/>
        <v>0</v>
      </c>
      <c r="M13" s="890">
        <f t="shared" si="0"/>
        <v>0</v>
      </c>
      <c r="N13" s="890">
        <f t="shared" si="0"/>
        <v>0</v>
      </c>
      <c r="O13" s="880">
        <f>+SUBTOTAL(9,C13:N13)</f>
        <v>0</v>
      </c>
      <c r="P13" s="887"/>
      <c r="Q13" s="888"/>
    </row>
    <row r="14" spans="1:17">
      <c r="A14" s="883"/>
      <c r="B14" s="884" t="s">
        <v>142</v>
      </c>
      <c r="C14" s="885">
        <v>1</v>
      </c>
      <c r="D14" s="885">
        <v>1</v>
      </c>
      <c r="E14" s="885">
        <v>1</v>
      </c>
      <c r="F14" s="885">
        <v>1</v>
      </c>
      <c r="G14" s="885">
        <v>1</v>
      </c>
      <c r="H14" s="885">
        <v>1</v>
      </c>
      <c r="I14" s="885">
        <v>1</v>
      </c>
      <c r="J14" s="885">
        <v>1</v>
      </c>
      <c r="K14" s="885">
        <v>1</v>
      </c>
      <c r="L14" s="885">
        <v>1</v>
      </c>
      <c r="M14" s="885">
        <v>1</v>
      </c>
      <c r="N14" s="885">
        <v>1</v>
      </c>
      <c r="O14" s="886"/>
      <c r="P14" s="887"/>
      <c r="Q14" s="888"/>
    </row>
    <row r="15" spans="1:17">
      <c r="A15" s="883"/>
      <c r="B15" s="889" t="s">
        <v>141</v>
      </c>
      <c r="C15" s="890">
        <f t="shared" ref="C15:N15" si="2">SUM(C14*$D$6*C10)</f>
        <v>0</v>
      </c>
      <c r="D15" s="890">
        <f t="shared" ref="D15:G15" si="3">SUM(D14*$D$6*D10)</f>
        <v>0</v>
      </c>
      <c r="E15" s="890">
        <f t="shared" si="3"/>
        <v>0</v>
      </c>
      <c r="F15" s="890">
        <f t="shared" si="3"/>
        <v>0</v>
      </c>
      <c r="G15" s="890">
        <f t="shared" si="3"/>
        <v>0</v>
      </c>
      <c r="H15" s="890">
        <f t="shared" si="2"/>
        <v>0</v>
      </c>
      <c r="I15" s="890">
        <f t="shared" si="2"/>
        <v>0</v>
      </c>
      <c r="J15" s="890">
        <f t="shared" si="2"/>
        <v>0</v>
      </c>
      <c r="K15" s="890">
        <f t="shared" si="2"/>
        <v>0</v>
      </c>
      <c r="L15" s="890">
        <f t="shared" si="2"/>
        <v>0</v>
      </c>
      <c r="M15" s="890">
        <f t="shared" si="2"/>
        <v>0</v>
      </c>
      <c r="N15" s="890">
        <f t="shared" si="2"/>
        <v>0</v>
      </c>
      <c r="O15" s="880">
        <f>+SUBTOTAL(9,C15:N15)</f>
        <v>0</v>
      </c>
      <c r="P15" s="887"/>
      <c r="Q15" s="888"/>
    </row>
    <row r="16" spans="1:17">
      <c r="A16" s="883"/>
      <c r="B16" s="884" t="s">
        <v>143</v>
      </c>
      <c r="C16" s="885">
        <v>1</v>
      </c>
      <c r="D16" s="885">
        <v>1</v>
      </c>
      <c r="E16" s="885">
        <v>1</v>
      </c>
      <c r="F16" s="885">
        <v>1</v>
      </c>
      <c r="G16" s="885">
        <v>1</v>
      </c>
      <c r="H16" s="885">
        <v>1</v>
      </c>
      <c r="I16" s="885">
        <v>1</v>
      </c>
      <c r="J16" s="885">
        <v>1</v>
      </c>
      <c r="K16" s="885">
        <v>1</v>
      </c>
      <c r="L16" s="885">
        <v>1</v>
      </c>
      <c r="M16" s="885">
        <v>1</v>
      </c>
      <c r="N16" s="885">
        <v>1</v>
      </c>
      <c r="O16" s="886"/>
      <c r="P16" s="887"/>
      <c r="Q16" s="888"/>
    </row>
    <row r="17" spans="1:17">
      <c r="A17" s="883"/>
      <c r="B17" s="889" t="s">
        <v>141</v>
      </c>
      <c r="C17" s="890">
        <f t="shared" ref="C17:N17" si="4">SUM(C16*$D$7*C10)</f>
        <v>0</v>
      </c>
      <c r="D17" s="890">
        <f t="shared" ref="D17:G17" si="5">SUM(D16*$D$7*D10)</f>
        <v>0</v>
      </c>
      <c r="E17" s="890">
        <f t="shared" si="5"/>
        <v>0</v>
      </c>
      <c r="F17" s="890">
        <f t="shared" si="5"/>
        <v>0</v>
      </c>
      <c r="G17" s="890">
        <f t="shared" si="5"/>
        <v>0</v>
      </c>
      <c r="H17" s="890">
        <f t="shared" si="4"/>
        <v>0</v>
      </c>
      <c r="I17" s="890">
        <f t="shared" si="4"/>
        <v>0</v>
      </c>
      <c r="J17" s="890">
        <f t="shared" si="4"/>
        <v>0</v>
      </c>
      <c r="K17" s="890">
        <f t="shared" si="4"/>
        <v>0</v>
      </c>
      <c r="L17" s="890">
        <f t="shared" si="4"/>
        <v>0</v>
      </c>
      <c r="M17" s="890">
        <f t="shared" si="4"/>
        <v>0</v>
      </c>
      <c r="N17" s="890">
        <f t="shared" si="4"/>
        <v>0</v>
      </c>
      <c r="O17" s="880">
        <f>+SUBTOTAL(9,C17:N17)</f>
        <v>0</v>
      </c>
      <c r="P17" s="887"/>
      <c r="Q17" s="891"/>
    </row>
    <row r="18" spans="1:17">
      <c r="A18" s="883"/>
      <c r="B18" s="884"/>
      <c r="C18" s="892"/>
      <c r="D18" s="892"/>
      <c r="E18" s="892"/>
      <c r="F18" s="892"/>
      <c r="G18" s="892"/>
      <c r="H18" s="892"/>
      <c r="I18" s="892"/>
      <c r="J18" s="892"/>
      <c r="K18" s="892"/>
      <c r="L18" s="892"/>
      <c r="M18" s="892"/>
      <c r="N18" s="892"/>
      <c r="O18" s="893"/>
      <c r="P18" s="887"/>
      <c r="Q18" s="894"/>
    </row>
    <row r="19" spans="1:17">
      <c r="A19" s="883"/>
      <c r="B19" s="892" t="s">
        <v>144</v>
      </c>
      <c r="C19" s="919">
        <f t="shared" ref="C19:O19" si="6">C9</f>
        <v>45901</v>
      </c>
      <c r="D19" s="915">
        <f t="shared" ref="D19:G19" si="7">D9</f>
        <v>45961</v>
      </c>
      <c r="E19" s="915">
        <f t="shared" si="7"/>
        <v>45991</v>
      </c>
      <c r="F19" s="915">
        <f t="shared" si="7"/>
        <v>46022</v>
      </c>
      <c r="G19" s="915">
        <f t="shared" si="7"/>
        <v>46053</v>
      </c>
      <c r="H19" s="915">
        <f t="shared" si="6"/>
        <v>46081</v>
      </c>
      <c r="I19" s="915">
        <f t="shared" si="6"/>
        <v>46112</v>
      </c>
      <c r="J19" s="915">
        <f t="shared" si="6"/>
        <v>46142</v>
      </c>
      <c r="K19" s="915">
        <f t="shared" si="6"/>
        <v>46173</v>
      </c>
      <c r="L19" s="915">
        <f t="shared" si="6"/>
        <v>46203</v>
      </c>
      <c r="M19" s="915">
        <f t="shared" si="6"/>
        <v>46234</v>
      </c>
      <c r="N19" s="916">
        <f t="shared" si="6"/>
        <v>46265</v>
      </c>
      <c r="O19" s="917" t="str">
        <f t="shared" si="6"/>
        <v>Year 1 Total</v>
      </c>
      <c r="P19" s="887"/>
      <c r="Q19" s="918" t="s">
        <v>23</v>
      </c>
    </row>
    <row r="20" spans="1:17">
      <c r="A20" s="883"/>
      <c r="B20" s="892"/>
      <c r="C20" s="892"/>
      <c r="D20" s="892"/>
      <c r="E20" s="892"/>
      <c r="F20" s="892"/>
      <c r="G20" s="892"/>
      <c r="H20" s="892"/>
      <c r="I20" s="892"/>
      <c r="J20" s="892"/>
      <c r="K20" s="892"/>
      <c r="L20" s="892"/>
      <c r="M20" s="892"/>
      <c r="N20" s="892"/>
      <c r="O20" s="893"/>
      <c r="P20" s="887"/>
      <c r="Q20" s="895"/>
    </row>
    <row r="21" spans="1:17">
      <c r="A21" s="319">
        <f>INDEX(QS_Chart_Of_Accounts_Upload!$C:$O,MATCH(B21,QS_Chart_Of_Accounts_Upload!$E:$E,0),MATCH("ACCT_NO",QS_Chart_Of_Accounts_Upload!$C$1:$O$1,0))</f>
        <v>6800</v>
      </c>
      <c r="B21" s="439" t="s">
        <v>43</v>
      </c>
      <c r="C21" s="896">
        <v>0</v>
      </c>
      <c r="D21" s="896">
        <v>0</v>
      </c>
      <c r="E21" s="896">
        <v>0</v>
      </c>
      <c r="F21" s="896">
        <v>0</v>
      </c>
      <c r="G21" s="896">
        <v>0</v>
      </c>
      <c r="H21" s="896">
        <v>0</v>
      </c>
      <c r="I21" s="896">
        <v>0</v>
      </c>
      <c r="J21" s="896">
        <v>0</v>
      </c>
      <c r="K21" s="896">
        <v>0</v>
      </c>
      <c r="L21" s="896">
        <v>0</v>
      </c>
      <c r="M21" s="896">
        <v>0</v>
      </c>
      <c r="N21" s="896">
        <v>0</v>
      </c>
      <c r="O21" s="897">
        <f t="shared" ref="O21:O33" si="8">+SUBTOTAL(9,C21:N21)</f>
        <v>0</v>
      </c>
      <c r="P21" s="887"/>
      <c r="Q21" s="888"/>
    </row>
    <row r="22" spans="1:17">
      <c r="A22" s="319">
        <f>INDEX(QS_Chart_Of_Accounts_Upload!$C:$O,MATCH(B22,QS_Chart_Of_Accounts_Upload!$E:$E,0),MATCH("ACCT_NO",QS_Chart_Of_Accounts_Upload!$C$1:$O$1,0))</f>
        <v>6810</v>
      </c>
      <c r="B22" s="439" t="s">
        <v>347</v>
      </c>
      <c r="C22" s="898">
        <f t="shared" ref="C22:N22" si="9">C17</f>
        <v>0</v>
      </c>
      <c r="D22" s="898">
        <f t="shared" ref="D22:G22" si="10">D17</f>
        <v>0</v>
      </c>
      <c r="E22" s="898">
        <f t="shared" si="10"/>
        <v>0</v>
      </c>
      <c r="F22" s="898">
        <f t="shared" si="10"/>
        <v>0</v>
      </c>
      <c r="G22" s="898">
        <f t="shared" si="10"/>
        <v>0</v>
      </c>
      <c r="H22" s="898">
        <f t="shared" si="9"/>
        <v>0</v>
      </c>
      <c r="I22" s="898">
        <f t="shared" si="9"/>
        <v>0</v>
      </c>
      <c r="J22" s="898">
        <f t="shared" si="9"/>
        <v>0</v>
      </c>
      <c r="K22" s="898">
        <f t="shared" si="9"/>
        <v>0</v>
      </c>
      <c r="L22" s="898">
        <f t="shared" si="9"/>
        <v>0</v>
      </c>
      <c r="M22" s="898">
        <f t="shared" si="9"/>
        <v>0</v>
      </c>
      <c r="N22" s="898">
        <f t="shared" si="9"/>
        <v>0</v>
      </c>
      <c r="O22" s="897">
        <f t="shared" si="8"/>
        <v>0</v>
      </c>
      <c r="P22" s="887"/>
      <c r="Q22" s="888"/>
    </row>
    <row r="23" spans="1:17">
      <c r="A23" s="319">
        <f>INDEX(QS_Chart_Of_Accounts_Upload!$C:$O,MATCH(B23,QS_Chart_Of_Accounts_Upload!$E:$E,0),MATCH("ACCT_NO",QS_Chart_Of_Accounts_Upload!$C$1:$O$1,0))</f>
        <v>6820</v>
      </c>
      <c r="B23" s="439" t="s">
        <v>44</v>
      </c>
      <c r="C23" s="896">
        <v>0</v>
      </c>
      <c r="D23" s="896">
        <v>0</v>
      </c>
      <c r="E23" s="896">
        <v>0</v>
      </c>
      <c r="F23" s="896">
        <v>0</v>
      </c>
      <c r="G23" s="896">
        <v>0</v>
      </c>
      <c r="H23" s="896">
        <v>0</v>
      </c>
      <c r="I23" s="896">
        <v>0</v>
      </c>
      <c r="J23" s="896">
        <v>0</v>
      </c>
      <c r="K23" s="896">
        <v>0</v>
      </c>
      <c r="L23" s="896">
        <v>0</v>
      </c>
      <c r="M23" s="896">
        <v>0</v>
      </c>
      <c r="N23" s="896">
        <v>0</v>
      </c>
      <c r="O23" s="897">
        <f t="shared" si="8"/>
        <v>0</v>
      </c>
      <c r="P23" s="887"/>
      <c r="Q23" s="888"/>
    </row>
    <row r="24" spans="1:17">
      <c r="A24" s="319">
        <f>INDEX(QS_Chart_Of_Accounts_Upload!$C:$O,MATCH(B24,QS_Chart_Of_Accounts_Upload!$E:$E,0),MATCH("ACCT_NO",QS_Chart_Of_Accounts_Upload!$C$1:$O$1,0))</f>
        <v>6830</v>
      </c>
      <c r="B24" s="439" t="s">
        <v>45</v>
      </c>
      <c r="C24" s="896">
        <v>0</v>
      </c>
      <c r="D24" s="896">
        <v>0</v>
      </c>
      <c r="E24" s="896">
        <v>0</v>
      </c>
      <c r="F24" s="896">
        <v>0</v>
      </c>
      <c r="G24" s="896">
        <v>0</v>
      </c>
      <c r="H24" s="896">
        <v>0</v>
      </c>
      <c r="I24" s="896">
        <v>0</v>
      </c>
      <c r="J24" s="896">
        <v>0</v>
      </c>
      <c r="K24" s="896">
        <v>0</v>
      </c>
      <c r="L24" s="896">
        <v>0</v>
      </c>
      <c r="M24" s="896">
        <v>0</v>
      </c>
      <c r="N24" s="896">
        <v>0</v>
      </c>
      <c r="O24" s="897">
        <f t="shared" si="8"/>
        <v>0</v>
      </c>
      <c r="P24" s="887"/>
      <c r="Q24" s="888"/>
    </row>
    <row r="25" spans="1:17">
      <c r="A25" s="319">
        <f>INDEX(QS_Chart_Of_Accounts_Upload!$C:$O,MATCH(B25,QS_Chart_Of_Accounts_Upload!$E:$E,0),MATCH("ACCT_NO",QS_Chart_Of_Accounts_Upload!$C$1:$O$1,0))</f>
        <v>6840</v>
      </c>
      <c r="B25" s="439" t="s">
        <v>348</v>
      </c>
      <c r="C25" s="898">
        <f t="shared" ref="C25:N25" si="11">C15</f>
        <v>0</v>
      </c>
      <c r="D25" s="898">
        <f t="shared" ref="D25:G25" si="12">D15</f>
        <v>0</v>
      </c>
      <c r="E25" s="898">
        <f t="shared" si="12"/>
        <v>0</v>
      </c>
      <c r="F25" s="898">
        <f t="shared" si="12"/>
        <v>0</v>
      </c>
      <c r="G25" s="898">
        <f t="shared" si="12"/>
        <v>0</v>
      </c>
      <c r="H25" s="898">
        <f t="shared" si="11"/>
        <v>0</v>
      </c>
      <c r="I25" s="898">
        <f t="shared" si="11"/>
        <v>0</v>
      </c>
      <c r="J25" s="898">
        <f t="shared" si="11"/>
        <v>0</v>
      </c>
      <c r="K25" s="898">
        <f t="shared" si="11"/>
        <v>0</v>
      </c>
      <c r="L25" s="898">
        <f t="shared" si="11"/>
        <v>0</v>
      </c>
      <c r="M25" s="898">
        <f t="shared" si="11"/>
        <v>0</v>
      </c>
      <c r="N25" s="898">
        <f t="shared" si="11"/>
        <v>0</v>
      </c>
      <c r="O25" s="897">
        <f t="shared" si="8"/>
        <v>0</v>
      </c>
      <c r="P25" s="887"/>
      <c r="Q25" s="888"/>
    </row>
    <row r="26" spans="1:17">
      <c r="A26" s="319">
        <f>INDEX(QS_Chart_Of_Accounts_Upload!$C:$O,MATCH(B26,QS_Chart_Of_Accounts_Upload!$E:$E,0),MATCH("ACCT_NO",QS_Chart_Of_Accounts_Upload!$C$1:$O$1,0))</f>
        <v>6850</v>
      </c>
      <c r="B26" s="439" t="s">
        <v>349</v>
      </c>
      <c r="C26" s="898">
        <f t="shared" ref="C26:N26" si="13">C13</f>
        <v>0</v>
      </c>
      <c r="D26" s="898">
        <f t="shared" ref="D26:G26" si="14">D13</f>
        <v>0</v>
      </c>
      <c r="E26" s="898">
        <f t="shared" si="14"/>
        <v>0</v>
      </c>
      <c r="F26" s="898">
        <f t="shared" si="14"/>
        <v>0</v>
      </c>
      <c r="G26" s="898">
        <f t="shared" si="14"/>
        <v>0</v>
      </c>
      <c r="H26" s="898">
        <f t="shared" si="13"/>
        <v>0</v>
      </c>
      <c r="I26" s="898">
        <f t="shared" si="13"/>
        <v>0</v>
      </c>
      <c r="J26" s="898">
        <f t="shared" si="13"/>
        <v>0</v>
      </c>
      <c r="K26" s="898">
        <f t="shared" si="13"/>
        <v>0</v>
      </c>
      <c r="L26" s="898">
        <f t="shared" si="13"/>
        <v>0</v>
      </c>
      <c r="M26" s="898">
        <f t="shared" si="13"/>
        <v>0</v>
      </c>
      <c r="N26" s="898">
        <f t="shared" si="13"/>
        <v>0</v>
      </c>
      <c r="O26" s="897">
        <f t="shared" si="8"/>
        <v>0</v>
      </c>
      <c r="P26" s="887"/>
      <c r="Q26" s="888"/>
    </row>
    <row r="27" spans="1:17">
      <c r="A27" s="319">
        <f>INDEX(QS_Chart_Of_Accounts_Upload!$C:$O,MATCH(B27,QS_Chart_Of_Accounts_Upload!$E:$E,0),MATCH("ACCT_NO",QS_Chart_Of_Accounts_Upload!$C$1:$O$1,0))</f>
        <v>6851</v>
      </c>
      <c r="B27" s="439" t="s">
        <v>146</v>
      </c>
      <c r="C27" s="896">
        <v>0</v>
      </c>
      <c r="D27" s="896">
        <v>0</v>
      </c>
      <c r="E27" s="896">
        <v>0</v>
      </c>
      <c r="F27" s="896">
        <v>0</v>
      </c>
      <c r="G27" s="896">
        <v>0</v>
      </c>
      <c r="H27" s="896">
        <v>0</v>
      </c>
      <c r="I27" s="896">
        <v>0</v>
      </c>
      <c r="J27" s="896">
        <v>0</v>
      </c>
      <c r="K27" s="896">
        <v>0</v>
      </c>
      <c r="L27" s="896">
        <v>0</v>
      </c>
      <c r="M27" s="896">
        <v>0</v>
      </c>
      <c r="N27" s="896">
        <v>0</v>
      </c>
      <c r="O27" s="897">
        <f t="shared" si="8"/>
        <v>0</v>
      </c>
      <c r="P27" s="887"/>
      <c r="Q27" s="888"/>
    </row>
    <row r="28" spans="1:17">
      <c r="A28" s="319">
        <f>INDEX(QS_Chart_Of_Accounts_Upload!$C:$O,MATCH(B28,QS_Chart_Of_Accounts_Upload!$E:$E,0),MATCH("ACCT_NO",QS_Chart_Of_Accounts_Upload!$C$1:$O$1,0))</f>
        <v>6852</v>
      </c>
      <c r="B28" s="439" t="s">
        <v>147</v>
      </c>
      <c r="C28" s="896">
        <v>0</v>
      </c>
      <c r="D28" s="896">
        <v>0</v>
      </c>
      <c r="E28" s="896">
        <v>0</v>
      </c>
      <c r="F28" s="896">
        <v>0</v>
      </c>
      <c r="G28" s="896">
        <v>0</v>
      </c>
      <c r="H28" s="896">
        <v>0</v>
      </c>
      <c r="I28" s="896">
        <v>0</v>
      </c>
      <c r="J28" s="896">
        <v>0</v>
      </c>
      <c r="K28" s="896">
        <v>0</v>
      </c>
      <c r="L28" s="896">
        <v>0</v>
      </c>
      <c r="M28" s="896">
        <v>0</v>
      </c>
      <c r="N28" s="896">
        <v>0</v>
      </c>
      <c r="O28" s="897">
        <f t="shared" si="8"/>
        <v>0</v>
      </c>
      <c r="P28" s="887"/>
      <c r="Q28" s="888"/>
    </row>
    <row r="29" spans="1:17">
      <c r="A29" s="319">
        <f>INDEX(QS_Chart_Of_Accounts_Upload!$C:$O,MATCH(B29,QS_Chart_Of_Accounts_Upload!$E:$E,0),MATCH("ACCT_NO",QS_Chart_Of_Accounts_Upload!$C$1:$O$1,0))</f>
        <v>6853</v>
      </c>
      <c r="B29" s="439" t="s">
        <v>148</v>
      </c>
      <c r="C29" s="896">
        <v>0</v>
      </c>
      <c r="D29" s="896">
        <v>0</v>
      </c>
      <c r="E29" s="896">
        <v>0</v>
      </c>
      <c r="F29" s="896">
        <v>0</v>
      </c>
      <c r="G29" s="896">
        <v>0</v>
      </c>
      <c r="H29" s="896">
        <v>0</v>
      </c>
      <c r="I29" s="896">
        <v>0</v>
      </c>
      <c r="J29" s="896">
        <v>0</v>
      </c>
      <c r="K29" s="896">
        <v>0</v>
      </c>
      <c r="L29" s="896">
        <v>0</v>
      </c>
      <c r="M29" s="896">
        <v>0</v>
      </c>
      <c r="N29" s="896">
        <v>0</v>
      </c>
      <c r="O29" s="897">
        <f t="shared" si="8"/>
        <v>0</v>
      </c>
      <c r="P29" s="887"/>
      <c r="Q29" s="888"/>
    </row>
    <row r="30" spans="1:17">
      <c r="A30" s="319">
        <f>INDEX(QS_Chart_Of_Accounts_Upload!$C:$O,MATCH(B30,QS_Chart_Of_Accounts_Upload!$E:$E,0),MATCH("ACCT_NO",QS_Chart_Of_Accounts_Upload!$C$1:$O$1,0))</f>
        <v>6860</v>
      </c>
      <c r="B30" s="439" t="s">
        <v>350</v>
      </c>
      <c r="C30" s="896">
        <v>0</v>
      </c>
      <c r="D30" s="896">
        <v>0</v>
      </c>
      <c r="E30" s="896">
        <v>0</v>
      </c>
      <c r="F30" s="896">
        <v>0</v>
      </c>
      <c r="G30" s="896">
        <v>0</v>
      </c>
      <c r="H30" s="896">
        <v>0</v>
      </c>
      <c r="I30" s="896">
        <v>0</v>
      </c>
      <c r="J30" s="896">
        <v>0</v>
      </c>
      <c r="K30" s="896">
        <v>0</v>
      </c>
      <c r="L30" s="896">
        <v>0</v>
      </c>
      <c r="M30" s="896">
        <v>0</v>
      </c>
      <c r="N30" s="896">
        <v>0</v>
      </c>
      <c r="O30" s="897">
        <f t="shared" si="8"/>
        <v>0</v>
      </c>
      <c r="P30" s="887"/>
      <c r="Q30" s="888"/>
    </row>
    <row r="31" spans="1:17">
      <c r="A31" s="319">
        <f>INDEX(QS_Chart_Of_Accounts_Upload!$C:$O,MATCH(B31,QS_Chart_Of_Accounts_Upload!$E:$E,0),MATCH("ACCT_NO",QS_Chart_Of_Accounts_Upload!$C$1:$O$1,0))</f>
        <v>6870</v>
      </c>
      <c r="B31" s="439" t="s">
        <v>150</v>
      </c>
      <c r="C31" s="896">
        <v>0</v>
      </c>
      <c r="D31" s="896">
        <v>0</v>
      </c>
      <c r="E31" s="896">
        <v>0</v>
      </c>
      <c r="F31" s="896">
        <v>0</v>
      </c>
      <c r="G31" s="896">
        <v>0</v>
      </c>
      <c r="H31" s="896">
        <v>0</v>
      </c>
      <c r="I31" s="896">
        <v>0</v>
      </c>
      <c r="J31" s="896">
        <v>0</v>
      </c>
      <c r="K31" s="896">
        <v>0</v>
      </c>
      <c r="L31" s="896">
        <v>0</v>
      </c>
      <c r="M31" s="896">
        <v>0</v>
      </c>
      <c r="N31" s="896">
        <v>0</v>
      </c>
      <c r="O31" s="897">
        <f t="shared" si="8"/>
        <v>0</v>
      </c>
      <c r="P31" s="887"/>
      <c r="Q31" s="888"/>
    </row>
    <row r="32" spans="1:17">
      <c r="A32" s="319">
        <f>INDEX(QS_Chart_Of_Accounts_Upload!$C:$O,MATCH(B32,QS_Chart_Of_Accounts_Upload!$E:$E,0),MATCH("ACCT_NO",QS_Chart_Of_Accounts_Upload!$C$1:$O$1,0))</f>
        <v>6880</v>
      </c>
      <c r="B32" s="439" t="s">
        <v>351</v>
      </c>
      <c r="C32" s="896">
        <v>0</v>
      </c>
      <c r="D32" s="896">
        <v>0</v>
      </c>
      <c r="E32" s="896">
        <v>0</v>
      </c>
      <c r="F32" s="896">
        <v>0</v>
      </c>
      <c r="G32" s="896">
        <v>0</v>
      </c>
      <c r="H32" s="896">
        <v>0</v>
      </c>
      <c r="I32" s="896">
        <v>0</v>
      </c>
      <c r="J32" s="896">
        <v>0</v>
      </c>
      <c r="K32" s="896">
        <v>0</v>
      </c>
      <c r="L32" s="896">
        <v>0</v>
      </c>
      <c r="M32" s="896">
        <v>0</v>
      </c>
      <c r="N32" s="896">
        <v>0</v>
      </c>
      <c r="O32" s="897">
        <f t="shared" si="8"/>
        <v>0</v>
      </c>
      <c r="P32" s="887"/>
      <c r="Q32" s="888"/>
    </row>
    <row r="33" spans="1:17">
      <c r="A33" s="319">
        <f>INDEX(QS_Chart_Of_Accounts_Upload!$C:$O,MATCH(B33,QS_Chart_Of_Accounts_Upload!$E:$E,0),MATCH("ACCT_NO",QS_Chart_Of_Accounts_Upload!$C$1:$O$1,0))</f>
        <v>6900</v>
      </c>
      <c r="B33" s="439" t="s">
        <v>352</v>
      </c>
      <c r="C33" s="896">
        <v>0</v>
      </c>
      <c r="D33" s="896">
        <v>0</v>
      </c>
      <c r="E33" s="896">
        <v>0</v>
      </c>
      <c r="F33" s="896">
        <v>0</v>
      </c>
      <c r="G33" s="896">
        <v>0</v>
      </c>
      <c r="H33" s="896">
        <v>0</v>
      </c>
      <c r="I33" s="896">
        <v>0</v>
      </c>
      <c r="J33" s="896">
        <v>0</v>
      </c>
      <c r="K33" s="896">
        <v>0</v>
      </c>
      <c r="L33" s="896">
        <v>0</v>
      </c>
      <c r="M33" s="896">
        <v>0</v>
      </c>
      <c r="N33" s="896">
        <v>0</v>
      </c>
      <c r="O33" s="897">
        <f t="shared" si="8"/>
        <v>0</v>
      </c>
      <c r="P33" s="887"/>
      <c r="Q33" s="888"/>
    </row>
    <row r="34" spans="1:17" ht="14" thickBot="1">
      <c r="A34" s="525"/>
      <c r="B34" s="899"/>
      <c r="C34" s="525"/>
      <c r="D34" s="525"/>
      <c r="E34" s="525"/>
      <c r="F34" s="525"/>
      <c r="G34" s="525"/>
      <c r="H34" s="525"/>
      <c r="I34" s="525"/>
      <c r="J34" s="525"/>
      <c r="K34" s="525"/>
      <c r="L34" s="525"/>
      <c r="M34" s="525"/>
      <c r="N34" s="525"/>
      <c r="O34" s="900"/>
      <c r="Q34" s="901"/>
    </row>
    <row r="35" spans="1:17" ht="14" thickBot="1">
      <c r="A35" s="525"/>
      <c r="B35" s="902" t="s">
        <v>157</v>
      </c>
      <c r="C35" s="903">
        <f t="shared" ref="C35:N35" si="15">SUM(C21:C33)</f>
        <v>0</v>
      </c>
      <c r="D35" s="903">
        <f t="shared" ref="D35:G35" si="16">SUM(D21:D33)</f>
        <v>0</v>
      </c>
      <c r="E35" s="903">
        <f t="shared" si="16"/>
        <v>0</v>
      </c>
      <c r="F35" s="903">
        <f t="shared" si="16"/>
        <v>0</v>
      </c>
      <c r="G35" s="903">
        <f t="shared" si="16"/>
        <v>0</v>
      </c>
      <c r="H35" s="903">
        <f t="shared" si="15"/>
        <v>0</v>
      </c>
      <c r="I35" s="903">
        <f t="shared" si="15"/>
        <v>0</v>
      </c>
      <c r="J35" s="903">
        <f t="shared" si="15"/>
        <v>0</v>
      </c>
      <c r="K35" s="903">
        <f t="shared" si="15"/>
        <v>0</v>
      </c>
      <c r="L35" s="903">
        <f t="shared" si="15"/>
        <v>0</v>
      </c>
      <c r="M35" s="903">
        <f t="shared" si="15"/>
        <v>0</v>
      </c>
      <c r="N35" s="903">
        <f t="shared" si="15"/>
        <v>0</v>
      </c>
      <c r="O35" s="904">
        <f>+SUBTOTAL(9,C35:N35)</f>
        <v>0</v>
      </c>
      <c r="Q35" s="901"/>
    </row>
    <row r="36" spans="1:17">
      <c r="A36" s="525"/>
      <c r="B36" s="902" t="s">
        <v>145</v>
      </c>
      <c r="C36" s="905" t="str">
        <f t="shared" ref="C36:N36" si="17">IFERROR(SUM(C35/C10),"")</f>
        <v/>
      </c>
      <c r="D36" s="905" t="str">
        <f t="shared" ref="D36:G36" si="18">IFERROR(SUM(D35/D10),"")</f>
        <v/>
      </c>
      <c r="E36" s="905" t="str">
        <f t="shared" si="18"/>
        <v/>
      </c>
      <c r="F36" s="905" t="str">
        <f t="shared" si="18"/>
        <v/>
      </c>
      <c r="G36" s="905" t="str">
        <f t="shared" si="18"/>
        <v/>
      </c>
      <c r="H36" s="905" t="str">
        <f t="shared" si="17"/>
        <v/>
      </c>
      <c r="I36" s="905" t="str">
        <f t="shared" si="17"/>
        <v/>
      </c>
      <c r="J36" s="905" t="str">
        <f t="shared" si="17"/>
        <v/>
      </c>
      <c r="K36" s="905" t="str">
        <f t="shared" si="17"/>
        <v/>
      </c>
      <c r="L36" s="905" t="str">
        <f t="shared" si="17"/>
        <v/>
      </c>
      <c r="M36" s="905" t="str">
        <f t="shared" si="17"/>
        <v/>
      </c>
      <c r="N36" s="905" t="str">
        <f t="shared" si="17"/>
        <v/>
      </c>
      <c r="O36" s="906"/>
      <c r="Q36" s="901"/>
    </row>
    <row r="37" spans="1:17">
      <c r="B37" s="902" t="s">
        <v>210</v>
      </c>
      <c r="C37" s="905" t="str">
        <f t="shared" ref="C37:N37" si="19">IFERROR((C13+C15+C17)/C10,"")</f>
        <v/>
      </c>
      <c r="D37" s="905" t="str">
        <f t="shared" si="19"/>
        <v/>
      </c>
      <c r="E37" s="905"/>
      <c r="F37" s="905"/>
      <c r="G37" s="905"/>
      <c r="H37" s="905" t="str">
        <f t="shared" si="19"/>
        <v/>
      </c>
      <c r="I37" s="905" t="str">
        <f t="shared" si="19"/>
        <v/>
      </c>
      <c r="J37" s="905" t="str">
        <f t="shared" si="19"/>
        <v/>
      </c>
      <c r="K37" s="905" t="str">
        <f t="shared" si="19"/>
        <v/>
      </c>
      <c r="L37" s="905" t="str">
        <f t="shared" si="19"/>
        <v/>
      </c>
      <c r="M37" s="905" t="str">
        <f t="shared" si="19"/>
        <v/>
      </c>
      <c r="N37" s="905" t="str">
        <f t="shared" si="19"/>
        <v/>
      </c>
      <c r="O37" s="906"/>
      <c r="Q37" s="278"/>
    </row>
  </sheetData>
  <customSheetViews>
    <customSheetView guid="{9DEAD063-F928-419C-837E-C1066ED7860B}" showPageBreaks="1">
      <selection activeCell="D36" sqref="D36"/>
      <pageMargins left="0.2" right="0.2" top="1" bottom="0.75" header="0.3" footer="0.3"/>
      <printOptions horizontalCentered="1"/>
      <pageSetup scale="60" orientation="landscape" r:id="rId1"/>
      <headerFooter>
        <oddHeader>&amp;L&amp;G&amp;C2017 BUDGET&amp;R&amp;D</oddHeader>
      </headerFooter>
    </customSheetView>
    <customSheetView guid="{CD41F76E-02CC-455C-B8BC-2EB46CDD6483}">
      <selection activeCell="B27" sqref="B27"/>
      <pageMargins left="0.2" right="0.2" top="1" bottom="0.75" header="0.3" footer="0.3"/>
      <printOptions horizontalCentered="1"/>
      <pageSetup scale="60" orientation="landscape" r:id="rId2"/>
      <headerFooter>
        <oddHeader>&amp;L&amp;G&amp;C2017 BUDGET&amp;R&amp;D</oddHeader>
      </headerFooter>
    </customSheetView>
    <customSheetView guid="{D073F711-6285-4942-AB77-7D856F2758D2}">
      <selection activeCell="D6" sqref="D6"/>
      <pageMargins left="0.2" right="0.2" top="1" bottom="0.75" header="0.3" footer="0.3"/>
      <printOptions horizontalCentered="1"/>
      <pageSetup scale="60" orientation="landscape" r:id="rId3"/>
      <headerFooter>
        <oddHeader>&amp;L&amp;G&amp;C2017 BUDGET&amp;R&amp;D</oddHeader>
      </headerFooter>
    </customSheetView>
    <customSheetView guid="{37F60134-1665-4224-BDB0-AA938013E6F7}">
      <selection activeCell="D6" sqref="D6"/>
      <pageMargins left="0.2" right="0.2" top="1" bottom="0.75" header="0.3" footer="0.3"/>
      <printOptions horizontalCentered="1"/>
      <pageSetup scale="60" orientation="landscape" r:id="rId4"/>
      <headerFooter>
        <oddHeader>&amp;L&amp;G&amp;C2017 BUDGET&amp;R&amp;D</oddHeader>
      </headerFooter>
    </customSheetView>
    <customSheetView guid="{DE2360E6-2B91-4F5C-9697-CB1D2265B97A}" topLeftCell="A13">
      <selection activeCell="D5" sqref="D5"/>
      <pageMargins left="0.2" right="0.2" top="1" bottom="0.75" header="0.3" footer="0.3"/>
      <printOptions horizontalCentered="1"/>
      <pageSetup scale="60" orientation="landscape" r:id="rId5"/>
      <headerFooter>
        <oddHeader>&amp;L&amp;G&amp;C2017 BUDGET&amp;R&amp;D</oddHeader>
      </headerFooter>
    </customSheetView>
    <customSheetView guid="{20D88610-093B-4F6F-9D08-6EE3E18F1365}">
      <selection activeCell="F10" sqref="F10"/>
      <pageMargins left="0.2" right="0.2" top="1" bottom="0.75" header="0.3" footer="0.3"/>
      <printOptions horizontalCentered="1"/>
      <pageSetup scale="60" orientation="landscape" r:id="rId6"/>
      <headerFooter>
        <oddHeader>&amp;L&amp;G&amp;C2017 BUDGET&amp;R&amp;D</oddHeader>
      </headerFooter>
    </customSheetView>
    <customSheetView guid="{238B6A19-3218-4587-9C80-5E68600CCC2E}" showPageBreaks="1">
      <selection activeCell="D36" sqref="D36"/>
      <pageMargins left="0.2" right="0.2" top="1" bottom="0.75" header="0.3" footer="0.3"/>
      <printOptions horizontalCentered="1"/>
      <pageSetup scale="60" orientation="landscape" r:id="rId7"/>
      <headerFooter>
        <oddHeader>&amp;L&amp;G&amp;C2017 BUDGET&amp;R&amp;D</oddHeader>
      </headerFooter>
    </customSheetView>
    <customSheetView guid="{BBC4A248-3FF0-4C22-89A9-106C1C902C44}">
      <selection activeCell="B31" sqref="B31"/>
      <pageMargins left="0.2" right="0.2" top="1" bottom="0.75" header="0.3" footer="0.3"/>
      <printOptions horizontalCentered="1"/>
      <pageSetup scale="60" orientation="landscape" r:id="rId8"/>
      <headerFooter>
        <oddHeader>&amp;L&amp;G&amp;C2017 BUDGET&amp;R&amp;D</oddHeader>
      </headerFooter>
    </customSheetView>
    <customSheetView guid="{97516F51-8B9A-4ED3-BCEB-36791F0F2C00}">
      <selection activeCell="L30" sqref="L30"/>
      <pageMargins left="0.2" right="0.2" top="1" bottom="0.75" header="0.3" footer="0.3"/>
      <printOptions horizontalCentered="1"/>
      <pageSetup scale="60" orientation="landscape" r:id="rId9"/>
      <headerFooter>
        <oddHeader>&amp;L&amp;G&amp;C2017 BUDGET&amp;R&amp;D</oddHeader>
      </headerFooter>
    </customSheetView>
  </customSheetViews>
  <printOptions horizontalCentered="1"/>
  <pageMargins left="0.2" right="0.2" top="1" bottom="0.75" header="0.3" footer="0.3"/>
  <pageSetup scale="60" orientation="landscape" r:id="rId10"/>
  <headerFooter>
    <oddHeader>&amp;L&amp;G&amp;C BUDGET&amp;R&amp;D</oddHeader>
  </headerFooter>
  <legacyDrawingHF r:id="rId1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0C76C-B1A2-4333-8227-956DBB9D83CF}">
  <sheetPr codeName="Sheet19"/>
  <dimension ref="A1:T729"/>
  <sheetViews>
    <sheetView topLeftCell="C1" zoomScaleNormal="100" workbookViewId="0">
      <selection activeCell="E11" sqref="E11"/>
    </sheetView>
  </sheetViews>
  <sheetFormatPr baseColWidth="10" defaultColWidth="19.33203125" defaultRowHeight="14" outlineLevelRow="1"/>
  <cols>
    <col min="1" max="2" width="13.1640625" style="96" hidden="1" customWidth="1"/>
    <col min="3" max="3" width="16.5" style="934" bestFit="1" customWidth="1"/>
    <col min="4" max="4" width="19.33203125" style="96" bestFit="1" customWidth="1"/>
    <col min="5" max="5" width="42.6640625" style="96" bestFit="1" customWidth="1"/>
    <col min="6" max="6" width="19.33203125" style="96" customWidth="1"/>
    <col min="7" max="7" width="23.6640625" style="96" customWidth="1"/>
    <col min="8" max="8" width="23.33203125" style="96" customWidth="1"/>
    <col min="9" max="9" width="24.1640625" style="96" customWidth="1"/>
    <col min="10" max="11" width="23.6640625" style="96" customWidth="1"/>
    <col min="12" max="12" width="30.33203125" style="96" customWidth="1"/>
    <col min="13" max="13" width="17.5" style="96" customWidth="1"/>
    <col min="14" max="14" width="19" style="96" customWidth="1"/>
    <col min="15" max="15" width="18.6640625" style="96" customWidth="1"/>
    <col min="16" max="16" width="66.1640625" style="928" customWidth="1"/>
    <col min="17" max="17" width="19" style="96" customWidth="1"/>
    <col min="18" max="19" width="19.33203125" style="96"/>
    <col min="20" max="20" width="19.33203125" style="933"/>
    <col min="21" max="16384" width="19.33203125" style="96"/>
  </cols>
  <sheetData>
    <row r="1" spans="1:20" s="928" customFormat="1">
      <c r="A1" s="928" t="s">
        <v>1051</v>
      </c>
      <c r="C1" s="929"/>
      <c r="D1" s="928" t="s">
        <v>226</v>
      </c>
      <c r="E1" s="928" t="s">
        <v>227</v>
      </c>
      <c r="F1" s="928" t="s">
        <v>1052</v>
      </c>
      <c r="G1" s="928" t="s">
        <v>1053</v>
      </c>
      <c r="H1" s="928" t="s">
        <v>1054</v>
      </c>
      <c r="I1" s="928" t="s">
        <v>1055</v>
      </c>
      <c r="J1" s="928" t="s">
        <v>1056</v>
      </c>
      <c r="K1" s="928" t="s">
        <v>1057</v>
      </c>
      <c r="L1" s="928" t="s">
        <v>228</v>
      </c>
      <c r="M1" s="928" t="s">
        <v>1058</v>
      </c>
      <c r="N1" s="928" t="s">
        <v>1059</v>
      </c>
      <c r="O1" s="928" t="s">
        <v>1060</v>
      </c>
      <c r="T1" s="930"/>
    </row>
    <row r="2" spans="1:20" ht="56.25" customHeight="1">
      <c r="A2" s="931" t="s">
        <v>1061</v>
      </c>
      <c r="B2" s="931"/>
      <c r="C2" s="932"/>
      <c r="D2" s="931" t="s">
        <v>229</v>
      </c>
      <c r="E2" s="931" t="s">
        <v>230</v>
      </c>
      <c r="F2" s="931" t="s">
        <v>1062</v>
      </c>
      <c r="G2" s="931" t="s">
        <v>1063</v>
      </c>
      <c r="H2" s="931" t="s">
        <v>1064</v>
      </c>
      <c r="I2" s="931" t="s">
        <v>1065</v>
      </c>
      <c r="J2" s="931" t="s">
        <v>1066</v>
      </c>
      <c r="K2" s="931" t="s">
        <v>1067</v>
      </c>
      <c r="L2" s="931" t="s">
        <v>231</v>
      </c>
      <c r="M2" s="931" t="s">
        <v>1068</v>
      </c>
      <c r="N2" s="931" t="s">
        <v>1069</v>
      </c>
      <c r="O2" s="931" t="s">
        <v>1070</v>
      </c>
    </row>
    <row r="3" spans="1:20">
      <c r="D3" s="72">
        <v>1010</v>
      </c>
      <c r="E3" s="73" t="s">
        <v>519</v>
      </c>
      <c r="F3" s="935" t="s">
        <v>1071</v>
      </c>
      <c r="G3" s="935" t="s">
        <v>1072</v>
      </c>
      <c r="H3" s="935" t="s">
        <v>1071</v>
      </c>
      <c r="I3" s="936"/>
      <c r="L3" s="96" t="s">
        <v>520</v>
      </c>
      <c r="M3" s="934" t="s">
        <v>1073</v>
      </c>
      <c r="N3" s="937"/>
      <c r="P3" s="938"/>
      <c r="Q3" s="72"/>
      <c r="R3" s="73"/>
    </row>
    <row r="4" spans="1:20">
      <c r="D4" s="72">
        <v>1011</v>
      </c>
      <c r="E4" s="73" t="s">
        <v>521</v>
      </c>
      <c r="F4" s="935" t="s">
        <v>1071</v>
      </c>
      <c r="G4" s="935" t="s">
        <v>1072</v>
      </c>
      <c r="H4" s="935" t="s">
        <v>1071</v>
      </c>
      <c r="I4" s="936"/>
      <c r="L4" s="96" t="s">
        <v>520</v>
      </c>
      <c r="M4" s="934" t="s">
        <v>1073</v>
      </c>
      <c r="N4" s="937"/>
      <c r="P4" s="938"/>
      <c r="Q4" s="72"/>
      <c r="R4" s="73"/>
    </row>
    <row r="5" spans="1:20">
      <c r="D5" s="72">
        <v>1011.001</v>
      </c>
      <c r="E5" s="73" t="s">
        <v>522</v>
      </c>
      <c r="F5" s="935"/>
      <c r="G5" s="935"/>
      <c r="H5" s="935"/>
      <c r="I5" s="936"/>
      <c r="L5" s="96" t="s">
        <v>520</v>
      </c>
      <c r="M5" s="934"/>
      <c r="N5" s="937"/>
      <c r="P5" s="938"/>
      <c r="Q5" s="72"/>
      <c r="R5" s="73"/>
    </row>
    <row r="6" spans="1:20">
      <c r="D6" s="72">
        <v>1012</v>
      </c>
      <c r="E6" s="73" t="s">
        <v>523</v>
      </c>
      <c r="F6" s="935" t="s">
        <v>1071</v>
      </c>
      <c r="G6" s="935" t="s">
        <v>1072</v>
      </c>
      <c r="H6" s="935" t="s">
        <v>1071</v>
      </c>
      <c r="I6" s="936"/>
      <c r="L6" s="96" t="s">
        <v>520</v>
      </c>
      <c r="M6" s="934" t="s">
        <v>1073</v>
      </c>
      <c r="N6" s="937"/>
      <c r="P6" s="938"/>
      <c r="Q6" s="72"/>
      <c r="R6" s="73"/>
    </row>
    <row r="7" spans="1:20">
      <c r="D7" s="72">
        <v>1012.001</v>
      </c>
      <c r="E7" s="73" t="s">
        <v>524</v>
      </c>
      <c r="F7" s="935"/>
      <c r="G7" s="935"/>
      <c r="H7" s="935"/>
      <c r="I7" s="936"/>
      <c r="L7" s="96" t="s">
        <v>520</v>
      </c>
      <c r="M7" s="934"/>
      <c r="N7" s="937"/>
      <c r="P7" s="938"/>
      <c r="Q7" s="72"/>
      <c r="R7" s="73"/>
    </row>
    <row r="8" spans="1:20">
      <c r="D8" s="72">
        <v>1013</v>
      </c>
      <c r="E8" s="73" t="s">
        <v>525</v>
      </c>
      <c r="F8" s="935" t="s">
        <v>1071</v>
      </c>
      <c r="G8" s="935" t="s">
        <v>1072</v>
      </c>
      <c r="H8" s="935" t="s">
        <v>1071</v>
      </c>
      <c r="I8" s="936"/>
      <c r="L8" s="96" t="s">
        <v>520</v>
      </c>
      <c r="M8" s="934" t="s">
        <v>1073</v>
      </c>
      <c r="N8" s="937"/>
      <c r="P8" s="938"/>
      <c r="Q8" s="72"/>
      <c r="R8" s="73"/>
    </row>
    <row r="9" spans="1:20">
      <c r="D9" s="72">
        <v>1014</v>
      </c>
      <c r="E9" s="73" t="s">
        <v>526</v>
      </c>
      <c r="F9" s="935"/>
      <c r="G9" s="935"/>
      <c r="H9" s="935"/>
      <c r="I9" s="936"/>
      <c r="L9" s="96" t="s">
        <v>520</v>
      </c>
      <c r="M9" s="934"/>
      <c r="N9" s="937"/>
      <c r="P9" s="938"/>
      <c r="Q9" s="72"/>
      <c r="R9" s="73"/>
    </row>
    <row r="10" spans="1:20">
      <c r="D10" s="72">
        <v>1014.001</v>
      </c>
      <c r="E10" s="73" t="s">
        <v>527</v>
      </c>
      <c r="F10" s="935"/>
      <c r="G10" s="935"/>
      <c r="H10" s="935"/>
      <c r="I10" s="936"/>
      <c r="L10" s="96" t="s">
        <v>520</v>
      </c>
      <c r="M10" s="934"/>
      <c r="N10" s="937"/>
      <c r="P10" s="938"/>
      <c r="Q10" s="72"/>
      <c r="R10" s="73"/>
    </row>
    <row r="11" spans="1:20">
      <c r="D11" s="72">
        <v>1015</v>
      </c>
      <c r="E11" s="73" t="s">
        <v>528</v>
      </c>
      <c r="F11" s="935"/>
      <c r="G11" s="935"/>
      <c r="H11" s="935"/>
      <c r="I11" s="936"/>
      <c r="L11" s="96" t="s">
        <v>520</v>
      </c>
      <c r="M11" s="934"/>
      <c r="N11" s="937"/>
      <c r="P11" s="938"/>
      <c r="Q11" s="72"/>
      <c r="R11" s="73"/>
    </row>
    <row r="12" spans="1:20">
      <c r="D12" s="72">
        <v>1016</v>
      </c>
      <c r="E12" s="73" t="s">
        <v>529</v>
      </c>
      <c r="F12" s="935"/>
      <c r="G12" s="935"/>
      <c r="H12" s="935"/>
      <c r="I12" s="936"/>
      <c r="L12" s="96" t="s">
        <v>520</v>
      </c>
      <c r="M12" s="934"/>
      <c r="N12" s="937"/>
      <c r="P12" s="938"/>
      <c r="Q12" s="72"/>
      <c r="R12" s="73"/>
    </row>
    <row r="13" spans="1:20">
      <c r="D13" s="72">
        <v>1020</v>
      </c>
      <c r="E13" s="73" t="s">
        <v>530</v>
      </c>
      <c r="F13" s="935" t="s">
        <v>1071</v>
      </c>
      <c r="G13" s="935" t="s">
        <v>1072</v>
      </c>
      <c r="H13" s="935" t="s">
        <v>1071</v>
      </c>
      <c r="I13" s="936"/>
      <c r="L13" s="96" t="s">
        <v>520</v>
      </c>
      <c r="M13" s="934" t="s">
        <v>1073</v>
      </c>
      <c r="N13" s="937"/>
      <c r="P13" s="938"/>
      <c r="Q13" s="72"/>
      <c r="R13" s="73"/>
    </row>
    <row r="14" spans="1:20">
      <c r="D14" s="72">
        <v>1023</v>
      </c>
      <c r="E14" s="73" t="s">
        <v>531</v>
      </c>
      <c r="F14" s="935"/>
      <c r="G14" s="935"/>
      <c r="H14" s="935"/>
      <c r="I14" s="936"/>
      <c r="L14" s="96" t="s">
        <v>520</v>
      </c>
      <c r="M14" s="934"/>
      <c r="N14" s="937"/>
      <c r="P14" s="938"/>
      <c r="Q14" s="72"/>
      <c r="R14" s="73"/>
    </row>
    <row r="15" spans="1:20">
      <c r="D15" s="72">
        <v>1024</v>
      </c>
      <c r="E15" s="73" t="s">
        <v>532</v>
      </c>
      <c r="F15" s="935"/>
      <c r="G15" s="935"/>
      <c r="H15" s="935"/>
      <c r="I15" s="936"/>
      <c r="L15" s="96" t="s">
        <v>520</v>
      </c>
      <c r="M15" s="934"/>
      <c r="N15" s="937"/>
      <c r="P15" s="938"/>
      <c r="Q15" s="72"/>
      <c r="R15" s="73"/>
    </row>
    <row r="16" spans="1:20">
      <c r="D16" s="72">
        <v>1025</v>
      </c>
      <c r="E16" s="73" t="s">
        <v>533</v>
      </c>
      <c r="F16" s="935" t="s">
        <v>1071</v>
      </c>
      <c r="G16" s="935" t="s">
        <v>1072</v>
      </c>
      <c r="H16" s="935" t="s">
        <v>1071</v>
      </c>
      <c r="I16" s="936"/>
      <c r="L16" s="96" t="s">
        <v>520</v>
      </c>
      <c r="M16" s="934" t="s">
        <v>1073</v>
      </c>
      <c r="N16" s="937"/>
      <c r="P16" s="938"/>
      <c r="Q16" s="72"/>
      <c r="R16" s="73"/>
    </row>
    <row r="17" spans="3:18">
      <c r="D17" s="72">
        <v>1025.0999999999999</v>
      </c>
      <c r="E17" s="73" t="s">
        <v>534</v>
      </c>
      <c r="F17" s="935"/>
      <c r="G17" s="935"/>
      <c r="H17" s="935"/>
      <c r="I17" s="936"/>
      <c r="L17" s="96" t="s">
        <v>520</v>
      </c>
      <c r="M17" s="934"/>
      <c r="N17" s="937"/>
      <c r="P17" s="938"/>
      <c r="Q17" s="72"/>
      <c r="R17" s="73"/>
    </row>
    <row r="18" spans="3:18">
      <c r="D18" s="72">
        <v>1026</v>
      </c>
      <c r="E18" s="73" t="s">
        <v>535</v>
      </c>
      <c r="F18" s="935"/>
      <c r="G18" s="935"/>
      <c r="H18" s="935"/>
      <c r="I18" s="936"/>
      <c r="L18" s="96" t="s">
        <v>520</v>
      </c>
      <c r="M18" s="934"/>
      <c r="N18" s="937"/>
      <c r="P18" s="938"/>
      <c r="Q18" s="72"/>
      <c r="R18" s="73"/>
    </row>
    <row r="19" spans="3:18">
      <c r="C19" s="939" t="s">
        <v>1074</v>
      </c>
      <c r="D19" s="72">
        <v>1027</v>
      </c>
      <c r="E19" s="73" t="s">
        <v>1075</v>
      </c>
      <c r="F19" s="935"/>
      <c r="G19" s="935"/>
      <c r="H19" s="935"/>
      <c r="I19" s="936"/>
      <c r="L19" s="96" t="s">
        <v>520</v>
      </c>
      <c r="M19" s="934"/>
      <c r="N19" s="937"/>
      <c r="P19" s="938"/>
      <c r="Q19" s="72"/>
      <c r="R19" s="73"/>
    </row>
    <row r="20" spans="3:18">
      <c r="C20" s="939" t="s">
        <v>1074</v>
      </c>
      <c r="D20" s="72">
        <v>1028</v>
      </c>
      <c r="E20" s="73" t="s">
        <v>1076</v>
      </c>
      <c r="F20" s="935"/>
      <c r="G20" s="935"/>
      <c r="H20" s="935"/>
      <c r="I20" s="936"/>
      <c r="L20" s="96" t="s">
        <v>520</v>
      </c>
      <c r="M20" s="934"/>
      <c r="N20" s="937"/>
      <c r="P20" s="938"/>
      <c r="Q20" s="72"/>
      <c r="R20" s="73"/>
    </row>
    <row r="21" spans="3:18">
      <c r="D21" s="72">
        <v>1030</v>
      </c>
      <c r="E21" s="73" t="s">
        <v>536</v>
      </c>
      <c r="F21" s="935" t="s">
        <v>1071</v>
      </c>
      <c r="G21" s="935" t="s">
        <v>1072</v>
      </c>
      <c r="H21" s="935" t="s">
        <v>1071</v>
      </c>
      <c r="I21" s="936"/>
      <c r="L21" s="96" t="s">
        <v>520</v>
      </c>
      <c r="M21" s="934" t="s">
        <v>1073</v>
      </c>
      <c r="N21" s="937"/>
      <c r="P21" s="938"/>
      <c r="Q21" s="72"/>
      <c r="R21" s="73"/>
    </row>
    <row r="22" spans="3:18">
      <c r="D22" s="72">
        <v>1040</v>
      </c>
      <c r="E22" s="73" t="s">
        <v>537</v>
      </c>
      <c r="F22" s="935" t="s">
        <v>1071</v>
      </c>
      <c r="G22" s="935" t="s">
        <v>1072</v>
      </c>
      <c r="H22" s="935" t="s">
        <v>1071</v>
      </c>
      <c r="I22" s="936"/>
      <c r="L22" s="96" t="s">
        <v>520</v>
      </c>
      <c r="M22" s="934" t="s">
        <v>1073</v>
      </c>
      <c r="N22" s="937"/>
      <c r="P22" s="938"/>
      <c r="Q22" s="72"/>
      <c r="R22" s="73"/>
    </row>
    <row r="23" spans="3:18">
      <c r="D23" s="72">
        <v>1050</v>
      </c>
      <c r="E23" s="73" t="s">
        <v>538</v>
      </c>
      <c r="F23" s="935" t="s">
        <v>1071</v>
      </c>
      <c r="G23" s="935" t="s">
        <v>1072</v>
      </c>
      <c r="H23" s="935" t="s">
        <v>1071</v>
      </c>
      <c r="I23" s="936"/>
      <c r="L23" s="96" t="s">
        <v>520</v>
      </c>
      <c r="M23" s="934" t="s">
        <v>1073</v>
      </c>
      <c r="N23" s="937"/>
      <c r="P23" s="938"/>
      <c r="Q23" s="72"/>
      <c r="R23" s="73"/>
    </row>
    <row r="24" spans="3:18">
      <c r="D24" s="72">
        <v>1060</v>
      </c>
      <c r="E24" s="73" t="s">
        <v>539</v>
      </c>
      <c r="F24" s="935"/>
      <c r="G24" s="935"/>
      <c r="H24" s="935"/>
      <c r="I24" s="936"/>
      <c r="L24" s="96" t="s">
        <v>520</v>
      </c>
      <c r="M24" s="934"/>
      <c r="N24" s="937"/>
      <c r="P24" s="938"/>
      <c r="Q24" s="72"/>
      <c r="R24" s="73"/>
    </row>
    <row r="25" spans="3:18">
      <c r="D25" s="72">
        <v>1100</v>
      </c>
      <c r="E25" s="73" t="s">
        <v>540</v>
      </c>
      <c r="F25" s="935" t="s">
        <v>1071</v>
      </c>
      <c r="G25" s="935" t="s">
        <v>1072</v>
      </c>
      <c r="H25" s="935" t="s">
        <v>1071</v>
      </c>
      <c r="I25" s="936"/>
      <c r="L25" s="96" t="s">
        <v>520</v>
      </c>
      <c r="M25" s="934" t="s">
        <v>1073</v>
      </c>
      <c r="N25" s="937"/>
      <c r="P25" s="938"/>
      <c r="Q25" s="72"/>
      <c r="R25" s="73"/>
    </row>
    <row r="26" spans="3:18">
      <c r="D26" s="72">
        <v>1105</v>
      </c>
      <c r="E26" s="73" t="s">
        <v>541</v>
      </c>
      <c r="F26" s="935" t="s">
        <v>1071</v>
      </c>
      <c r="G26" s="935" t="s">
        <v>1072</v>
      </c>
      <c r="H26" s="935" t="s">
        <v>1071</v>
      </c>
      <c r="I26" s="936"/>
      <c r="L26" s="96" t="s">
        <v>520</v>
      </c>
      <c r="M26" s="934" t="s">
        <v>1073</v>
      </c>
      <c r="N26" s="937"/>
      <c r="P26" s="938"/>
      <c r="Q26" s="72"/>
      <c r="R26" s="73"/>
    </row>
    <row r="27" spans="3:18">
      <c r="D27" s="72">
        <v>1106</v>
      </c>
      <c r="E27" s="73" t="s">
        <v>1077</v>
      </c>
      <c r="F27" s="935" t="s">
        <v>1071</v>
      </c>
      <c r="G27" s="935" t="s">
        <v>1072</v>
      </c>
      <c r="H27" s="935" t="s">
        <v>1071</v>
      </c>
      <c r="I27" s="936"/>
      <c r="L27" s="96" t="s">
        <v>520</v>
      </c>
      <c r="M27" s="934"/>
      <c r="N27" s="937"/>
      <c r="P27" s="938"/>
      <c r="Q27" s="72"/>
      <c r="R27" s="73"/>
    </row>
    <row r="28" spans="3:18">
      <c r="D28" s="72">
        <v>1110</v>
      </c>
      <c r="E28" s="73" t="s">
        <v>542</v>
      </c>
      <c r="F28" s="935" t="s">
        <v>1071</v>
      </c>
      <c r="G28" s="935" t="s">
        <v>1072</v>
      </c>
      <c r="H28" s="935" t="s">
        <v>1071</v>
      </c>
      <c r="I28" s="936"/>
      <c r="L28" s="96" t="s">
        <v>520</v>
      </c>
      <c r="M28" s="934" t="s">
        <v>1073</v>
      </c>
      <c r="N28" s="937"/>
      <c r="P28" s="938"/>
      <c r="Q28" s="72"/>
      <c r="R28" s="73"/>
    </row>
    <row r="29" spans="3:18">
      <c r="D29" s="72">
        <v>1115</v>
      </c>
      <c r="E29" s="75" t="s">
        <v>543</v>
      </c>
      <c r="F29" s="935" t="s">
        <v>1071</v>
      </c>
      <c r="G29" s="935" t="s">
        <v>1072</v>
      </c>
      <c r="H29" s="935" t="s">
        <v>1071</v>
      </c>
      <c r="I29" s="936"/>
      <c r="L29" s="96" t="s">
        <v>520</v>
      </c>
      <c r="M29" s="934" t="s">
        <v>1073</v>
      </c>
      <c r="N29" s="937"/>
      <c r="P29" s="938"/>
      <c r="Q29" s="72"/>
      <c r="R29" s="75"/>
    </row>
    <row r="30" spans="3:18">
      <c r="D30" s="72">
        <v>1120</v>
      </c>
      <c r="E30" s="75" t="s">
        <v>544</v>
      </c>
      <c r="F30" s="935" t="s">
        <v>1071</v>
      </c>
      <c r="G30" s="935" t="s">
        <v>1072</v>
      </c>
      <c r="H30" s="935" t="s">
        <v>1071</v>
      </c>
      <c r="I30" s="936"/>
      <c r="L30" s="96" t="s">
        <v>520</v>
      </c>
      <c r="M30" s="934" t="s">
        <v>1073</v>
      </c>
      <c r="N30" s="937"/>
      <c r="P30" s="938"/>
      <c r="Q30" s="72"/>
      <c r="R30" s="75"/>
    </row>
    <row r="31" spans="3:18">
      <c r="D31" s="72">
        <v>1125</v>
      </c>
      <c r="E31" s="75" t="s">
        <v>545</v>
      </c>
      <c r="F31" s="935" t="s">
        <v>1071</v>
      </c>
      <c r="G31" s="935" t="s">
        <v>1072</v>
      </c>
      <c r="H31" s="935" t="s">
        <v>1071</v>
      </c>
      <c r="I31" s="936"/>
      <c r="L31" s="96" t="s">
        <v>520</v>
      </c>
      <c r="M31" s="934" t="s">
        <v>1073</v>
      </c>
      <c r="N31" s="937"/>
      <c r="P31" s="938"/>
      <c r="Q31" s="72"/>
      <c r="R31" s="75"/>
    </row>
    <row r="32" spans="3:18">
      <c r="D32" s="72">
        <v>1200</v>
      </c>
      <c r="E32" s="73" t="s">
        <v>546</v>
      </c>
      <c r="F32" s="935" t="s">
        <v>1071</v>
      </c>
      <c r="G32" s="935" t="s">
        <v>1072</v>
      </c>
      <c r="H32" s="935" t="s">
        <v>1071</v>
      </c>
      <c r="I32" s="936"/>
      <c r="L32" s="96" t="s">
        <v>547</v>
      </c>
      <c r="M32" s="934" t="s">
        <v>1073</v>
      </c>
      <c r="N32" s="937"/>
      <c r="P32" s="938"/>
      <c r="Q32" s="72"/>
      <c r="R32" s="73"/>
    </row>
    <row r="33" spans="4:18">
      <c r="D33" s="72">
        <v>1202</v>
      </c>
      <c r="E33" s="73" t="s">
        <v>548</v>
      </c>
      <c r="F33" s="935" t="s">
        <v>1071</v>
      </c>
      <c r="G33" s="935" t="s">
        <v>1072</v>
      </c>
      <c r="H33" s="935" t="s">
        <v>1071</v>
      </c>
      <c r="I33" s="936"/>
      <c r="L33" s="96" t="s">
        <v>547</v>
      </c>
      <c r="M33" s="934" t="s">
        <v>1073</v>
      </c>
      <c r="N33" s="937"/>
      <c r="P33" s="938"/>
      <c r="Q33" s="72"/>
      <c r="R33" s="73"/>
    </row>
    <row r="34" spans="4:18">
      <c r="D34" s="72">
        <v>1205</v>
      </c>
      <c r="E34" s="73" t="s">
        <v>549</v>
      </c>
      <c r="F34" s="935"/>
      <c r="G34" s="935"/>
      <c r="H34" s="935"/>
      <c r="I34" s="936"/>
      <c r="L34" s="96" t="s">
        <v>547</v>
      </c>
      <c r="M34" s="934"/>
      <c r="N34" s="937"/>
      <c r="P34" s="938"/>
      <c r="Q34" s="72"/>
      <c r="R34" s="73"/>
    </row>
    <row r="35" spans="4:18">
      <c r="D35" s="72">
        <v>1225</v>
      </c>
      <c r="E35" s="73" t="s">
        <v>550</v>
      </c>
      <c r="F35" s="935" t="s">
        <v>1071</v>
      </c>
      <c r="G35" s="935" t="s">
        <v>1072</v>
      </c>
      <c r="H35" s="935" t="s">
        <v>1071</v>
      </c>
      <c r="I35" s="936"/>
      <c r="L35" s="96" t="s">
        <v>547</v>
      </c>
      <c r="M35" s="934" t="s">
        <v>1073</v>
      </c>
      <c r="N35" s="937"/>
      <c r="P35" s="938"/>
      <c r="Q35" s="72"/>
      <c r="R35" s="73"/>
    </row>
    <row r="36" spans="4:18">
      <c r="D36" s="72">
        <v>1275</v>
      </c>
      <c r="E36" s="73" t="s">
        <v>551</v>
      </c>
      <c r="F36" s="935" t="s">
        <v>1071</v>
      </c>
      <c r="G36" s="935" t="s">
        <v>1072</v>
      </c>
      <c r="H36" s="935" t="s">
        <v>1071</v>
      </c>
      <c r="I36" s="936"/>
      <c r="L36" s="96" t="s">
        <v>547</v>
      </c>
      <c r="M36" s="934" t="s">
        <v>1073</v>
      </c>
      <c r="N36" s="937"/>
      <c r="P36" s="938"/>
      <c r="Q36" s="72"/>
      <c r="R36" s="73"/>
    </row>
    <row r="37" spans="4:18">
      <c r="D37" s="72">
        <v>1300</v>
      </c>
      <c r="E37" s="73" t="s">
        <v>552</v>
      </c>
      <c r="F37" s="935" t="s">
        <v>1071</v>
      </c>
      <c r="G37" s="935" t="s">
        <v>1072</v>
      </c>
      <c r="H37" s="935" t="s">
        <v>1071</v>
      </c>
      <c r="I37" s="936"/>
      <c r="L37" s="96" t="s">
        <v>553</v>
      </c>
      <c r="M37" s="934" t="s">
        <v>1073</v>
      </c>
      <c r="N37" s="937"/>
      <c r="P37" s="938"/>
      <c r="Q37" s="72"/>
      <c r="R37" s="73"/>
    </row>
    <row r="38" spans="4:18">
      <c r="D38" s="72">
        <v>1305</v>
      </c>
      <c r="E38" s="73" t="s">
        <v>554</v>
      </c>
      <c r="F38" s="935"/>
      <c r="G38" s="935"/>
      <c r="H38" s="935"/>
      <c r="I38" s="936"/>
      <c r="L38" s="96" t="s">
        <v>553</v>
      </c>
      <c r="M38" s="934"/>
      <c r="N38" s="937"/>
      <c r="P38" s="938"/>
      <c r="Q38" s="72"/>
      <c r="R38" s="73"/>
    </row>
    <row r="39" spans="4:18">
      <c r="D39" s="72">
        <v>1325</v>
      </c>
      <c r="E39" s="73" t="s">
        <v>555</v>
      </c>
      <c r="F39" s="935" t="s">
        <v>1071</v>
      </c>
      <c r="G39" s="935" t="s">
        <v>1072</v>
      </c>
      <c r="H39" s="935" t="s">
        <v>1071</v>
      </c>
      <c r="I39" s="936"/>
      <c r="L39" s="96" t="s">
        <v>553</v>
      </c>
      <c r="M39" s="934" t="s">
        <v>1073</v>
      </c>
      <c r="N39" s="937"/>
      <c r="P39" s="938"/>
      <c r="Q39" s="72"/>
      <c r="R39" s="73"/>
    </row>
    <row r="40" spans="4:18">
      <c r="D40" s="72">
        <v>1330</v>
      </c>
      <c r="E40" s="73" t="s">
        <v>556</v>
      </c>
      <c r="F40" s="935" t="s">
        <v>1071</v>
      </c>
      <c r="G40" s="935" t="s">
        <v>1072</v>
      </c>
      <c r="H40" s="935" t="s">
        <v>1071</v>
      </c>
      <c r="I40" s="936"/>
      <c r="L40" s="96" t="s">
        <v>553</v>
      </c>
      <c r="M40" s="934" t="s">
        <v>1073</v>
      </c>
      <c r="N40" s="937"/>
      <c r="P40" s="938"/>
      <c r="Q40" s="72"/>
      <c r="R40" s="73"/>
    </row>
    <row r="41" spans="4:18">
      <c r="D41" s="72">
        <v>1335</v>
      </c>
      <c r="E41" s="73" t="s">
        <v>557</v>
      </c>
      <c r="F41" s="935" t="s">
        <v>1071</v>
      </c>
      <c r="G41" s="935" t="s">
        <v>1072</v>
      </c>
      <c r="H41" s="935" t="s">
        <v>1071</v>
      </c>
      <c r="I41" s="936"/>
      <c r="L41" s="96" t="s">
        <v>553</v>
      </c>
      <c r="M41" s="934" t="s">
        <v>1073</v>
      </c>
      <c r="N41" s="937"/>
      <c r="P41" s="938"/>
      <c r="Q41" s="72"/>
      <c r="R41" s="73"/>
    </row>
    <row r="42" spans="4:18">
      <c r="D42" s="72">
        <v>1336</v>
      </c>
      <c r="E42" s="73" t="s">
        <v>558</v>
      </c>
      <c r="F42" s="935"/>
      <c r="G42" s="935"/>
      <c r="H42" s="935"/>
      <c r="I42" s="936"/>
      <c r="L42" s="96" t="s">
        <v>553</v>
      </c>
      <c r="M42" s="934"/>
      <c r="N42" s="937"/>
      <c r="P42" s="938"/>
      <c r="Q42" s="72"/>
      <c r="R42" s="73"/>
    </row>
    <row r="43" spans="4:18">
      <c r="D43" s="72">
        <v>1350</v>
      </c>
      <c r="E43" s="73" t="s">
        <v>559</v>
      </c>
      <c r="F43" s="935" t="s">
        <v>1071</v>
      </c>
      <c r="G43" s="935" t="s">
        <v>1072</v>
      </c>
      <c r="H43" s="935" t="s">
        <v>1071</v>
      </c>
      <c r="I43" s="936"/>
      <c r="L43" s="96" t="s">
        <v>553</v>
      </c>
      <c r="M43" s="934" t="s">
        <v>1073</v>
      </c>
      <c r="N43" s="937"/>
      <c r="P43" s="938"/>
      <c r="Q43" s="72"/>
      <c r="R43" s="73"/>
    </row>
    <row r="44" spans="4:18">
      <c r="D44" s="72">
        <v>1375</v>
      </c>
      <c r="E44" s="73" t="s">
        <v>560</v>
      </c>
      <c r="F44" s="935" t="s">
        <v>1071</v>
      </c>
      <c r="G44" s="935" t="s">
        <v>1072</v>
      </c>
      <c r="H44" s="935" t="s">
        <v>1071</v>
      </c>
      <c r="I44" s="936"/>
      <c r="L44" s="96" t="s">
        <v>547</v>
      </c>
      <c r="M44" s="934" t="s">
        <v>1073</v>
      </c>
      <c r="N44" s="937"/>
      <c r="P44" s="938"/>
      <c r="Q44" s="72"/>
      <c r="R44" s="73"/>
    </row>
    <row r="45" spans="4:18">
      <c r="D45" s="72">
        <v>1400</v>
      </c>
      <c r="E45" s="73" t="s">
        <v>561</v>
      </c>
      <c r="F45" s="935" t="s">
        <v>1071</v>
      </c>
      <c r="G45" s="935" t="s">
        <v>1072</v>
      </c>
      <c r="H45" s="935" t="s">
        <v>1071</v>
      </c>
      <c r="I45" s="936"/>
      <c r="L45" s="96" t="s">
        <v>553</v>
      </c>
      <c r="M45" s="934" t="s">
        <v>1073</v>
      </c>
      <c r="N45" s="937"/>
      <c r="P45" s="938"/>
      <c r="Q45" s="72"/>
      <c r="R45" s="73"/>
    </row>
    <row r="46" spans="4:18">
      <c r="D46" s="72">
        <v>1405</v>
      </c>
      <c r="E46" s="73" t="s">
        <v>562</v>
      </c>
      <c r="F46" s="935" t="s">
        <v>1071</v>
      </c>
      <c r="G46" s="935" t="s">
        <v>1072</v>
      </c>
      <c r="H46" s="935" t="s">
        <v>1071</v>
      </c>
      <c r="I46" s="936"/>
      <c r="L46" s="96" t="s">
        <v>553</v>
      </c>
      <c r="M46" s="934" t="s">
        <v>1073</v>
      </c>
      <c r="N46" s="937"/>
      <c r="P46" s="938"/>
      <c r="Q46" s="72"/>
      <c r="R46" s="73"/>
    </row>
    <row r="47" spans="4:18">
      <c r="D47" s="72">
        <v>1410</v>
      </c>
      <c r="E47" s="73" t="s">
        <v>563</v>
      </c>
      <c r="F47" s="935" t="s">
        <v>1071</v>
      </c>
      <c r="G47" s="935" t="s">
        <v>1072</v>
      </c>
      <c r="H47" s="935" t="s">
        <v>1071</v>
      </c>
      <c r="I47" s="936"/>
      <c r="L47" s="96" t="s">
        <v>553</v>
      </c>
      <c r="M47" s="934" t="s">
        <v>1073</v>
      </c>
      <c r="N47" s="937"/>
      <c r="P47" s="938"/>
      <c r="Q47" s="72"/>
      <c r="R47" s="73"/>
    </row>
    <row r="48" spans="4:18">
      <c r="D48" s="72">
        <v>1410.1</v>
      </c>
      <c r="E48" s="73" t="s">
        <v>564</v>
      </c>
      <c r="F48" s="935"/>
      <c r="G48" s="935"/>
      <c r="H48" s="935"/>
      <c r="I48" s="936"/>
      <c r="L48" s="96" t="s">
        <v>553</v>
      </c>
      <c r="M48" s="934"/>
      <c r="N48" s="937"/>
      <c r="P48" s="938"/>
      <c r="Q48" s="72"/>
      <c r="R48" s="73"/>
    </row>
    <row r="49" spans="4:20">
      <c r="D49" s="72">
        <v>1410.2</v>
      </c>
      <c r="E49" s="73" t="s">
        <v>565</v>
      </c>
      <c r="F49" s="935"/>
      <c r="G49" s="935"/>
      <c r="H49" s="935"/>
      <c r="I49" s="936"/>
      <c r="L49" s="96" t="s">
        <v>553</v>
      </c>
      <c r="M49" s="934"/>
      <c r="N49" s="937"/>
      <c r="P49" s="938"/>
      <c r="Q49" s="72"/>
      <c r="R49" s="73"/>
    </row>
    <row r="50" spans="4:20">
      <c r="D50" s="72">
        <v>1415</v>
      </c>
      <c r="E50" s="73" t="s">
        <v>566</v>
      </c>
      <c r="F50" s="935" t="s">
        <v>1071</v>
      </c>
      <c r="G50" s="935" t="s">
        <v>1072</v>
      </c>
      <c r="H50" s="935" t="s">
        <v>1071</v>
      </c>
      <c r="I50" s="936"/>
      <c r="L50" s="96" t="s">
        <v>553</v>
      </c>
      <c r="M50" s="934" t="s">
        <v>1073</v>
      </c>
      <c r="N50" s="937"/>
      <c r="P50" s="938"/>
      <c r="Q50" s="72"/>
      <c r="R50" s="73"/>
    </row>
    <row r="51" spans="4:20">
      <c r="D51" s="72">
        <v>1420</v>
      </c>
      <c r="E51" s="73" t="s">
        <v>567</v>
      </c>
      <c r="F51" s="935"/>
      <c r="G51" s="935"/>
      <c r="H51" s="935"/>
      <c r="I51" s="936"/>
      <c r="L51" s="96" t="s">
        <v>553</v>
      </c>
      <c r="M51" s="934"/>
      <c r="N51" s="937"/>
      <c r="P51" s="938"/>
      <c r="Q51" s="72"/>
      <c r="R51" s="73"/>
    </row>
    <row r="52" spans="4:20">
      <c r="D52" s="72">
        <v>1600</v>
      </c>
      <c r="E52" s="73" t="s">
        <v>568</v>
      </c>
      <c r="F52" s="935" t="s">
        <v>1071</v>
      </c>
      <c r="G52" s="935" t="s">
        <v>1072</v>
      </c>
      <c r="H52" s="935" t="s">
        <v>1071</v>
      </c>
      <c r="I52" s="936"/>
      <c r="L52" s="96" t="s">
        <v>569</v>
      </c>
      <c r="M52" s="934" t="s">
        <v>1073</v>
      </c>
      <c r="N52" s="937"/>
      <c r="P52" s="938"/>
      <c r="Q52" s="72"/>
      <c r="R52" s="73"/>
    </row>
    <row r="53" spans="4:20">
      <c r="D53" s="72">
        <v>1601</v>
      </c>
      <c r="E53" s="73" t="s">
        <v>570</v>
      </c>
      <c r="F53" s="935"/>
      <c r="G53" s="935"/>
      <c r="H53" s="935"/>
      <c r="I53" s="936"/>
      <c r="L53" s="96" t="s">
        <v>569</v>
      </c>
      <c r="M53" s="934"/>
      <c r="N53" s="937"/>
      <c r="P53" s="938"/>
      <c r="Q53" s="72"/>
      <c r="R53" s="73"/>
    </row>
    <row r="54" spans="4:20">
      <c r="D54" s="72">
        <v>1601.1</v>
      </c>
      <c r="E54" s="73" t="s">
        <v>571</v>
      </c>
      <c r="F54" s="935"/>
      <c r="G54" s="935"/>
      <c r="H54" s="935"/>
      <c r="I54" s="936"/>
      <c r="L54" s="96" t="s">
        <v>569</v>
      </c>
      <c r="M54" s="934"/>
      <c r="N54" s="937"/>
      <c r="P54" s="938"/>
      <c r="Q54" s="72"/>
      <c r="R54" s="73"/>
    </row>
    <row r="55" spans="4:20">
      <c r="D55" s="72">
        <v>1602</v>
      </c>
      <c r="E55" s="73" t="s">
        <v>572</v>
      </c>
      <c r="F55" s="935"/>
      <c r="G55" s="935"/>
      <c r="H55" s="935"/>
      <c r="I55" s="936"/>
      <c r="L55" s="96" t="s">
        <v>573</v>
      </c>
      <c r="M55" s="934"/>
      <c r="N55" s="937"/>
      <c r="P55" s="938"/>
      <c r="Q55" s="72"/>
      <c r="R55" s="73"/>
    </row>
    <row r="56" spans="4:20">
      <c r="D56" s="72">
        <v>1605</v>
      </c>
      <c r="E56" s="73" t="s">
        <v>574</v>
      </c>
      <c r="F56" s="935"/>
      <c r="G56" s="935"/>
      <c r="H56" s="935"/>
      <c r="I56" s="936"/>
      <c r="L56" s="96" t="s">
        <v>569</v>
      </c>
      <c r="M56" s="934"/>
      <c r="N56" s="937"/>
      <c r="P56" s="938"/>
      <c r="Q56" s="72"/>
      <c r="R56" s="73"/>
    </row>
    <row r="57" spans="4:20">
      <c r="D57" s="72">
        <v>1610</v>
      </c>
      <c r="E57" s="73" t="s">
        <v>575</v>
      </c>
      <c r="F57" s="935" t="s">
        <v>1071</v>
      </c>
      <c r="G57" s="935" t="s">
        <v>1072</v>
      </c>
      <c r="H57" s="935" t="s">
        <v>1071</v>
      </c>
      <c r="I57" s="936"/>
      <c r="L57" s="96" t="s">
        <v>569</v>
      </c>
      <c r="M57" s="934" t="s">
        <v>1073</v>
      </c>
      <c r="N57" s="937"/>
      <c r="P57" s="938"/>
      <c r="Q57" s="72"/>
      <c r="R57" s="73"/>
    </row>
    <row r="58" spans="4:20">
      <c r="D58" s="72">
        <v>1610.1</v>
      </c>
      <c r="E58" s="73" t="s">
        <v>576</v>
      </c>
      <c r="F58" s="935"/>
      <c r="G58" s="935"/>
      <c r="H58" s="935"/>
      <c r="I58" s="936"/>
      <c r="L58" s="96" t="s">
        <v>569</v>
      </c>
      <c r="M58" s="934"/>
      <c r="N58" s="937"/>
      <c r="P58" s="938"/>
      <c r="Q58" s="72"/>
      <c r="R58" s="73"/>
    </row>
    <row r="59" spans="4:20">
      <c r="D59" s="72">
        <v>1620</v>
      </c>
      <c r="E59" s="73" t="s">
        <v>577</v>
      </c>
      <c r="F59" s="935" t="s">
        <v>1071</v>
      </c>
      <c r="G59" s="935" t="s">
        <v>1072</v>
      </c>
      <c r="H59" s="935" t="s">
        <v>1071</v>
      </c>
      <c r="I59" s="936"/>
      <c r="L59" s="96" t="s">
        <v>573</v>
      </c>
      <c r="M59" s="934" t="s">
        <v>1073</v>
      </c>
      <c r="N59" s="937"/>
      <c r="P59" s="938"/>
      <c r="Q59" s="72"/>
      <c r="R59" s="73"/>
    </row>
    <row r="60" spans="4:20">
      <c r="D60" s="72">
        <v>1630</v>
      </c>
      <c r="E60" s="73" t="s">
        <v>578</v>
      </c>
      <c r="F60" s="935" t="s">
        <v>1071</v>
      </c>
      <c r="G60" s="935" t="s">
        <v>1072</v>
      </c>
      <c r="H60" s="935" t="s">
        <v>1071</v>
      </c>
      <c r="I60" s="936"/>
      <c r="L60" s="96" t="s">
        <v>569</v>
      </c>
      <c r="M60" s="934" t="s">
        <v>1073</v>
      </c>
      <c r="N60" s="937"/>
      <c r="P60" s="938"/>
      <c r="Q60" s="72"/>
      <c r="R60" s="73"/>
    </row>
    <row r="61" spans="4:20">
      <c r="D61" s="72">
        <v>1630.1</v>
      </c>
      <c r="E61" s="73" t="s">
        <v>579</v>
      </c>
      <c r="F61" s="935" t="s">
        <v>1071</v>
      </c>
      <c r="G61" s="935" t="s">
        <v>1072</v>
      </c>
      <c r="H61" s="935" t="s">
        <v>1071</v>
      </c>
      <c r="I61" s="936"/>
      <c r="L61" s="96" t="s">
        <v>569</v>
      </c>
      <c r="M61" s="934"/>
      <c r="N61" s="937"/>
      <c r="P61" s="938"/>
      <c r="Q61" s="72"/>
      <c r="R61" s="73"/>
      <c r="T61" s="940"/>
    </row>
    <row r="62" spans="4:20">
      <c r="D62" s="72">
        <v>1630.2</v>
      </c>
      <c r="E62" s="73" t="s">
        <v>580</v>
      </c>
      <c r="F62" s="935"/>
      <c r="G62" s="935"/>
      <c r="H62" s="935"/>
      <c r="I62" s="936"/>
      <c r="L62" s="96" t="s">
        <v>569</v>
      </c>
      <c r="M62" s="934"/>
      <c r="N62" s="937"/>
      <c r="P62" s="938"/>
      <c r="Q62" s="72"/>
      <c r="R62" s="73"/>
      <c r="T62" s="940"/>
    </row>
    <row r="63" spans="4:20">
      <c r="D63" s="72">
        <v>1630.3</v>
      </c>
      <c r="E63" s="73" t="s">
        <v>581</v>
      </c>
      <c r="F63" s="935"/>
      <c r="G63" s="935"/>
      <c r="H63" s="935"/>
      <c r="I63" s="936"/>
      <c r="L63" s="96" t="s">
        <v>569</v>
      </c>
      <c r="M63" s="934"/>
      <c r="N63" s="937"/>
      <c r="P63" s="938"/>
      <c r="Q63" s="72"/>
      <c r="R63" s="73"/>
      <c r="T63" s="940"/>
    </row>
    <row r="64" spans="4:20">
      <c r="D64" s="72">
        <v>1630.4</v>
      </c>
      <c r="E64" s="73" t="s">
        <v>582</v>
      </c>
      <c r="F64" s="935"/>
      <c r="G64" s="935"/>
      <c r="H64" s="935"/>
      <c r="I64" s="936"/>
      <c r="L64" s="96" t="s">
        <v>569</v>
      </c>
      <c r="M64" s="934"/>
      <c r="N64" s="937"/>
      <c r="P64" s="938"/>
      <c r="Q64" s="72"/>
      <c r="R64" s="73"/>
      <c r="T64" s="940"/>
    </row>
    <row r="65" spans="4:20">
      <c r="D65" s="72">
        <v>1630.5</v>
      </c>
      <c r="E65" s="73" t="s">
        <v>583</v>
      </c>
      <c r="F65" s="935"/>
      <c r="G65" s="935"/>
      <c r="H65" s="935"/>
      <c r="I65" s="936"/>
      <c r="L65" s="96" t="s">
        <v>569</v>
      </c>
      <c r="M65" s="934"/>
      <c r="N65" s="937"/>
      <c r="P65" s="938"/>
      <c r="Q65" s="72"/>
      <c r="R65" s="73"/>
      <c r="T65" s="940"/>
    </row>
    <row r="66" spans="4:20">
      <c r="D66" s="72">
        <v>1640</v>
      </c>
      <c r="E66" s="73" t="s">
        <v>584</v>
      </c>
      <c r="F66" s="935" t="s">
        <v>1071</v>
      </c>
      <c r="G66" s="935" t="s">
        <v>1072</v>
      </c>
      <c r="H66" s="935" t="s">
        <v>1071</v>
      </c>
      <c r="I66" s="936"/>
      <c r="L66" s="96" t="s">
        <v>573</v>
      </c>
      <c r="M66" s="934" t="s">
        <v>1073</v>
      </c>
      <c r="N66" s="937"/>
      <c r="P66" s="938"/>
      <c r="Q66" s="72"/>
      <c r="R66" s="73"/>
      <c r="T66" s="940"/>
    </row>
    <row r="67" spans="4:20">
      <c r="D67" s="72">
        <v>1650</v>
      </c>
      <c r="E67" s="73" t="s">
        <v>585</v>
      </c>
      <c r="F67" s="935" t="s">
        <v>1071</v>
      </c>
      <c r="G67" s="935" t="s">
        <v>1072</v>
      </c>
      <c r="H67" s="935" t="s">
        <v>1071</v>
      </c>
      <c r="I67" s="936"/>
      <c r="L67" s="96" t="s">
        <v>569</v>
      </c>
      <c r="M67" s="934" t="s">
        <v>1073</v>
      </c>
      <c r="N67" s="937"/>
      <c r="P67" s="938"/>
      <c r="Q67" s="72"/>
      <c r="R67" s="73"/>
      <c r="T67" s="940"/>
    </row>
    <row r="68" spans="4:20">
      <c r="D68" s="72">
        <v>1650.1</v>
      </c>
      <c r="E68" s="73" t="s">
        <v>586</v>
      </c>
      <c r="F68" s="935"/>
      <c r="G68" s="935"/>
      <c r="H68" s="935"/>
      <c r="I68" s="936"/>
      <c r="L68" s="96" t="s">
        <v>569</v>
      </c>
      <c r="M68" s="934"/>
      <c r="N68" s="937"/>
      <c r="P68" s="938"/>
      <c r="Q68" s="72"/>
      <c r="R68" s="73"/>
      <c r="T68" s="940"/>
    </row>
    <row r="69" spans="4:20">
      <c r="D69" s="72">
        <v>1650.2</v>
      </c>
      <c r="E69" s="73" t="s">
        <v>587</v>
      </c>
      <c r="F69" s="935"/>
      <c r="G69" s="935"/>
      <c r="H69" s="935"/>
      <c r="I69" s="936"/>
      <c r="L69" s="96" t="s">
        <v>569</v>
      </c>
      <c r="M69" s="934"/>
      <c r="N69" s="937"/>
      <c r="P69" s="938"/>
      <c r="Q69" s="72"/>
      <c r="R69" s="73"/>
      <c r="T69" s="940"/>
    </row>
    <row r="70" spans="4:20">
      <c r="D70" s="72">
        <v>1660</v>
      </c>
      <c r="E70" s="73" t="s">
        <v>588</v>
      </c>
      <c r="F70" s="935" t="s">
        <v>1071</v>
      </c>
      <c r="G70" s="935" t="s">
        <v>1072</v>
      </c>
      <c r="H70" s="935" t="s">
        <v>1071</v>
      </c>
      <c r="I70" s="936"/>
      <c r="L70" s="96" t="s">
        <v>573</v>
      </c>
      <c r="M70" s="934" t="s">
        <v>1073</v>
      </c>
      <c r="N70" s="937"/>
      <c r="P70" s="938"/>
      <c r="Q70" s="72"/>
      <c r="R70" s="73"/>
    </row>
    <row r="71" spans="4:20">
      <c r="D71" s="72">
        <v>1670</v>
      </c>
      <c r="E71" s="73" t="s">
        <v>589</v>
      </c>
      <c r="F71" s="935" t="s">
        <v>1071</v>
      </c>
      <c r="G71" s="935" t="s">
        <v>1072</v>
      </c>
      <c r="H71" s="935" t="s">
        <v>1071</v>
      </c>
      <c r="I71" s="936"/>
      <c r="L71" s="96" t="s">
        <v>569</v>
      </c>
      <c r="M71" s="934" t="s">
        <v>1073</v>
      </c>
      <c r="N71" s="937"/>
      <c r="P71" s="938"/>
      <c r="Q71" s="72"/>
      <c r="R71" s="73"/>
    </row>
    <row r="72" spans="4:20">
      <c r="D72" s="72">
        <v>1675</v>
      </c>
      <c r="E72" s="73" t="s">
        <v>590</v>
      </c>
      <c r="F72" s="935"/>
      <c r="G72" s="935"/>
      <c r="H72" s="935"/>
      <c r="I72" s="936"/>
      <c r="L72" s="96" t="s">
        <v>569</v>
      </c>
      <c r="M72" s="934"/>
      <c r="N72" s="937"/>
      <c r="P72" s="938"/>
      <c r="Q72" s="72"/>
      <c r="R72" s="73"/>
    </row>
    <row r="73" spans="4:20">
      <c r="D73" s="72">
        <v>1676</v>
      </c>
      <c r="E73" s="73" t="s">
        <v>591</v>
      </c>
      <c r="F73" s="935"/>
      <c r="G73" s="935"/>
      <c r="H73" s="935"/>
      <c r="I73" s="936"/>
      <c r="L73" s="96" t="s">
        <v>573</v>
      </c>
      <c r="M73" s="934"/>
      <c r="N73" s="937"/>
      <c r="P73" s="938"/>
      <c r="Q73" s="72"/>
      <c r="R73" s="73"/>
    </row>
    <row r="74" spans="4:20">
      <c r="D74" s="72">
        <v>1677</v>
      </c>
      <c r="E74" s="73" t="s">
        <v>1078</v>
      </c>
      <c r="F74" s="935"/>
      <c r="G74" s="935"/>
      <c r="H74" s="935"/>
      <c r="I74" s="936"/>
      <c r="L74" s="96" t="s">
        <v>569</v>
      </c>
      <c r="M74" s="934"/>
      <c r="N74" s="937"/>
      <c r="P74" s="938"/>
      <c r="Q74" s="72"/>
      <c r="R74" s="73"/>
    </row>
    <row r="75" spans="4:20">
      <c r="D75" s="72">
        <v>1680</v>
      </c>
      <c r="E75" s="73" t="s">
        <v>592</v>
      </c>
      <c r="F75" s="935" t="s">
        <v>1071</v>
      </c>
      <c r="G75" s="935" t="s">
        <v>1072</v>
      </c>
      <c r="H75" s="935" t="s">
        <v>1071</v>
      </c>
      <c r="I75" s="936"/>
      <c r="L75" s="96" t="s">
        <v>573</v>
      </c>
      <c r="M75" s="934" t="s">
        <v>1073</v>
      </c>
      <c r="N75" s="937"/>
      <c r="P75" s="938"/>
      <c r="Q75" s="72"/>
      <c r="R75" s="73"/>
    </row>
    <row r="76" spans="4:20">
      <c r="D76" s="72">
        <v>1681</v>
      </c>
      <c r="E76" s="73" t="s">
        <v>15</v>
      </c>
      <c r="F76" s="935"/>
      <c r="G76" s="935"/>
      <c r="H76" s="935"/>
      <c r="I76" s="936"/>
      <c r="L76" s="96" t="s">
        <v>569</v>
      </c>
      <c r="M76" s="934"/>
      <c r="N76" s="937"/>
      <c r="P76" s="938"/>
      <c r="Q76" s="72"/>
      <c r="R76" s="73"/>
    </row>
    <row r="77" spans="4:20">
      <c r="D77" s="72">
        <v>1682</v>
      </c>
      <c r="E77" s="73" t="s">
        <v>593</v>
      </c>
      <c r="F77" s="935"/>
      <c r="G77" s="935"/>
      <c r="H77" s="935"/>
      <c r="I77" s="936"/>
      <c r="L77" s="96" t="s">
        <v>569</v>
      </c>
      <c r="M77" s="934"/>
      <c r="N77" s="937"/>
      <c r="P77" s="938"/>
      <c r="Q77" s="72"/>
      <c r="R77" s="73"/>
    </row>
    <row r="78" spans="4:20">
      <c r="D78" s="72">
        <v>1682.1</v>
      </c>
      <c r="E78" s="73" t="s">
        <v>594</v>
      </c>
      <c r="F78" s="935"/>
      <c r="G78" s="935"/>
      <c r="H78" s="935"/>
      <c r="I78" s="936"/>
      <c r="L78" s="96" t="s">
        <v>569</v>
      </c>
      <c r="M78" s="934"/>
      <c r="N78" s="937"/>
      <c r="P78" s="938"/>
      <c r="Q78" s="72"/>
      <c r="R78" s="73"/>
    </row>
    <row r="79" spans="4:20">
      <c r="D79" s="72">
        <v>1690</v>
      </c>
      <c r="E79" s="73" t="s">
        <v>595</v>
      </c>
      <c r="F79" s="935" t="s">
        <v>1071</v>
      </c>
      <c r="G79" s="935" t="s">
        <v>1072</v>
      </c>
      <c r="H79" s="935" t="s">
        <v>1071</v>
      </c>
      <c r="I79" s="936"/>
      <c r="L79" s="96" t="s">
        <v>569</v>
      </c>
      <c r="M79" s="934" t="s">
        <v>1073</v>
      </c>
      <c r="N79" s="937"/>
      <c r="P79" s="938"/>
      <c r="Q79" s="72"/>
      <c r="R79" s="73"/>
    </row>
    <row r="80" spans="4:20">
      <c r="D80" s="72">
        <v>1700</v>
      </c>
      <c r="E80" s="73" t="s">
        <v>596</v>
      </c>
      <c r="F80" s="935" t="s">
        <v>1071</v>
      </c>
      <c r="G80" s="935" t="s">
        <v>1072</v>
      </c>
      <c r="H80" s="935" t="s">
        <v>1071</v>
      </c>
      <c r="I80" s="936"/>
      <c r="L80" s="96" t="s">
        <v>573</v>
      </c>
      <c r="M80" s="934" t="s">
        <v>1073</v>
      </c>
      <c r="N80" s="937"/>
      <c r="P80" s="938"/>
      <c r="Q80" s="72"/>
      <c r="R80" s="73"/>
    </row>
    <row r="81" spans="3:18">
      <c r="D81" s="72">
        <v>1707</v>
      </c>
      <c r="E81" s="73" t="s">
        <v>1079</v>
      </c>
      <c r="F81" s="935"/>
      <c r="G81" s="935"/>
      <c r="H81" s="935"/>
      <c r="I81" s="936"/>
      <c r="L81" s="96" t="s">
        <v>599</v>
      </c>
      <c r="M81" s="934"/>
      <c r="N81" s="937"/>
      <c r="P81" s="938"/>
      <c r="Q81" s="72"/>
      <c r="R81" s="73"/>
    </row>
    <row r="82" spans="3:18">
      <c r="D82" s="72">
        <v>1710</v>
      </c>
      <c r="E82" s="73" t="s">
        <v>597</v>
      </c>
      <c r="F82" s="935" t="s">
        <v>1071</v>
      </c>
      <c r="G82" s="935" t="s">
        <v>1072</v>
      </c>
      <c r="H82" s="935" t="s">
        <v>1071</v>
      </c>
      <c r="I82" s="936"/>
      <c r="L82" s="96" t="s">
        <v>569</v>
      </c>
      <c r="M82" s="934" t="s">
        <v>1073</v>
      </c>
      <c r="N82" s="937"/>
      <c r="P82" s="938"/>
      <c r="Q82" s="72"/>
      <c r="R82" s="73"/>
    </row>
    <row r="83" spans="3:18">
      <c r="D83" s="72">
        <v>1742</v>
      </c>
      <c r="E83" s="73" t="s">
        <v>598</v>
      </c>
      <c r="F83" s="935"/>
      <c r="G83" s="935"/>
      <c r="H83" s="935"/>
      <c r="I83" s="936"/>
      <c r="L83" s="96" t="s">
        <v>599</v>
      </c>
      <c r="M83" s="934"/>
      <c r="N83" s="937"/>
      <c r="P83" s="938"/>
      <c r="Q83" s="72"/>
      <c r="R83" s="73"/>
    </row>
    <row r="84" spans="3:18">
      <c r="D84" s="72">
        <v>1743</v>
      </c>
      <c r="E84" s="73" t="s">
        <v>600</v>
      </c>
      <c r="F84" s="935"/>
      <c r="G84" s="935"/>
      <c r="H84" s="935"/>
      <c r="I84" s="936"/>
      <c r="L84" s="96" t="s">
        <v>599</v>
      </c>
      <c r="M84" s="934"/>
      <c r="N84" s="937"/>
      <c r="P84" s="938"/>
      <c r="Q84" s="72"/>
      <c r="R84" s="73"/>
    </row>
    <row r="85" spans="3:18">
      <c r="D85" s="72">
        <v>1748</v>
      </c>
      <c r="E85" s="73" t="s">
        <v>601</v>
      </c>
      <c r="F85" s="935"/>
      <c r="G85" s="935"/>
      <c r="H85" s="935"/>
      <c r="I85" s="936"/>
      <c r="L85" s="96" t="s">
        <v>599</v>
      </c>
      <c r="M85" s="934"/>
      <c r="N85" s="937"/>
      <c r="P85" s="938"/>
      <c r="Q85" s="72"/>
      <c r="R85" s="73"/>
    </row>
    <row r="86" spans="3:18">
      <c r="D86" s="72">
        <v>1749</v>
      </c>
      <c r="E86" s="73" t="s">
        <v>602</v>
      </c>
      <c r="F86" s="935"/>
      <c r="G86" s="935"/>
      <c r="H86" s="935"/>
      <c r="I86" s="936"/>
      <c r="L86" s="96" t="s">
        <v>599</v>
      </c>
      <c r="M86" s="934"/>
      <c r="N86" s="937"/>
      <c r="P86" s="938"/>
      <c r="Q86" s="72"/>
      <c r="R86" s="73"/>
    </row>
    <row r="87" spans="3:18">
      <c r="D87" s="72">
        <v>1750</v>
      </c>
      <c r="E87" s="73" t="s">
        <v>603</v>
      </c>
      <c r="F87" s="935" t="s">
        <v>1071</v>
      </c>
      <c r="G87" s="935" t="s">
        <v>1072</v>
      </c>
      <c r="H87" s="935" t="s">
        <v>1071</v>
      </c>
      <c r="I87" s="936"/>
      <c r="L87" s="96" t="s">
        <v>599</v>
      </c>
      <c r="M87" s="934" t="s">
        <v>1073</v>
      </c>
      <c r="N87" s="937"/>
      <c r="P87" s="938"/>
      <c r="Q87" s="72"/>
      <c r="R87" s="73"/>
    </row>
    <row r="88" spans="3:18">
      <c r="D88" s="72">
        <v>1755</v>
      </c>
      <c r="E88" s="73" t="s">
        <v>604</v>
      </c>
      <c r="F88" s="935" t="s">
        <v>1071</v>
      </c>
      <c r="G88" s="935" t="s">
        <v>1072</v>
      </c>
      <c r="H88" s="935" t="s">
        <v>1071</v>
      </c>
      <c r="I88" s="936"/>
      <c r="L88" s="96" t="s">
        <v>599</v>
      </c>
      <c r="M88" s="934" t="s">
        <v>1073</v>
      </c>
      <c r="N88" s="937"/>
      <c r="P88" s="938"/>
      <c r="Q88" s="72"/>
      <c r="R88" s="73"/>
    </row>
    <row r="89" spans="3:18">
      <c r="C89" s="929"/>
      <c r="D89" s="72">
        <v>1756</v>
      </c>
      <c r="E89" s="73" t="s">
        <v>605</v>
      </c>
      <c r="F89" s="935"/>
      <c r="G89" s="935"/>
      <c r="H89" s="935"/>
      <c r="I89" s="936"/>
      <c r="L89" s="96" t="s">
        <v>599</v>
      </c>
      <c r="M89" s="934"/>
      <c r="N89" s="937"/>
      <c r="P89" s="938"/>
      <c r="Q89" s="72"/>
      <c r="R89" s="73"/>
    </row>
    <row r="90" spans="3:18">
      <c r="C90" s="929"/>
      <c r="D90" s="72">
        <v>1757</v>
      </c>
      <c r="E90" s="73" t="s">
        <v>606</v>
      </c>
      <c r="F90" s="935"/>
      <c r="G90" s="935"/>
      <c r="H90" s="935"/>
      <c r="I90" s="936"/>
      <c r="L90" s="96" t="s">
        <v>599</v>
      </c>
      <c r="M90" s="934"/>
      <c r="N90" s="937"/>
      <c r="P90" s="938"/>
      <c r="Q90" s="72"/>
      <c r="R90" s="73"/>
    </row>
    <row r="91" spans="3:18">
      <c r="C91" s="929"/>
      <c r="D91" s="72">
        <v>1758</v>
      </c>
      <c r="E91" s="73" t="s">
        <v>607</v>
      </c>
      <c r="F91" s="935"/>
      <c r="G91" s="935"/>
      <c r="H91" s="935"/>
      <c r="I91" s="936"/>
      <c r="L91" s="96" t="s">
        <v>599</v>
      </c>
      <c r="M91" s="934"/>
      <c r="N91" s="937"/>
      <c r="P91" s="938"/>
      <c r="Q91" s="72"/>
      <c r="R91" s="73"/>
    </row>
    <row r="92" spans="3:18">
      <c r="D92" s="72">
        <v>1760</v>
      </c>
      <c r="E92" s="73" t="s">
        <v>608</v>
      </c>
      <c r="F92" s="935" t="s">
        <v>1071</v>
      </c>
      <c r="G92" s="935" t="s">
        <v>1072</v>
      </c>
      <c r="H92" s="935" t="s">
        <v>1071</v>
      </c>
      <c r="I92" s="936"/>
      <c r="L92" s="96" t="s">
        <v>599</v>
      </c>
      <c r="M92" s="934" t="s">
        <v>1073</v>
      </c>
      <c r="N92" s="937"/>
      <c r="P92" s="938"/>
      <c r="Q92" s="72"/>
      <c r="R92" s="73"/>
    </row>
    <row r="93" spans="3:18">
      <c r="D93" s="72">
        <v>1765</v>
      </c>
      <c r="E93" s="73" t="s">
        <v>609</v>
      </c>
      <c r="F93" s="935" t="s">
        <v>1071</v>
      </c>
      <c r="G93" s="935" t="s">
        <v>1072</v>
      </c>
      <c r="H93" s="935" t="s">
        <v>1071</v>
      </c>
      <c r="I93" s="936"/>
      <c r="L93" s="96" t="s">
        <v>599</v>
      </c>
      <c r="M93" s="934" t="s">
        <v>1073</v>
      </c>
      <c r="N93" s="937"/>
      <c r="P93" s="938"/>
      <c r="Q93" s="72"/>
      <c r="R93" s="73"/>
    </row>
    <row r="94" spans="3:18">
      <c r="D94" s="72">
        <v>1810</v>
      </c>
      <c r="E94" s="73" t="s">
        <v>610</v>
      </c>
      <c r="F94" s="935" t="s">
        <v>1071</v>
      </c>
      <c r="G94" s="935" t="s">
        <v>1072</v>
      </c>
      <c r="H94" s="935" t="s">
        <v>1071</v>
      </c>
      <c r="I94" s="936"/>
      <c r="L94" s="96" t="s">
        <v>599</v>
      </c>
      <c r="M94" s="934" t="s">
        <v>1073</v>
      </c>
      <c r="N94" s="937"/>
      <c r="P94" s="938"/>
      <c r="Q94" s="72"/>
      <c r="R94" s="73"/>
    </row>
    <row r="95" spans="3:18">
      <c r="D95" s="72">
        <v>1815</v>
      </c>
      <c r="E95" s="73" t="s">
        <v>611</v>
      </c>
      <c r="F95" s="935"/>
      <c r="G95" s="935"/>
      <c r="H95" s="935"/>
      <c r="I95" s="936"/>
      <c r="L95" s="96" t="s">
        <v>599</v>
      </c>
      <c r="M95" s="934"/>
      <c r="N95" s="937"/>
      <c r="P95" s="938"/>
      <c r="Q95" s="72"/>
      <c r="R95" s="73"/>
    </row>
    <row r="96" spans="3:18">
      <c r="D96" s="72">
        <v>1825</v>
      </c>
      <c r="E96" s="73" t="s">
        <v>612</v>
      </c>
      <c r="F96" s="935" t="s">
        <v>1071</v>
      </c>
      <c r="G96" s="935" t="s">
        <v>1072</v>
      </c>
      <c r="H96" s="935" t="s">
        <v>1071</v>
      </c>
      <c r="I96" s="936"/>
      <c r="L96" s="96" t="s">
        <v>599</v>
      </c>
      <c r="M96" s="934" t="s">
        <v>1073</v>
      </c>
      <c r="N96" s="937"/>
      <c r="P96" s="938"/>
      <c r="Q96" s="72"/>
      <c r="R96" s="73"/>
    </row>
    <row r="97" spans="4:18">
      <c r="D97" s="72">
        <v>1850</v>
      </c>
      <c r="E97" s="73" t="s">
        <v>613</v>
      </c>
      <c r="F97" s="935" t="s">
        <v>1071</v>
      </c>
      <c r="G97" s="935" t="s">
        <v>1072</v>
      </c>
      <c r="H97" s="935" t="s">
        <v>1071</v>
      </c>
      <c r="I97" s="936"/>
      <c r="L97" s="96" t="s">
        <v>599</v>
      </c>
      <c r="M97" s="934" t="s">
        <v>1073</v>
      </c>
      <c r="N97" s="937"/>
      <c r="P97" s="938"/>
      <c r="Q97" s="72"/>
      <c r="R97" s="73"/>
    </row>
    <row r="98" spans="4:18">
      <c r="D98" s="72">
        <v>1900</v>
      </c>
      <c r="E98" s="73" t="s">
        <v>614</v>
      </c>
      <c r="F98" s="935" t="s">
        <v>1071</v>
      </c>
      <c r="G98" s="935" t="s">
        <v>1072</v>
      </c>
      <c r="H98" s="935" t="s">
        <v>1071</v>
      </c>
      <c r="I98" s="936"/>
      <c r="L98" s="96" t="s">
        <v>599</v>
      </c>
      <c r="M98" s="934" t="s">
        <v>1073</v>
      </c>
      <c r="N98" s="937"/>
      <c r="P98" s="938"/>
      <c r="Q98" s="72"/>
      <c r="R98" s="73"/>
    </row>
    <row r="99" spans="4:18">
      <c r="D99" s="72">
        <v>2000</v>
      </c>
      <c r="E99" s="73" t="s">
        <v>615</v>
      </c>
      <c r="F99" s="935" t="s">
        <v>1071</v>
      </c>
      <c r="G99" s="935" t="s">
        <v>1080</v>
      </c>
      <c r="H99" s="935" t="s">
        <v>1071</v>
      </c>
      <c r="I99" s="936"/>
      <c r="L99" s="96" t="s">
        <v>616</v>
      </c>
      <c r="M99" s="934" t="s">
        <v>1073</v>
      </c>
      <c r="N99" s="937"/>
      <c r="P99" s="938"/>
      <c r="Q99" s="72"/>
      <c r="R99" s="73"/>
    </row>
    <row r="100" spans="4:18">
      <c r="D100" s="72">
        <v>2005</v>
      </c>
      <c r="E100" s="73" t="s">
        <v>617</v>
      </c>
      <c r="F100" s="935"/>
      <c r="G100" s="935"/>
      <c r="H100" s="935"/>
      <c r="I100" s="936"/>
      <c r="L100" s="96" t="s">
        <v>616</v>
      </c>
      <c r="M100" s="934"/>
      <c r="N100" s="937"/>
      <c r="P100" s="938"/>
      <c r="Q100" s="72"/>
      <c r="R100" s="73"/>
    </row>
    <row r="101" spans="4:18">
      <c r="D101" s="72">
        <v>2011</v>
      </c>
      <c r="E101" s="73" t="s">
        <v>618</v>
      </c>
      <c r="F101" s="935" t="s">
        <v>1071</v>
      </c>
      <c r="G101" s="935" t="s">
        <v>1080</v>
      </c>
      <c r="H101" s="935" t="s">
        <v>1071</v>
      </c>
      <c r="I101" s="936"/>
      <c r="L101" s="96" t="s">
        <v>616</v>
      </c>
      <c r="M101" s="934" t="s">
        <v>1073</v>
      </c>
      <c r="N101" s="937"/>
      <c r="P101" s="938"/>
      <c r="Q101" s="72"/>
      <c r="R101" s="73"/>
    </row>
    <row r="102" spans="4:18">
      <c r="D102" s="72">
        <v>2015</v>
      </c>
      <c r="E102" s="73" t="s">
        <v>619</v>
      </c>
      <c r="F102" s="935" t="s">
        <v>1071</v>
      </c>
      <c r="G102" s="935" t="s">
        <v>1080</v>
      </c>
      <c r="H102" s="935" t="s">
        <v>1071</v>
      </c>
      <c r="I102" s="936"/>
      <c r="L102" s="96" t="s">
        <v>616</v>
      </c>
      <c r="M102" s="934" t="s">
        <v>1073</v>
      </c>
      <c r="N102" s="937"/>
      <c r="P102" s="938"/>
      <c r="Q102" s="72"/>
      <c r="R102" s="73"/>
    </row>
    <row r="103" spans="4:18">
      <c r="D103" s="72">
        <v>2020</v>
      </c>
      <c r="E103" s="73" t="s">
        <v>620</v>
      </c>
      <c r="F103" s="935" t="s">
        <v>1071</v>
      </c>
      <c r="G103" s="935" t="s">
        <v>1080</v>
      </c>
      <c r="H103" s="935" t="s">
        <v>1071</v>
      </c>
      <c r="I103" s="936"/>
      <c r="L103" s="96" t="s">
        <v>616</v>
      </c>
      <c r="M103" s="934" t="s">
        <v>1073</v>
      </c>
      <c r="N103" s="937"/>
      <c r="P103" s="938"/>
      <c r="Q103" s="72"/>
      <c r="R103" s="73"/>
    </row>
    <row r="104" spans="4:18">
      <c r="D104" s="72">
        <v>2025</v>
      </c>
      <c r="E104" s="73" t="s">
        <v>621</v>
      </c>
      <c r="F104" s="935" t="s">
        <v>1071</v>
      </c>
      <c r="G104" s="935" t="s">
        <v>1080</v>
      </c>
      <c r="H104" s="935" t="s">
        <v>1071</v>
      </c>
      <c r="I104" s="936"/>
      <c r="L104" s="96" t="s">
        <v>616</v>
      </c>
      <c r="M104" s="934" t="s">
        <v>1073</v>
      </c>
      <c r="N104" s="937"/>
      <c r="P104" s="938"/>
      <c r="Q104" s="72"/>
      <c r="R104" s="73"/>
    </row>
    <row r="105" spans="4:18">
      <c r="D105" s="72">
        <v>2030</v>
      </c>
      <c r="E105" s="73" t="s">
        <v>622</v>
      </c>
      <c r="F105" s="935" t="s">
        <v>1071</v>
      </c>
      <c r="G105" s="935" t="s">
        <v>1080</v>
      </c>
      <c r="H105" s="935" t="s">
        <v>1071</v>
      </c>
      <c r="I105" s="936"/>
      <c r="L105" s="96" t="s">
        <v>616</v>
      </c>
      <c r="M105" s="934" t="s">
        <v>1073</v>
      </c>
      <c r="N105" s="937"/>
      <c r="P105" s="938"/>
      <c r="Q105" s="72"/>
      <c r="R105" s="73"/>
    </row>
    <row r="106" spans="4:18">
      <c r="D106" s="72">
        <v>2050</v>
      </c>
      <c r="E106" s="73" t="s">
        <v>623</v>
      </c>
      <c r="F106" s="935" t="s">
        <v>1071</v>
      </c>
      <c r="G106" s="935" t="s">
        <v>1080</v>
      </c>
      <c r="H106" s="935" t="s">
        <v>1071</v>
      </c>
      <c r="I106" s="936"/>
      <c r="L106" s="96" t="s">
        <v>616</v>
      </c>
      <c r="M106" s="934" t="s">
        <v>1073</v>
      </c>
      <c r="N106" s="937"/>
      <c r="P106" s="938"/>
      <c r="Q106" s="72"/>
      <c r="R106" s="73"/>
    </row>
    <row r="107" spans="4:18">
      <c r="D107" s="72">
        <v>2070</v>
      </c>
      <c r="E107" s="73" t="s">
        <v>624</v>
      </c>
      <c r="F107" s="935" t="s">
        <v>1071</v>
      </c>
      <c r="G107" s="935" t="s">
        <v>1080</v>
      </c>
      <c r="H107" s="935" t="s">
        <v>1071</v>
      </c>
      <c r="I107" s="936"/>
      <c r="L107" s="96" t="s">
        <v>625</v>
      </c>
      <c r="M107" s="934" t="s">
        <v>1073</v>
      </c>
      <c r="N107" s="937"/>
      <c r="P107" s="938"/>
      <c r="Q107" s="72"/>
      <c r="R107" s="73"/>
    </row>
    <row r="108" spans="4:18">
      <c r="D108" s="72">
        <v>2075</v>
      </c>
      <c r="E108" s="73" t="s">
        <v>626</v>
      </c>
      <c r="F108" s="935" t="s">
        <v>1071</v>
      </c>
      <c r="G108" s="935" t="s">
        <v>1080</v>
      </c>
      <c r="H108" s="935" t="s">
        <v>1071</v>
      </c>
      <c r="I108" s="936"/>
      <c r="L108" s="96" t="s">
        <v>625</v>
      </c>
      <c r="M108" s="934" t="s">
        <v>1073</v>
      </c>
      <c r="N108" s="937"/>
      <c r="P108" s="938"/>
      <c r="Q108" s="72"/>
      <c r="R108" s="73"/>
    </row>
    <row r="109" spans="4:18">
      <c r="D109" s="72">
        <v>2077</v>
      </c>
      <c r="E109" s="73" t="s">
        <v>627</v>
      </c>
      <c r="F109" s="935"/>
      <c r="G109" s="935"/>
      <c r="H109" s="935"/>
      <c r="I109" s="936"/>
      <c r="L109" s="96" t="s">
        <v>625</v>
      </c>
      <c r="M109" s="934"/>
      <c r="N109" s="937"/>
      <c r="P109" s="938"/>
      <c r="Q109" s="72"/>
      <c r="R109" s="73"/>
    </row>
    <row r="110" spans="4:18">
      <c r="D110" s="72">
        <v>2080</v>
      </c>
      <c r="E110" s="73" t="s">
        <v>628</v>
      </c>
      <c r="F110" s="935" t="s">
        <v>1071</v>
      </c>
      <c r="G110" s="935" t="s">
        <v>1080</v>
      </c>
      <c r="H110" s="935" t="s">
        <v>1071</v>
      </c>
      <c r="I110" s="936"/>
      <c r="L110" s="96" t="s">
        <v>625</v>
      </c>
      <c r="M110" s="934" t="s">
        <v>1073</v>
      </c>
      <c r="N110" s="937"/>
      <c r="P110" s="938"/>
      <c r="Q110" s="72"/>
      <c r="R110" s="73"/>
    </row>
    <row r="111" spans="4:18">
      <c r="D111" s="72">
        <v>2085</v>
      </c>
      <c r="E111" s="73" t="s">
        <v>629</v>
      </c>
      <c r="F111" s="935" t="s">
        <v>1071</v>
      </c>
      <c r="G111" s="935" t="s">
        <v>1080</v>
      </c>
      <c r="H111" s="935" t="s">
        <v>1071</v>
      </c>
      <c r="I111" s="936"/>
      <c r="L111" s="96" t="s">
        <v>625</v>
      </c>
      <c r="M111" s="934" t="s">
        <v>1073</v>
      </c>
      <c r="N111" s="937"/>
      <c r="P111" s="938"/>
      <c r="Q111" s="72"/>
      <c r="R111" s="73"/>
    </row>
    <row r="112" spans="4:18">
      <c r="D112" s="72">
        <v>2090</v>
      </c>
      <c r="E112" s="73" t="s">
        <v>630</v>
      </c>
      <c r="F112" s="935" t="s">
        <v>1071</v>
      </c>
      <c r="G112" s="935" t="s">
        <v>1080</v>
      </c>
      <c r="H112" s="935" t="s">
        <v>1071</v>
      </c>
      <c r="I112" s="936"/>
      <c r="L112" s="96" t="s">
        <v>625</v>
      </c>
      <c r="M112" s="934" t="s">
        <v>1073</v>
      </c>
      <c r="N112" s="937"/>
      <c r="P112" s="938"/>
      <c r="Q112" s="72"/>
      <c r="R112" s="73"/>
    </row>
    <row r="113" spans="3:18">
      <c r="D113" s="72">
        <v>2100</v>
      </c>
      <c r="E113" s="73" t="s">
        <v>631</v>
      </c>
      <c r="F113" s="935" t="s">
        <v>1071</v>
      </c>
      <c r="G113" s="935" t="s">
        <v>1080</v>
      </c>
      <c r="H113" s="935" t="s">
        <v>1071</v>
      </c>
      <c r="I113" s="936"/>
      <c r="L113" s="96" t="s">
        <v>625</v>
      </c>
      <c r="M113" s="934" t="s">
        <v>1073</v>
      </c>
      <c r="N113" s="937"/>
      <c r="P113" s="938"/>
      <c r="Q113" s="72"/>
      <c r="R113" s="73"/>
    </row>
    <row r="114" spans="3:18">
      <c r="D114" s="72">
        <v>2102</v>
      </c>
      <c r="E114" s="73" t="s">
        <v>632</v>
      </c>
      <c r="F114" s="935" t="s">
        <v>1071</v>
      </c>
      <c r="G114" s="935" t="s">
        <v>1080</v>
      </c>
      <c r="H114" s="935" t="s">
        <v>1071</v>
      </c>
      <c r="I114" s="936"/>
      <c r="L114" s="96" t="s">
        <v>625</v>
      </c>
      <c r="M114" s="934" t="s">
        <v>1073</v>
      </c>
      <c r="N114" s="937"/>
      <c r="P114" s="938"/>
      <c r="Q114" s="72"/>
      <c r="R114" s="73"/>
    </row>
    <row r="115" spans="3:18">
      <c r="D115" s="72">
        <v>2103</v>
      </c>
      <c r="E115" s="73" t="s">
        <v>633</v>
      </c>
      <c r="F115" s="935"/>
      <c r="G115" s="935"/>
      <c r="H115" s="935"/>
      <c r="I115" s="936"/>
      <c r="L115" s="96" t="s">
        <v>625</v>
      </c>
      <c r="M115" s="934"/>
      <c r="N115" s="937"/>
      <c r="P115" s="938"/>
      <c r="Q115" s="72"/>
      <c r="R115" s="73"/>
    </row>
    <row r="116" spans="3:18">
      <c r="D116" s="72">
        <v>2104</v>
      </c>
      <c r="E116" s="73" t="s">
        <v>634</v>
      </c>
      <c r="F116" s="935"/>
      <c r="G116" s="935"/>
      <c r="H116" s="935"/>
      <c r="I116" s="936"/>
      <c r="L116" s="96" t="s">
        <v>625</v>
      </c>
      <c r="M116" s="934"/>
      <c r="N116" s="937"/>
      <c r="P116" s="938"/>
      <c r="Q116" s="72"/>
      <c r="R116" s="73"/>
    </row>
    <row r="117" spans="3:18">
      <c r="D117" s="72">
        <v>2105</v>
      </c>
      <c r="E117" s="73" t="s">
        <v>635</v>
      </c>
      <c r="F117" s="935"/>
      <c r="G117" s="935"/>
      <c r="H117" s="935"/>
      <c r="I117" s="936"/>
      <c r="L117" s="96" t="s">
        <v>625</v>
      </c>
      <c r="M117" s="934"/>
      <c r="N117" s="937"/>
      <c r="P117" s="938"/>
      <c r="Q117" s="72"/>
      <c r="R117" s="73"/>
    </row>
    <row r="118" spans="3:18">
      <c r="D118" s="72">
        <v>2140</v>
      </c>
      <c r="E118" s="73" t="s">
        <v>636</v>
      </c>
      <c r="F118" s="935" t="s">
        <v>1071</v>
      </c>
      <c r="G118" s="935" t="s">
        <v>1080</v>
      </c>
      <c r="H118" s="935" t="s">
        <v>1071</v>
      </c>
      <c r="I118" s="936"/>
      <c r="L118" s="96" t="s">
        <v>625</v>
      </c>
      <c r="M118" s="934" t="s">
        <v>1073</v>
      </c>
      <c r="N118" s="937"/>
      <c r="P118" s="938"/>
      <c r="Q118" s="72"/>
      <c r="R118" s="73"/>
    </row>
    <row r="119" spans="3:18">
      <c r="D119" s="72">
        <v>2200</v>
      </c>
      <c r="E119" s="73" t="s">
        <v>637</v>
      </c>
      <c r="F119" s="935" t="s">
        <v>1071</v>
      </c>
      <c r="G119" s="935" t="s">
        <v>1080</v>
      </c>
      <c r="H119" s="935" t="s">
        <v>1071</v>
      </c>
      <c r="I119" s="936"/>
      <c r="L119" s="96" t="s">
        <v>625</v>
      </c>
      <c r="M119" s="934" t="s">
        <v>1073</v>
      </c>
      <c r="N119" s="937"/>
      <c r="P119" s="938"/>
      <c r="Q119" s="72"/>
      <c r="R119" s="73"/>
    </row>
    <row r="120" spans="3:18">
      <c r="C120" s="941" t="s">
        <v>1081</v>
      </c>
      <c r="D120" s="80">
        <v>2201</v>
      </c>
      <c r="E120" s="81" t="s">
        <v>1082</v>
      </c>
      <c r="F120" s="942" t="s">
        <v>1071</v>
      </c>
      <c r="G120" s="942" t="s">
        <v>1080</v>
      </c>
      <c r="H120" s="942" t="s">
        <v>1071</v>
      </c>
      <c r="I120" s="943"/>
      <c r="J120" s="944"/>
      <c r="K120" s="944"/>
      <c r="L120" s="944" t="s">
        <v>625</v>
      </c>
      <c r="M120" s="934"/>
      <c r="N120" s="937"/>
      <c r="P120" s="938"/>
      <c r="Q120" s="72"/>
      <c r="R120" s="73"/>
    </row>
    <row r="121" spans="3:18">
      <c r="D121" s="72">
        <v>2202</v>
      </c>
      <c r="E121" s="73" t="s">
        <v>638</v>
      </c>
      <c r="F121" s="935" t="s">
        <v>1071</v>
      </c>
      <c r="G121" s="935" t="s">
        <v>1080</v>
      </c>
      <c r="H121" s="935" t="s">
        <v>1071</v>
      </c>
      <c r="I121" s="936"/>
      <c r="L121" s="96" t="s">
        <v>625</v>
      </c>
      <c r="M121" s="934" t="s">
        <v>1073</v>
      </c>
      <c r="N121" s="937"/>
      <c r="P121" s="938"/>
      <c r="Q121" s="72"/>
      <c r="R121" s="73"/>
    </row>
    <row r="122" spans="3:18">
      <c r="D122" s="72">
        <v>2208</v>
      </c>
      <c r="E122" s="73" t="s">
        <v>639</v>
      </c>
      <c r="F122" s="935" t="s">
        <v>1071</v>
      </c>
      <c r="G122" s="935" t="s">
        <v>1080</v>
      </c>
      <c r="H122" s="935" t="s">
        <v>1071</v>
      </c>
      <c r="I122" s="936"/>
      <c r="L122" s="96" t="s">
        <v>625</v>
      </c>
      <c r="M122" s="934" t="s">
        <v>1073</v>
      </c>
      <c r="N122" s="937"/>
      <c r="P122" s="938"/>
      <c r="Q122" s="72"/>
      <c r="R122" s="73"/>
    </row>
    <row r="123" spans="3:18">
      <c r="D123" s="72">
        <v>2210</v>
      </c>
      <c r="E123" s="73" t="s">
        <v>640</v>
      </c>
      <c r="F123" s="935" t="s">
        <v>1071</v>
      </c>
      <c r="G123" s="935" t="s">
        <v>1080</v>
      </c>
      <c r="H123" s="935" t="s">
        <v>1071</v>
      </c>
      <c r="I123" s="936"/>
      <c r="L123" s="96" t="s">
        <v>625</v>
      </c>
      <c r="M123" s="934" t="s">
        <v>1073</v>
      </c>
      <c r="N123" s="937"/>
      <c r="P123" s="938"/>
      <c r="Q123" s="72"/>
      <c r="R123" s="73"/>
    </row>
    <row r="124" spans="3:18">
      <c r="D124" s="72">
        <v>2211</v>
      </c>
      <c r="E124" s="73" t="s">
        <v>641</v>
      </c>
      <c r="F124" s="935" t="s">
        <v>1071</v>
      </c>
      <c r="G124" s="935" t="s">
        <v>1080</v>
      </c>
      <c r="H124" s="935" t="s">
        <v>1071</v>
      </c>
      <c r="I124" s="936"/>
      <c r="L124" s="96" t="s">
        <v>625</v>
      </c>
      <c r="M124" s="934" t="s">
        <v>1073</v>
      </c>
      <c r="N124" s="937"/>
      <c r="P124" s="938"/>
      <c r="Q124" s="72"/>
      <c r="R124" s="73"/>
    </row>
    <row r="125" spans="3:18">
      <c r="D125" s="72">
        <v>2212</v>
      </c>
      <c r="E125" s="73" t="s">
        <v>642</v>
      </c>
      <c r="F125" s="935" t="s">
        <v>1071</v>
      </c>
      <c r="G125" s="935" t="s">
        <v>1080</v>
      </c>
      <c r="H125" s="935" t="s">
        <v>1071</v>
      </c>
      <c r="I125" s="936"/>
      <c r="L125" s="96" t="s">
        <v>625</v>
      </c>
      <c r="M125" s="934" t="s">
        <v>1073</v>
      </c>
      <c r="N125" s="937"/>
      <c r="P125" s="938"/>
      <c r="Q125" s="72"/>
      <c r="R125" s="73"/>
    </row>
    <row r="126" spans="3:18">
      <c r="D126" s="72">
        <v>2213</v>
      </c>
      <c r="E126" s="73" t="s">
        <v>643</v>
      </c>
      <c r="F126" s="935"/>
      <c r="G126" s="935"/>
      <c r="H126" s="935"/>
      <c r="I126" s="936"/>
      <c r="L126" s="96" t="s">
        <v>625</v>
      </c>
      <c r="M126" s="934"/>
      <c r="N126" s="937"/>
      <c r="P126" s="938"/>
      <c r="Q126" s="72"/>
      <c r="R126" s="73"/>
    </row>
    <row r="127" spans="3:18">
      <c r="D127" s="79">
        <v>2215</v>
      </c>
      <c r="E127" s="73" t="s">
        <v>644</v>
      </c>
      <c r="F127" s="935" t="s">
        <v>1071</v>
      </c>
      <c r="G127" s="935" t="s">
        <v>1080</v>
      </c>
      <c r="H127" s="935" t="s">
        <v>1071</v>
      </c>
      <c r="I127" s="936"/>
      <c r="L127" s="96" t="s">
        <v>625</v>
      </c>
      <c r="M127" s="934" t="s">
        <v>1073</v>
      </c>
      <c r="N127" s="937"/>
      <c r="P127" s="945"/>
      <c r="Q127" s="72"/>
      <c r="R127" s="73"/>
    </row>
    <row r="128" spans="3:18">
      <c r="D128" s="79">
        <v>2220</v>
      </c>
      <c r="E128" s="73" t="s">
        <v>645</v>
      </c>
      <c r="F128" s="935" t="s">
        <v>1071</v>
      </c>
      <c r="G128" s="935" t="s">
        <v>1080</v>
      </c>
      <c r="H128" s="935" t="s">
        <v>1071</v>
      </c>
      <c r="I128" s="936"/>
      <c r="L128" s="96" t="s">
        <v>625</v>
      </c>
      <c r="M128" s="934" t="s">
        <v>1073</v>
      </c>
      <c r="N128" s="937"/>
      <c r="P128" s="945"/>
      <c r="Q128" s="72"/>
      <c r="R128" s="73"/>
    </row>
    <row r="129" spans="3:18">
      <c r="C129" s="941" t="s">
        <v>1083</v>
      </c>
      <c r="D129" s="946">
        <v>2223</v>
      </c>
      <c r="E129" s="81" t="s">
        <v>646</v>
      </c>
      <c r="F129" s="942" t="s">
        <v>1071</v>
      </c>
      <c r="G129" s="942" t="s">
        <v>1080</v>
      </c>
      <c r="H129" s="942" t="s">
        <v>1071</v>
      </c>
      <c r="I129" s="943"/>
      <c r="J129" s="944"/>
      <c r="K129" s="944"/>
      <c r="L129" s="944" t="s">
        <v>625</v>
      </c>
      <c r="M129" s="934" t="s">
        <v>1073</v>
      </c>
      <c r="N129" s="937"/>
      <c r="P129" s="945"/>
      <c r="Q129" s="72"/>
      <c r="R129" s="73"/>
    </row>
    <row r="130" spans="3:18">
      <c r="C130" s="941" t="s">
        <v>1083</v>
      </c>
      <c r="D130" s="946">
        <v>2225</v>
      </c>
      <c r="E130" s="81" t="s">
        <v>647</v>
      </c>
      <c r="F130" s="942" t="s">
        <v>1071</v>
      </c>
      <c r="G130" s="942" t="s">
        <v>1080</v>
      </c>
      <c r="H130" s="942" t="s">
        <v>1071</v>
      </c>
      <c r="I130" s="943"/>
      <c r="J130" s="944"/>
      <c r="K130" s="944"/>
      <c r="L130" s="944" t="s">
        <v>625</v>
      </c>
      <c r="M130" s="934" t="s">
        <v>1073</v>
      </c>
      <c r="N130" s="937"/>
      <c r="P130" s="945"/>
      <c r="Q130" s="72"/>
      <c r="R130" s="73"/>
    </row>
    <row r="131" spans="3:18">
      <c r="D131" s="79" t="s">
        <v>648</v>
      </c>
      <c r="E131" s="73" t="s">
        <v>649</v>
      </c>
      <c r="F131" s="935" t="s">
        <v>1071</v>
      </c>
      <c r="G131" s="935" t="s">
        <v>1080</v>
      </c>
      <c r="H131" s="935" t="s">
        <v>1071</v>
      </c>
      <c r="I131" s="936"/>
      <c r="L131" s="96" t="s">
        <v>625</v>
      </c>
      <c r="M131" s="934" t="s">
        <v>1073</v>
      </c>
      <c r="N131" s="937"/>
      <c r="P131" s="945"/>
      <c r="Q131" s="72"/>
      <c r="R131" s="73"/>
    </row>
    <row r="132" spans="3:18">
      <c r="D132" s="79">
        <v>2260</v>
      </c>
      <c r="E132" s="73" t="s">
        <v>650</v>
      </c>
      <c r="F132" s="935"/>
      <c r="G132" s="935"/>
      <c r="H132" s="935"/>
      <c r="I132" s="936"/>
      <c r="L132" s="96" t="s">
        <v>625</v>
      </c>
      <c r="M132" s="934"/>
      <c r="N132" s="937"/>
      <c r="P132" s="945"/>
      <c r="Q132" s="72"/>
      <c r="R132" s="73"/>
    </row>
    <row r="133" spans="3:18">
      <c r="D133" s="72">
        <v>2290</v>
      </c>
      <c r="E133" s="73" t="s">
        <v>651</v>
      </c>
      <c r="F133" s="935" t="s">
        <v>1071</v>
      </c>
      <c r="G133" s="935" t="s">
        <v>1080</v>
      </c>
      <c r="H133" s="935" t="s">
        <v>1071</v>
      </c>
      <c r="I133" s="936"/>
      <c r="L133" s="96" t="s">
        <v>625</v>
      </c>
      <c r="M133" s="934" t="s">
        <v>1073</v>
      </c>
      <c r="N133" s="937"/>
      <c r="P133" s="938"/>
      <c r="Q133" s="72"/>
      <c r="R133" s="73"/>
    </row>
    <row r="134" spans="3:18">
      <c r="D134" s="72">
        <v>2300</v>
      </c>
      <c r="E134" s="73" t="s">
        <v>652</v>
      </c>
      <c r="F134" s="935" t="s">
        <v>1071</v>
      </c>
      <c r="G134" s="935" t="s">
        <v>1080</v>
      </c>
      <c r="H134" s="935" t="s">
        <v>1071</v>
      </c>
      <c r="I134" s="936"/>
      <c r="L134" s="96" t="s">
        <v>625</v>
      </c>
      <c r="M134" s="934" t="s">
        <v>1073</v>
      </c>
      <c r="N134" s="937"/>
      <c r="P134" s="938"/>
      <c r="Q134" s="72"/>
      <c r="R134" s="73"/>
    </row>
    <row r="135" spans="3:18">
      <c r="D135" s="72">
        <v>2500</v>
      </c>
      <c r="E135" s="73" t="s">
        <v>653</v>
      </c>
      <c r="F135" s="935" t="s">
        <v>1071</v>
      </c>
      <c r="G135" s="935" t="s">
        <v>1080</v>
      </c>
      <c r="H135" s="935" t="s">
        <v>1071</v>
      </c>
      <c r="I135" s="936"/>
      <c r="L135" s="96" t="s">
        <v>654</v>
      </c>
      <c r="M135" s="934"/>
      <c r="N135" s="937"/>
      <c r="P135" s="938"/>
      <c r="Q135" s="72"/>
      <c r="R135" s="73"/>
    </row>
    <row r="136" spans="3:18">
      <c r="D136" s="72">
        <v>2510</v>
      </c>
      <c r="E136" s="73" t="s">
        <v>655</v>
      </c>
      <c r="F136" s="935" t="s">
        <v>1071</v>
      </c>
      <c r="G136" s="935" t="s">
        <v>1080</v>
      </c>
      <c r="H136" s="935" t="s">
        <v>1071</v>
      </c>
      <c r="I136" s="936"/>
      <c r="L136" s="96" t="s">
        <v>654</v>
      </c>
      <c r="M136" s="934" t="s">
        <v>1073</v>
      </c>
      <c r="N136" s="937"/>
      <c r="P136" s="938"/>
      <c r="Q136" s="72"/>
      <c r="R136" s="73"/>
    </row>
    <row r="137" spans="3:18">
      <c r="D137" s="72">
        <v>2520</v>
      </c>
      <c r="E137" s="73" t="s">
        <v>656</v>
      </c>
      <c r="F137" s="935" t="s">
        <v>1071</v>
      </c>
      <c r="G137" s="935" t="s">
        <v>1080</v>
      </c>
      <c r="H137" s="935" t="s">
        <v>1071</v>
      </c>
      <c r="I137" s="936"/>
      <c r="L137" s="96" t="s">
        <v>654</v>
      </c>
      <c r="M137" s="934" t="s">
        <v>1073</v>
      </c>
      <c r="N137" s="937"/>
      <c r="P137" s="938"/>
      <c r="Q137" s="72"/>
      <c r="R137" s="73"/>
    </row>
    <row r="138" spans="3:18">
      <c r="D138" s="72">
        <v>2550</v>
      </c>
      <c r="E138" s="73" t="s">
        <v>657</v>
      </c>
      <c r="F138" s="935" t="s">
        <v>1071</v>
      </c>
      <c r="G138" s="935" t="s">
        <v>1080</v>
      </c>
      <c r="H138" s="935" t="s">
        <v>1071</v>
      </c>
      <c r="I138" s="936"/>
      <c r="L138" s="96" t="s">
        <v>654</v>
      </c>
      <c r="M138" s="934" t="s">
        <v>1073</v>
      </c>
      <c r="N138" s="937"/>
      <c r="P138" s="938"/>
      <c r="Q138" s="72"/>
      <c r="R138" s="73"/>
    </row>
    <row r="139" spans="3:18">
      <c r="C139" s="941" t="s">
        <v>1084</v>
      </c>
      <c r="D139" s="80">
        <v>2550.0010000000002</v>
      </c>
      <c r="E139" s="81" t="s">
        <v>658</v>
      </c>
      <c r="F139" s="942"/>
      <c r="G139" s="942"/>
      <c r="H139" s="942"/>
      <c r="I139" s="943"/>
      <c r="J139" s="944"/>
      <c r="K139" s="944"/>
      <c r="L139" s="944" t="s">
        <v>654</v>
      </c>
      <c r="M139" s="934"/>
      <c r="N139" s="937"/>
      <c r="P139" s="938"/>
      <c r="Q139" s="72"/>
      <c r="R139" s="73"/>
    </row>
    <row r="140" spans="3:18">
      <c r="D140" s="72">
        <v>2550.1</v>
      </c>
      <c r="E140" s="73" t="s">
        <v>659</v>
      </c>
      <c r="F140" s="935"/>
      <c r="G140" s="935"/>
      <c r="H140" s="935"/>
      <c r="I140" s="936"/>
      <c r="L140" s="96" t="s">
        <v>654</v>
      </c>
      <c r="M140" s="934"/>
      <c r="N140" s="937"/>
      <c r="P140" s="938"/>
      <c r="Q140" s="72"/>
      <c r="R140" s="73"/>
    </row>
    <row r="141" spans="3:18">
      <c r="D141" s="72">
        <v>2550.1999999999998</v>
      </c>
      <c r="E141" s="73" t="s">
        <v>660</v>
      </c>
      <c r="F141" s="935"/>
      <c r="G141" s="935"/>
      <c r="H141" s="935"/>
      <c r="I141" s="936"/>
      <c r="L141" s="96" t="s">
        <v>654</v>
      </c>
      <c r="M141" s="934"/>
      <c r="N141" s="937"/>
      <c r="P141" s="938"/>
      <c r="Q141" s="72"/>
      <c r="R141" s="73"/>
    </row>
    <row r="142" spans="3:18">
      <c r="D142" s="72">
        <v>2551</v>
      </c>
      <c r="E142" s="73" t="s">
        <v>661</v>
      </c>
      <c r="F142" s="935"/>
      <c r="G142" s="935"/>
      <c r="H142" s="935"/>
      <c r="I142" s="936"/>
      <c r="L142" s="96" t="s">
        <v>654</v>
      </c>
      <c r="M142" s="934"/>
      <c r="N142" s="937"/>
      <c r="P142" s="938"/>
      <c r="Q142" s="72"/>
      <c r="R142" s="73"/>
    </row>
    <row r="143" spans="3:18">
      <c r="D143" s="72">
        <v>2555</v>
      </c>
      <c r="E143" s="73" t="s">
        <v>662</v>
      </c>
      <c r="F143" s="935" t="s">
        <v>1071</v>
      </c>
      <c r="G143" s="935" t="s">
        <v>1080</v>
      </c>
      <c r="H143" s="935" t="s">
        <v>1071</v>
      </c>
      <c r="I143" s="936"/>
      <c r="L143" s="96" t="s">
        <v>654</v>
      </c>
      <c r="M143" s="934" t="s">
        <v>1073</v>
      </c>
      <c r="N143" s="937"/>
      <c r="P143" s="938"/>
      <c r="Q143" s="72"/>
      <c r="R143" s="73"/>
    </row>
    <row r="144" spans="3:18">
      <c r="D144" s="72">
        <v>2560</v>
      </c>
      <c r="E144" s="73" t="s">
        <v>663</v>
      </c>
      <c r="F144" s="935" t="s">
        <v>1071</v>
      </c>
      <c r="G144" s="935" t="s">
        <v>1080</v>
      </c>
      <c r="H144" s="935" t="s">
        <v>1071</v>
      </c>
      <c r="I144" s="936"/>
      <c r="L144" s="96" t="s">
        <v>654</v>
      </c>
      <c r="M144" s="934" t="s">
        <v>1073</v>
      </c>
      <c r="N144" s="937"/>
      <c r="P144" s="938"/>
      <c r="Q144" s="72"/>
      <c r="R144" s="73"/>
    </row>
    <row r="145" spans="3:20">
      <c r="D145" s="72">
        <v>2570</v>
      </c>
      <c r="E145" s="73" t="s">
        <v>1085</v>
      </c>
      <c r="F145" s="935"/>
      <c r="G145" s="935"/>
      <c r="H145" s="935"/>
      <c r="I145" s="936"/>
      <c r="L145" s="96" t="s">
        <v>654</v>
      </c>
      <c r="M145" s="934"/>
      <c r="N145" s="937"/>
      <c r="P145" s="938"/>
      <c r="Q145" s="72"/>
      <c r="R145" s="73"/>
    </row>
    <row r="146" spans="3:20">
      <c r="D146" s="72">
        <v>3010</v>
      </c>
      <c r="E146" s="73" t="s">
        <v>664</v>
      </c>
      <c r="F146" s="935" t="s">
        <v>1071</v>
      </c>
      <c r="G146" s="935" t="s">
        <v>1080</v>
      </c>
      <c r="H146" s="935" t="s">
        <v>1071</v>
      </c>
      <c r="I146" s="936"/>
      <c r="L146" s="96" t="s">
        <v>665</v>
      </c>
      <c r="M146" s="934" t="s">
        <v>1073</v>
      </c>
      <c r="N146" s="937"/>
      <c r="P146" s="938"/>
      <c r="Q146" s="72"/>
      <c r="R146" s="73"/>
      <c r="T146" s="940"/>
    </row>
    <row r="147" spans="3:20">
      <c r="D147" s="72">
        <v>3012</v>
      </c>
      <c r="E147" s="73" t="s">
        <v>666</v>
      </c>
      <c r="F147" s="935" t="s">
        <v>1071</v>
      </c>
      <c r="G147" s="935" t="s">
        <v>1080</v>
      </c>
      <c r="H147" s="935" t="s">
        <v>1071</v>
      </c>
      <c r="I147" s="936"/>
      <c r="L147" s="96" t="s">
        <v>665</v>
      </c>
      <c r="M147" s="934" t="s">
        <v>1073</v>
      </c>
      <c r="N147" s="937"/>
      <c r="P147" s="938"/>
      <c r="Q147" s="72"/>
      <c r="R147" s="73"/>
      <c r="T147" s="940"/>
    </row>
    <row r="148" spans="3:20">
      <c r="D148" s="72">
        <v>3013</v>
      </c>
      <c r="E148" s="73" t="s">
        <v>667</v>
      </c>
      <c r="F148" s="935" t="s">
        <v>1071</v>
      </c>
      <c r="G148" s="935" t="s">
        <v>1080</v>
      </c>
      <c r="H148" s="935" t="s">
        <v>1071</v>
      </c>
      <c r="I148" s="936"/>
      <c r="L148" s="96" t="s">
        <v>665</v>
      </c>
      <c r="M148" s="934" t="s">
        <v>1073</v>
      </c>
      <c r="N148" s="937"/>
      <c r="P148" s="938"/>
      <c r="Q148" s="72"/>
      <c r="R148" s="73"/>
      <c r="T148" s="940"/>
    </row>
    <row r="149" spans="3:20">
      <c r="D149" s="72">
        <v>3014</v>
      </c>
      <c r="E149" s="73" t="s">
        <v>1086</v>
      </c>
      <c r="F149" s="935" t="s">
        <v>1071</v>
      </c>
      <c r="G149" s="935" t="s">
        <v>1080</v>
      </c>
      <c r="H149" s="935" t="s">
        <v>1071</v>
      </c>
      <c r="I149" s="936"/>
      <c r="L149" s="96" t="s">
        <v>665</v>
      </c>
      <c r="M149" s="934"/>
      <c r="N149" s="937"/>
      <c r="P149" s="938"/>
      <c r="Q149" s="72"/>
      <c r="R149" s="73"/>
      <c r="T149" s="940"/>
    </row>
    <row r="150" spans="3:20">
      <c r="D150" s="72">
        <v>3020</v>
      </c>
      <c r="E150" s="73" t="s">
        <v>668</v>
      </c>
      <c r="F150" s="935" t="s">
        <v>1071</v>
      </c>
      <c r="G150" s="935" t="s">
        <v>1080</v>
      </c>
      <c r="H150" s="935" t="s">
        <v>1071</v>
      </c>
      <c r="I150" s="936"/>
      <c r="L150" s="96" t="s">
        <v>665</v>
      </c>
      <c r="M150" s="934" t="s">
        <v>1073</v>
      </c>
      <c r="N150" s="937"/>
      <c r="P150" s="938"/>
      <c r="Q150" s="72"/>
      <c r="R150" s="73"/>
      <c r="T150" s="940"/>
    </row>
    <row r="151" spans="3:20">
      <c r="D151" s="72">
        <v>3021</v>
      </c>
      <c r="E151" s="73" t="s">
        <v>669</v>
      </c>
      <c r="F151" s="935"/>
      <c r="G151" s="935"/>
      <c r="H151" s="935"/>
      <c r="I151" s="936"/>
      <c r="L151" s="96" t="s">
        <v>665</v>
      </c>
      <c r="M151" s="934"/>
      <c r="N151" s="937"/>
      <c r="P151" s="938"/>
      <c r="Q151" s="72"/>
      <c r="R151" s="73"/>
      <c r="T151" s="940"/>
    </row>
    <row r="152" spans="3:20">
      <c r="D152" s="72">
        <v>3022</v>
      </c>
      <c r="E152" s="73" t="s">
        <v>670</v>
      </c>
      <c r="F152" s="935"/>
      <c r="G152" s="935"/>
      <c r="H152" s="935"/>
      <c r="I152" s="936"/>
      <c r="L152" s="96" t="s">
        <v>665</v>
      </c>
      <c r="M152" s="934"/>
      <c r="N152" s="937"/>
      <c r="P152" s="938"/>
      <c r="Q152" s="72"/>
      <c r="R152" s="73"/>
      <c r="T152" s="940"/>
    </row>
    <row r="153" spans="3:20">
      <c r="D153" s="72">
        <v>3025</v>
      </c>
      <c r="E153" s="73" t="s">
        <v>671</v>
      </c>
      <c r="F153" s="935"/>
      <c r="G153" s="935"/>
      <c r="H153" s="935"/>
      <c r="I153" s="936"/>
      <c r="L153" s="96" t="s">
        <v>665</v>
      </c>
      <c r="M153" s="934"/>
      <c r="N153" s="937"/>
      <c r="P153" s="938"/>
      <c r="Q153" s="72"/>
      <c r="R153" s="73"/>
      <c r="T153" s="940"/>
    </row>
    <row r="154" spans="3:20">
      <c r="D154" s="72">
        <v>3026</v>
      </c>
      <c r="E154" s="73" t="s">
        <v>672</v>
      </c>
      <c r="F154" s="935"/>
      <c r="G154" s="935"/>
      <c r="H154" s="935"/>
      <c r="I154" s="936"/>
      <c r="L154" s="96" t="s">
        <v>665</v>
      </c>
      <c r="M154" s="934"/>
      <c r="N154" s="937"/>
      <c r="P154" s="938"/>
      <c r="Q154" s="72"/>
      <c r="R154" s="73"/>
      <c r="T154" s="940"/>
    </row>
    <row r="155" spans="3:20">
      <c r="D155" s="72">
        <v>3050</v>
      </c>
      <c r="E155" s="73" t="s">
        <v>673</v>
      </c>
      <c r="F155" s="935" t="s">
        <v>1071</v>
      </c>
      <c r="G155" s="935" t="s">
        <v>1080</v>
      </c>
      <c r="H155" s="935" t="s">
        <v>1071</v>
      </c>
      <c r="I155" s="936"/>
      <c r="L155" s="96" t="s">
        <v>665</v>
      </c>
      <c r="M155" s="934" t="s">
        <v>1073</v>
      </c>
      <c r="N155" s="937"/>
      <c r="P155" s="938"/>
      <c r="Q155" s="72"/>
      <c r="R155" s="73"/>
      <c r="T155" s="940"/>
    </row>
    <row r="156" spans="3:20">
      <c r="C156" s="939" t="s">
        <v>1087</v>
      </c>
      <c r="D156" s="72">
        <v>3060</v>
      </c>
      <c r="E156" s="73" t="s">
        <v>1088</v>
      </c>
      <c r="F156" s="935" t="s">
        <v>1071</v>
      </c>
      <c r="G156" s="935" t="s">
        <v>1080</v>
      </c>
      <c r="H156" s="935" t="s">
        <v>1071</v>
      </c>
      <c r="I156" s="936"/>
      <c r="L156" s="96" t="s">
        <v>665</v>
      </c>
      <c r="M156" s="934"/>
      <c r="N156" s="937"/>
      <c r="P156" s="938"/>
      <c r="Q156" s="72"/>
      <c r="R156" s="73"/>
      <c r="T156" s="940"/>
    </row>
    <row r="157" spans="3:20">
      <c r="C157" s="929"/>
      <c r="D157" s="72">
        <v>3910</v>
      </c>
      <c r="E157" s="73" t="s">
        <v>674</v>
      </c>
      <c r="F157" s="935" t="s">
        <v>1071</v>
      </c>
      <c r="G157" s="935" t="s">
        <v>1080</v>
      </c>
      <c r="H157" s="935" t="s">
        <v>1089</v>
      </c>
      <c r="I157" s="936"/>
      <c r="L157" s="96" t="s">
        <v>675</v>
      </c>
      <c r="M157" s="934" t="s">
        <v>1073</v>
      </c>
      <c r="N157" s="937"/>
      <c r="P157" s="938"/>
      <c r="Q157" s="72"/>
      <c r="R157" s="73"/>
      <c r="T157" s="940"/>
    </row>
    <row r="158" spans="3:20">
      <c r="D158" s="72">
        <v>4010</v>
      </c>
      <c r="E158" s="73" t="s">
        <v>70</v>
      </c>
      <c r="F158" s="935" t="s">
        <v>1090</v>
      </c>
      <c r="G158" s="935" t="s">
        <v>1080</v>
      </c>
      <c r="H158" s="935" t="s">
        <v>1091</v>
      </c>
      <c r="I158" s="72">
        <v>3910</v>
      </c>
      <c r="L158" s="96" t="s">
        <v>232</v>
      </c>
      <c r="M158" s="934" t="s">
        <v>1073</v>
      </c>
      <c r="N158" s="937"/>
      <c r="P158" s="938"/>
      <c r="Q158" s="72"/>
      <c r="R158" s="73"/>
      <c r="T158" s="940"/>
    </row>
    <row r="159" spans="3:20">
      <c r="D159" s="72">
        <v>4011</v>
      </c>
      <c r="E159" s="73" t="s">
        <v>233</v>
      </c>
      <c r="F159" s="935"/>
      <c r="G159" s="935"/>
      <c r="H159" s="935"/>
      <c r="I159" s="72"/>
      <c r="L159" s="96" t="s">
        <v>232</v>
      </c>
      <c r="M159" s="934"/>
      <c r="N159" s="937"/>
      <c r="P159" s="938"/>
      <c r="Q159" s="72"/>
      <c r="R159" s="73"/>
      <c r="T159" s="940"/>
    </row>
    <row r="160" spans="3:20">
      <c r="D160" s="72">
        <v>4012</v>
      </c>
      <c r="E160" s="73" t="s">
        <v>676</v>
      </c>
      <c r="F160" s="935"/>
      <c r="G160" s="935"/>
      <c r="H160" s="935"/>
      <c r="I160" s="72"/>
      <c r="L160" s="96" t="s">
        <v>232</v>
      </c>
      <c r="M160" s="934"/>
      <c r="N160" s="937"/>
      <c r="P160" s="938"/>
      <c r="Q160" s="72"/>
      <c r="R160" s="73"/>
      <c r="T160" s="940"/>
    </row>
    <row r="161" spans="3:20">
      <c r="D161" s="72">
        <v>4020</v>
      </c>
      <c r="E161" s="73" t="s">
        <v>234</v>
      </c>
      <c r="F161" s="935" t="s">
        <v>1090</v>
      </c>
      <c r="G161" s="935" t="s">
        <v>1080</v>
      </c>
      <c r="H161" s="935" t="s">
        <v>1091</v>
      </c>
      <c r="I161" s="72">
        <v>3910</v>
      </c>
      <c r="L161" s="96" t="s">
        <v>232</v>
      </c>
      <c r="M161" s="934" t="s">
        <v>1073</v>
      </c>
      <c r="N161" s="937"/>
      <c r="P161" s="938"/>
      <c r="Q161" s="938"/>
      <c r="R161" s="73"/>
      <c r="T161" s="940"/>
    </row>
    <row r="162" spans="3:20">
      <c r="D162" s="72">
        <v>4030</v>
      </c>
      <c r="E162" s="73" t="s">
        <v>235</v>
      </c>
      <c r="F162" s="935" t="s">
        <v>1090</v>
      </c>
      <c r="G162" s="935" t="s">
        <v>1080</v>
      </c>
      <c r="H162" s="935" t="s">
        <v>1091</v>
      </c>
      <c r="I162" s="72">
        <v>3910</v>
      </c>
      <c r="L162" s="96" t="s">
        <v>232</v>
      </c>
      <c r="M162" s="934" t="s">
        <v>1073</v>
      </c>
      <c r="N162" s="937"/>
      <c r="P162" s="938"/>
      <c r="Q162" s="72"/>
      <c r="R162" s="73"/>
      <c r="T162" s="940"/>
    </row>
    <row r="163" spans="3:20">
      <c r="D163" s="72">
        <v>4400</v>
      </c>
      <c r="E163" s="73" t="s">
        <v>237</v>
      </c>
      <c r="F163" s="935" t="s">
        <v>1090</v>
      </c>
      <c r="G163" s="935" t="s">
        <v>1080</v>
      </c>
      <c r="H163" s="935" t="s">
        <v>1091</v>
      </c>
      <c r="I163" s="72">
        <v>3910</v>
      </c>
      <c r="L163" s="96" t="s">
        <v>236</v>
      </c>
      <c r="M163" s="934" t="s">
        <v>1073</v>
      </c>
      <c r="N163" s="937"/>
      <c r="P163" s="938"/>
      <c r="Q163" s="72"/>
      <c r="R163" s="73"/>
      <c r="T163" s="940"/>
    </row>
    <row r="164" spans="3:20">
      <c r="D164" s="72">
        <v>4405</v>
      </c>
      <c r="E164" s="73" t="s">
        <v>238</v>
      </c>
      <c r="F164" s="935" t="s">
        <v>1090</v>
      </c>
      <c r="G164" s="935" t="s">
        <v>1080</v>
      </c>
      <c r="H164" s="935" t="s">
        <v>1091</v>
      </c>
      <c r="I164" s="72">
        <v>3910</v>
      </c>
      <c r="L164" s="96" t="s">
        <v>236</v>
      </c>
      <c r="M164" s="934" t="s">
        <v>1073</v>
      </c>
      <c r="N164" s="937"/>
      <c r="P164" s="938"/>
      <c r="Q164" s="72"/>
      <c r="R164" s="73"/>
      <c r="T164" s="940"/>
    </row>
    <row r="165" spans="3:20" hidden="1">
      <c r="C165" s="947">
        <v>2020</v>
      </c>
      <c r="D165" s="86">
        <v>4406</v>
      </c>
      <c r="E165" s="87" t="s">
        <v>239</v>
      </c>
      <c r="F165" s="948"/>
      <c r="G165" s="948"/>
      <c r="H165" s="948"/>
      <c r="I165" s="86"/>
      <c r="J165" s="949"/>
      <c r="K165" s="949"/>
      <c r="L165" s="949" t="s">
        <v>236</v>
      </c>
      <c r="M165" s="934"/>
      <c r="N165" s="937"/>
      <c r="P165" s="950" t="s">
        <v>1092</v>
      </c>
      <c r="Q165" s="72"/>
      <c r="R165" s="73"/>
      <c r="T165" s="940"/>
    </row>
    <row r="166" spans="3:20">
      <c r="D166" s="72">
        <v>4410</v>
      </c>
      <c r="E166" s="73" t="s">
        <v>240</v>
      </c>
      <c r="F166" s="935" t="s">
        <v>1090</v>
      </c>
      <c r="G166" s="935" t="s">
        <v>1080</v>
      </c>
      <c r="H166" s="935" t="s">
        <v>1091</v>
      </c>
      <c r="I166" s="72">
        <v>3910</v>
      </c>
      <c r="L166" s="96" t="s">
        <v>236</v>
      </c>
      <c r="M166" s="934" t="s">
        <v>1073</v>
      </c>
      <c r="N166" s="937"/>
      <c r="P166" s="938"/>
      <c r="Q166" s="72"/>
      <c r="R166" s="73"/>
      <c r="T166" s="940"/>
    </row>
    <row r="167" spans="3:20">
      <c r="D167" s="72">
        <v>4510</v>
      </c>
      <c r="E167" s="73" t="s">
        <v>47</v>
      </c>
      <c r="F167" s="935" t="s">
        <v>1090</v>
      </c>
      <c r="G167" s="935" t="s">
        <v>1080</v>
      </c>
      <c r="H167" s="935" t="s">
        <v>1091</v>
      </c>
      <c r="I167" s="72">
        <v>3910</v>
      </c>
      <c r="L167" s="96" t="s">
        <v>236</v>
      </c>
      <c r="M167" s="934" t="s">
        <v>1073</v>
      </c>
      <c r="N167" s="937"/>
      <c r="P167" s="938"/>
      <c r="Q167" s="72"/>
      <c r="R167" s="73"/>
      <c r="T167" s="940"/>
    </row>
    <row r="168" spans="3:20">
      <c r="D168" s="72">
        <v>4511</v>
      </c>
      <c r="E168" s="73" t="s">
        <v>677</v>
      </c>
      <c r="F168" s="935" t="s">
        <v>1090</v>
      </c>
      <c r="G168" s="935" t="s">
        <v>1080</v>
      </c>
      <c r="H168" s="935" t="s">
        <v>1091</v>
      </c>
      <c r="I168" s="72">
        <v>3910</v>
      </c>
      <c r="L168" s="96" t="s">
        <v>236</v>
      </c>
      <c r="M168" s="934"/>
      <c r="N168" s="937"/>
      <c r="P168" s="938"/>
      <c r="Q168" s="72"/>
      <c r="R168" s="73"/>
      <c r="T168" s="940"/>
    </row>
    <row r="169" spans="3:20">
      <c r="D169" s="72">
        <v>4515</v>
      </c>
      <c r="E169" s="73" t="s">
        <v>241</v>
      </c>
      <c r="F169" s="935" t="s">
        <v>1090</v>
      </c>
      <c r="G169" s="935" t="s">
        <v>1080</v>
      </c>
      <c r="H169" s="935" t="s">
        <v>1091</v>
      </c>
      <c r="I169" s="72">
        <v>3910</v>
      </c>
      <c r="L169" s="96" t="s">
        <v>236</v>
      </c>
      <c r="M169" s="934" t="s">
        <v>1073</v>
      </c>
      <c r="N169" s="937"/>
      <c r="P169" s="938"/>
      <c r="Q169" s="72"/>
      <c r="R169" s="73"/>
      <c r="T169" s="940"/>
    </row>
    <row r="170" spans="3:20">
      <c r="D170" s="72">
        <v>4520</v>
      </c>
      <c r="E170" s="73" t="s">
        <v>242</v>
      </c>
      <c r="F170" s="935" t="s">
        <v>1090</v>
      </c>
      <c r="G170" s="935" t="s">
        <v>1080</v>
      </c>
      <c r="H170" s="935" t="s">
        <v>1091</v>
      </c>
      <c r="I170" s="72">
        <v>3910</v>
      </c>
      <c r="L170" s="96" t="s">
        <v>236</v>
      </c>
      <c r="M170" s="934" t="s">
        <v>1073</v>
      </c>
      <c r="N170" s="937"/>
      <c r="P170" s="938"/>
      <c r="Q170" s="72"/>
      <c r="R170" s="73"/>
      <c r="T170" s="940"/>
    </row>
    <row r="171" spans="3:20">
      <c r="D171" s="72">
        <v>4525</v>
      </c>
      <c r="E171" s="73" t="s">
        <v>243</v>
      </c>
      <c r="F171" s="935" t="s">
        <v>1090</v>
      </c>
      <c r="G171" s="935" t="s">
        <v>1080</v>
      </c>
      <c r="H171" s="935" t="s">
        <v>1091</v>
      </c>
      <c r="I171" s="72">
        <v>3910</v>
      </c>
      <c r="L171" s="96" t="s">
        <v>236</v>
      </c>
      <c r="M171" s="934" t="s">
        <v>1073</v>
      </c>
      <c r="N171" s="937"/>
      <c r="P171" s="938"/>
      <c r="Q171" s="72"/>
      <c r="R171" s="73"/>
      <c r="T171" s="940"/>
    </row>
    <row r="172" spans="3:20">
      <c r="C172" s="929"/>
      <c r="D172" s="72">
        <v>4530</v>
      </c>
      <c r="E172" s="73" t="s">
        <v>678</v>
      </c>
      <c r="F172" s="935" t="s">
        <v>1090</v>
      </c>
      <c r="G172" s="935" t="s">
        <v>1080</v>
      </c>
      <c r="H172" s="935" t="s">
        <v>1091</v>
      </c>
      <c r="I172" s="72">
        <v>3910</v>
      </c>
      <c r="L172" s="96" t="s">
        <v>236</v>
      </c>
      <c r="M172" s="934" t="s">
        <v>1073</v>
      </c>
      <c r="N172" s="937"/>
      <c r="P172" s="938"/>
      <c r="Q172" s="72"/>
      <c r="R172" s="73"/>
      <c r="T172" s="940"/>
    </row>
    <row r="173" spans="3:20" hidden="1">
      <c r="D173" s="72">
        <v>4535</v>
      </c>
      <c r="E173" s="73" t="s">
        <v>244</v>
      </c>
      <c r="F173" s="935" t="s">
        <v>1090</v>
      </c>
      <c r="G173" s="935" t="s">
        <v>1080</v>
      </c>
      <c r="H173" s="935" t="s">
        <v>1091</v>
      </c>
      <c r="I173" s="72">
        <v>3910</v>
      </c>
      <c r="L173" s="96" t="s">
        <v>236</v>
      </c>
      <c r="M173" s="934" t="s">
        <v>1073</v>
      </c>
      <c r="N173" s="937"/>
      <c r="P173" s="938"/>
      <c r="Q173" s="951" t="s">
        <v>1092</v>
      </c>
      <c r="R173" s="73" t="s">
        <v>1093</v>
      </c>
      <c r="T173" s="940"/>
    </row>
    <row r="174" spans="3:20">
      <c r="D174" s="72">
        <v>4540</v>
      </c>
      <c r="E174" s="73" t="s">
        <v>245</v>
      </c>
      <c r="F174" s="935" t="s">
        <v>1090</v>
      </c>
      <c r="G174" s="935" t="s">
        <v>1080</v>
      </c>
      <c r="H174" s="935" t="s">
        <v>1091</v>
      </c>
      <c r="I174" s="72">
        <v>3910</v>
      </c>
      <c r="L174" s="96" t="s">
        <v>236</v>
      </c>
      <c r="M174" s="934" t="s">
        <v>1073</v>
      </c>
      <c r="N174" s="937"/>
      <c r="P174" s="938"/>
      <c r="Q174" s="72"/>
      <c r="R174" s="73"/>
      <c r="T174" s="940"/>
    </row>
    <row r="175" spans="3:20">
      <c r="D175" s="72">
        <v>4541</v>
      </c>
      <c r="E175" s="73" t="s">
        <v>246</v>
      </c>
      <c r="F175" s="935"/>
      <c r="G175" s="935"/>
      <c r="H175" s="935"/>
      <c r="I175" s="72"/>
      <c r="L175" s="96" t="s">
        <v>236</v>
      </c>
      <c r="M175" s="934"/>
      <c r="N175" s="937"/>
      <c r="P175" s="938"/>
      <c r="Q175" s="72"/>
      <c r="R175" s="73"/>
      <c r="T175" s="940"/>
    </row>
    <row r="176" spans="3:20" hidden="1">
      <c r="C176" s="947">
        <v>2020</v>
      </c>
      <c r="D176" s="86">
        <v>4545</v>
      </c>
      <c r="E176" s="87" t="s">
        <v>247</v>
      </c>
      <c r="F176" s="948" t="s">
        <v>1090</v>
      </c>
      <c r="G176" s="948" t="s">
        <v>1080</v>
      </c>
      <c r="H176" s="948" t="s">
        <v>1091</v>
      </c>
      <c r="I176" s="86">
        <v>3910</v>
      </c>
      <c r="J176" s="949"/>
      <c r="K176" s="949"/>
      <c r="L176" s="949" t="s">
        <v>236</v>
      </c>
      <c r="M176" s="934" t="s">
        <v>1073</v>
      </c>
      <c r="N176" s="937"/>
      <c r="P176" s="950" t="s">
        <v>1092</v>
      </c>
      <c r="Q176" s="72"/>
      <c r="R176" s="73"/>
      <c r="T176" s="940"/>
    </row>
    <row r="177" spans="2:20">
      <c r="C177" s="929"/>
      <c r="D177" s="72">
        <v>4550</v>
      </c>
      <c r="E177" s="73" t="s">
        <v>248</v>
      </c>
      <c r="F177" s="935" t="s">
        <v>1090</v>
      </c>
      <c r="G177" s="935" t="s">
        <v>1080</v>
      </c>
      <c r="H177" s="935" t="s">
        <v>1091</v>
      </c>
      <c r="I177" s="72">
        <v>3910</v>
      </c>
      <c r="L177" s="96" t="s">
        <v>236</v>
      </c>
      <c r="M177" s="934" t="s">
        <v>1073</v>
      </c>
      <c r="N177" s="937"/>
      <c r="P177" s="938"/>
      <c r="Q177" s="72"/>
      <c r="R177" s="73"/>
      <c r="T177" s="940"/>
    </row>
    <row r="178" spans="2:20">
      <c r="D178" s="72">
        <v>4560</v>
      </c>
      <c r="E178" s="73" t="s">
        <v>249</v>
      </c>
      <c r="F178" s="935" t="s">
        <v>1090</v>
      </c>
      <c r="G178" s="935" t="s">
        <v>1080</v>
      </c>
      <c r="H178" s="935" t="s">
        <v>1091</v>
      </c>
      <c r="I178" s="72">
        <v>3910</v>
      </c>
      <c r="L178" s="96" t="s">
        <v>236</v>
      </c>
      <c r="M178" s="934" t="s">
        <v>1073</v>
      </c>
      <c r="N178" s="937"/>
      <c r="P178" s="938"/>
      <c r="Q178" s="72"/>
      <c r="R178" s="73"/>
      <c r="T178" s="940"/>
    </row>
    <row r="179" spans="2:20">
      <c r="D179" s="72">
        <v>4590</v>
      </c>
      <c r="E179" s="73" t="s">
        <v>250</v>
      </c>
      <c r="F179" s="935"/>
      <c r="G179" s="935"/>
      <c r="H179" s="935"/>
      <c r="I179" s="72"/>
      <c r="L179" s="96" t="s">
        <v>236</v>
      </c>
      <c r="M179" s="934"/>
      <c r="N179" s="937"/>
      <c r="P179" s="938"/>
      <c r="Q179" s="72"/>
      <c r="R179" s="73"/>
      <c r="T179" s="940"/>
    </row>
    <row r="180" spans="2:20">
      <c r="D180" s="72">
        <v>4700</v>
      </c>
      <c r="E180" s="73" t="s">
        <v>679</v>
      </c>
      <c r="F180" s="935" t="s">
        <v>1090</v>
      </c>
      <c r="G180" s="935" t="s">
        <v>1080</v>
      </c>
      <c r="H180" s="935" t="s">
        <v>1091</v>
      </c>
      <c r="I180" s="72">
        <v>3910</v>
      </c>
      <c r="L180" s="96" t="s">
        <v>251</v>
      </c>
      <c r="M180" s="934"/>
      <c r="N180" s="937"/>
      <c r="P180" s="938"/>
      <c r="Q180" s="72"/>
      <c r="R180" s="73"/>
      <c r="T180" s="940"/>
    </row>
    <row r="181" spans="2:20">
      <c r="B181" s="72"/>
      <c r="D181" s="72">
        <v>4710</v>
      </c>
      <c r="E181" s="73" t="s">
        <v>894</v>
      </c>
      <c r="F181" s="935" t="s">
        <v>1090</v>
      </c>
      <c r="G181" s="935" t="s">
        <v>1080</v>
      </c>
      <c r="H181" s="935" t="s">
        <v>1091</v>
      </c>
      <c r="I181" s="72">
        <v>3910</v>
      </c>
      <c r="L181" s="96" t="s">
        <v>251</v>
      </c>
      <c r="M181" s="934" t="s">
        <v>1073</v>
      </c>
      <c r="N181" s="937"/>
      <c r="P181" s="938"/>
      <c r="Q181" s="72"/>
      <c r="R181" s="73"/>
      <c r="T181" s="940"/>
    </row>
    <row r="182" spans="2:20">
      <c r="B182" s="72"/>
      <c r="D182" s="72">
        <v>4810</v>
      </c>
      <c r="E182" s="73" t="s">
        <v>252</v>
      </c>
      <c r="F182" s="935" t="s">
        <v>1090</v>
      </c>
      <c r="G182" s="935" t="s">
        <v>1080</v>
      </c>
      <c r="H182" s="935" t="s">
        <v>1091</v>
      </c>
      <c r="I182" s="72">
        <v>3910</v>
      </c>
      <c r="L182" s="96" t="s">
        <v>251</v>
      </c>
      <c r="M182" s="934" t="s">
        <v>1073</v>
      </c>
      <c r="N182" s="937"/>
      <c r="P182" s="938"/>
      <c r="Q182" s="72"/>
      <c r="R182" s="73"/>
      <c r="T182" s="940"/>
    </row>
    <row r="183" spans="2:20">
      <c r="B183" s="72"/>
      <c r="D183" s="72">
        <v>4811</v>
      </c>
      <c r="E183" s="73" t="s">
        <v>253</v>
      </c>
      <c r="F183" s="935"/>
      <c r="G183" s="935"/>
      <c r="H183" s="935"/>
      <c r="I183" s="72"/>
      <c r="L183" s="96" t="s">
        <v>251</v>
      </c>
      <c r="M183" s="934"/>
      <c r="N183" s="937"/>
      <c r="P183" s="938"/>
      <c r="Q183" s="72"/>
      <c r="R183" s="73"/>
      <c r="T183" s="940"/>
    </row>
    <row r="184" spans="2:20">
      <c r="B184" s="72"/>
      <c r="D184" s="72">
        <v>4813</v>
      </c>
      <c r="E184" s="73" t="s">
        <v>254</v>
      </c>
      <c r="F184" s="935" t="s">
        <v>1090</v>
      </c>
      <c r="G184" s="935" t="s">
        <v>1080</v>
      </c>
      <c r="H184" s="935" t="s">
        <v>1091</v>
      </c>
      <c r="I184" s="72">
        <v>3910</v>
      </c>
      <c r="L184" s="96" t="s">
        <v>251</v>
      </c>
      <c r="M184" s="934" t="s">
        <v>1073</v>
      </c>
      <c r="N184" s="937"/>
      <c r="P184" s="938"/>
      <c r="Q184" s="72"/>
      <c r="R184" s="73"/>
      <c r="T184" s="940"/>
    </row>
    <row r="185" spans="2:20">
      <c r="B185" s="72"/>
      <c r="D185" s="72">
        <v>4815</v>
      </c>
      <c r="E185" s="73" t="s">
        <v>255</v>
      </c>
      <c r="F185" s="935" t="s">
        <v>1090</v>
      </c>
      <c r="G185" s="935" t="s">
        <v>1080</v>
      </c>
      <c r="H185" s="935" t="s">
        <v>1091</v>
      </c>
      <c r="I185" s="72">
        <v>3910</v>
      </c>
      <c r="L185" s="96" t="s">
        <v>251</v>
      </c>
      <c r="M185" s="934" t="s">
        <v>1073</v>
      </c>
      <c r="N185" s="937"/>
      <c r="P185" s="952"/>
      <c r="R185" s="73"/>
      <c r="T185" s="940"/>
    </row>
    <row r="186" spans="2:20">
      <c r="B186" s="72"/>
      <c r="C186" s="929"/>
      <c r="D186" s="72">
        <v>4816</v>
      </c>
      <c r="E186" s="73" t="s">
        <v>680</v>
      </c>
      <c r="F186" s="935"/>
      <c r="G186" s="935"/>
      <c r="H186" s="935"/>
      <c r="I186" s="72"/>
      <c r="L186" s="96" t="s">
        <v>251</v>
      </c>
      <c r="M186" s="934"/>
      <c r="N186" s="937"/>
      <c r="P186" s="952"/>
      <c r="R186" s="73"/>
      <c r="T186" s="940"/>
    </row>
    <row r="187" spans="2:20">
      <c r="B187" s="72"/>
      <c r="C187" s="929"/>
      <c r="D187" s="72">
        <v>4817</v>
      </c>
      <c r="E187" s="73" t="s">
        <v>479</v>
      </c>
      <c r="F187" s="935"/>
      <c r="G187" s="935"/>
      <c r="H187" s="935"/>
      <c r="I187" s="72"/>
      <c r="L187" s="96" t="s">
        <v>251</v>
      </c>
      <c r="M187" s="934"/>
      <c r="N187" s="937"/>
      <c r="P187" s="952"/>
      <c r="R187" s="73"/>
      <c r="T187" s="940"/>
    </row>
    <row r="188" spans="2:20">
      <c r="B188" s="72"/>
      <c r="D188" s="72">
        <v>4825</v>
      </c>
      <c r="E188" s="73" t="s">
        <v>256</v>
      </c>
      <c r="F188" s="935" t="s">
        <v>1090</v>
      </c>
      <c r="G188" s="935" t="s">
        <v>1080</v>
      </c>
      <c r="H188" s="935" t="s">
        <v>1091</v>
      </c>
      <c r="I188" s="72">
        <v>3910</v>
      </c>
      <c r="L188" s="96" t="s">
        <v>251</v>
      </c>
      <c r="M188" s="934" t="s">
        <v>1073</v>
      </c>
      <c r="N188" s="937"/>
      <c r="P188" s="938"/>
      <c r="Q188" s="72"/>
      <c r="R188" s="73"/>
      <c r="T188" s="940"/>
    </row>
    <row r="189" spans="2:20">
      <c r="B189" s="72"/>
      <c r="C189" s="929"/>
      <c r="D189" s="72">
        <v>4826</v>
      </c>
      <c r="E189" s="73" t="s">
        <v>257</v>
      </c>
      <c r="F189" s="935"/>
      <c r="G189" s="935"/>
      <c r="H189" s="935"/>
      <c r="I189" s="72"/>
      <c r="L189" s="96" t="s">
        <v>251</v>
      </c>
      <c r="M189" s="934"/>
      <c r="N189" s="937"/>
      <c r="P189" s="938"/>
      <c r="Q189" s="72"/>
      <c r="R189" s="73"/>
      <c r="T189" s="940"/>
    </row>
    <row r="190" spans="2:20">
      <c r="B190" s="72"/>
      <c r="D190" s="72">
        <v>4830</v>
      </c>
      <c r="E190" s="73" t="s">
        <v>258</v>
      </c>
      <c r="F190" s="935" t="s">
        <v>1090</v>
      </c>
      <c r="G190" s="935" t="s">
        <v>1080</v>
      </c>
      <c r="H190" s="935" t="s">
        <v>1091</v>
      </c>
      <c r="I190" s="72">
        <v>3910</v>
      </c>
      <c r="L190" s="96" t="s">
        <v>251</v>
      </c>
      <c r="M190" s="934" t="s">
        <v>1073</v>
      </c>
      <c r="N190" s="937"/>
      <c r="P190" s="938"/>
      <c r="Q190" s="72"/>
      <c r="R190" s="73"/>
      <c r="T190" s="940"/>
    </row>
    <row r="191" spans="2:20">
      <c r="B191" s="72"/>
      <c r="D191" s="72">
        <v>4835</v>
      </c>
      <c r="E191" s="73" t="s">
        <v>259</v>
      </c>
      <c r="F191" s="935" t="s">
        <v>1090</v>
      </c>
      <c r="G191" s="935" t="s">
        <v>1080</v>
      </c>
      <c r="H191" s="935" t="s">
        <v>1091</v>
      </c>
      <c r="I191" s="72">
        <v>3910</v>
      </c>
      <c r="L191" s="96" t="s">
        <v>251</v>
      </c>
      <c r="M191" s="934" t="s">
        <v>1073</v>
      </c>
      <c r="N191" s="937"/>
      <c r="P191" s="938"/>
      <c r="Q191" s="72"/>
      <c r="R191" s="73"/>
      <c r="T191" s="940"/>
    </row>
    <row r="192" spans="2:20">
      <c r="B192" s="72"/>
      <c r="D192" s="72">
        <v>4836</v>
      </c>
      <c r="E192" s="73" t="s">
        <v>681</v>
      </c>
      <c r="F192" s="935"/>
      <c r="G192" s="935"/>
      <c r="H192" s="935"/>
      <c r="I192" s="72"/>
      <c r="L192" s="96" t="s">
        <v>251</v>
      </c>
      <c r="M192" s="934"/>
      <c r="N192" s="937"/>
      <c r="P192" s="938"/>
      <c r="Q192" s="72"/>
      <c r="R192" s="73"/>
      <c r="T192" s="940"/>
    </row>
    <row r="193" spans="2:20">
      <c r="B193" s="72"/>
      <c r="D193" s="72">
        <v>4840</v>
      </c>
      <c r="E193" s="73" t="s">
        <v>260</v>
      </c>
      <c r="F193" s="935" t="s">
        <v>1090</v>
      </c>
      <c r="G193" s="935" t="s">
        <v>1080</v>
      </c>
      <c r="H193" s="935" t="s">
        <v>1091</v>
      </c>
      <c r="I193" s="72">
        <v>3910</v>
      </c>
      <c r="L193" s="96" t="s">
        <v>251</v>
      </c>
      <c r="M193" s="934" t="s">
        <v>1073</v>
      </c>
      <c r="N193" s="937"/>
      <c r="P193" s="938"/>
      <c r="Q193" s="72"/>
      <c r="R193" s="73"/>
      <c r="T193" s="940"/>
    </row>
    <row r="194" spans="2:20">
      <c r="B194" s="72"/>
      <c r="D194" s="72">
        <v>4845</v>
      </c>
      <c r="E194" s="73" t="s">
        <v>131</v>
      </c>
      <c r="F194" s="935" t="s">
        <v>1090</v>
      </c>
      <c r="G194" s="935" t="s">
        <v>1080</v>
      </c>
      <c r="H194" s="935" t="s">
        <v>1091</v>
      </c>
      <c r="I194" s="72">
        <v>3910</v>
      </c>
      <c r="L194" s="96" t="s">
        <v>251</v>
      </c>
      <c r="M194" s="934" t="s">
        <v>1073</v>
      </c>
      <c r="N194" s="937"/>
      <c r="P194" s="938"/>
      <c r="Q194" s="72"/>
      <c r="R194" s="73"/>
      <c r="T194" s="940"/>
    </row>
    <row r="195" spans="2:20">
      <c r="B195" s="72"/>
      <c r="D195" s="72">
        <v>4853</v>
      </c>
      <c r="E195" s="73" t="s">
        <v>261</v>
      </c>
      <c r="F195" s="935" t="s">
        <v>1090</v>
      </c>
      <c r="G195" s="935" t="s">
        <v>1080</v>
      </c>
      <c r="H195" s="935" t="s">
        <v>1091</v>
      </c>
      <c r="I195" s="72">
        <v>3910</v>
      </c>
      <c r="L195" s="96" t="s">
        <v>251</v>
      </c>
      <c r="M195" s="934" t="s">
        <v>1073</v>
      </c>
      <c r="N195" s="937"/>
      <c r="P195" s="938"/>
      <c r="Q195" s="72"/>
      <c r="R195" s="73"/>
      <c r="T195" s="940"/>
    </row>
    <row r="196" spans="2:20">
      <c r="B196" s="72"/>
      <c r="D196" s="72">
        <v>4854</v>
      </c>
      <c r="E196" s="73" t="s">
        <v>262</v>
      </c>
      <c r="F196" s="935" t="s">
        <v>1090</v>
      </c>
      <c r="G196" s="935" t="s">
        <v>1080</v>
      </c>
      <c r="H196" s="935" t="s">
        <v>1091</v>
      </c>
      <c r="I196" s="72">
        <v>3910</v>
      </c>
      <c r="L196" s="96" t="s">
        <v>251</v>
      </c>
      <c r="M196" s="934" t="s">
        <v>1073</v>
      </c>
      <c r="N196" s="937"/>
      <c r="P196" s="938"/>
      <c r="Q196" s="72"/>
      <c r="R196" s="73"/>
      <c r="T196" s="940"/>
    </row>
    <row r="197" spans="2:20">
      <c r="B197" s="72"/>
      <c r="D197" s="72">
        <v>4855</v>
      </c>
      <c r="E197" s="73" t="s">
        <v>263</v>
      </c>
      <c r="F197" s="935" t="s">
        <v>1090</v>
      </c>
      <c r="G197" s="935" t="s">
        <v>1080</v>
      </c>
      <c r="H197" s="935" t="s">
        <v>1091</v>
      </c>
      <c r="I197" s="72">
        <v>3910</v>
      </c>
      <c r="L197" s="96" t="s">
        <v>251</v>
      </c>
      <c r="M197" s="934" t="s">
        <v>1073</v>
      </c>
      <c r="N197" s="937"/>
      <c r="P197" s="938"/>
      <c r="Q197" s="72"/>
      <c r="R197" s="73"/>
      <c r="T197" s="940"/>
    </row>
    <row r="198" spans="2:20">
      <c r="D198" s="72">
        <v>4856</v>
      </c>
      <c r="E198" s="73" t="s">
        <v>264</v>
      </c>
      <c r="F198" s="935" t="s">
        <v>1090</v>
      </c>
      <c r="G198" s="935" t="s">
        <v>1080</v>
      </c>
      <c r="H198" s="935" t="s">
        <v>1091</v>
      </c>
      <c r="I198" s="72">
        <v>3910</v>
      </c>
      <c r="L198" s="96" t="s">
        <v>251</v>
      </c>
      <c r="M198" s="934" t="s">
        <v>1073</v>
      </c>
      <c r="N198" s="937"/>
      <c r="P198" s="938"/>
      <c r="Q198" s="72"/>
      <c r="R198" s="73"/>
      <c r="T198" s="940"/>
    </row>
    <row r="199" spans="2:20">
      <c r="B199" s="72"/>
      <c r="D199" s="72">
        <v>4857</v>
      </c>
      <c r="E199" s="73" t="s">
        <v>265</v>
      </c>
      <c r="F199" s="935" t="s">
        <v>1090</v>
      </c>
      <c r="G199" s="935" t="s">
        <v>1080</v>
      </c>
      <c r="H199" s="935" t="s">
        <v>1091</v>
      </c>
      <c r="I199" s="72">
        <v>3910</v>
      </c>
      <c r="L199" s="96" t="s">
        <v>251</v>
      </c>
      <c r="M199" s="934" t="s">
        <v>1073</v>
      </c>
      <c r="N199" s="937"/>
      <c r="P199" s="938"/>
      <c r="Q199" s="72"/>
      <c r="R199" s="73"/>
      <c r="T199" s="940"/>
    </row>
    <row r="200" spans="2:20">
      <c r="D200" s="72">
        <v>4858</v>
      </c>
      <c r="E200" s="73" t="s">
        <v>266</v>
      </c>
      <c r="F200" s="935" t="s">
        <v>1090</v>
      </c>
      <c r="G200" s="935" t="s">
        <v>1080</v>
      </c>
      <c r="H200" s="935" t="s">
        <v>1091</v>
      </c>
      <c r="I200" s="72">
        <v>3910</v>
      </c>
      <c r="L200" s="96" t="s">
        <v>251</v>
      </c>
      <c r="M200" s="934" t="s">
        <v>1073</v>
      </c>
      <c r="N200" s="937"/>
      <c r="P200" s="938"/>
      <c r="Q200" s="72"/>
      <c r="R200" s="73"/>
      <c r="T200" s="940"/>
    </row>
    <row r="201" spans="2:20">
      <c r="D201" s="72">
        <v>4859</v>
      </c>
      <c r="E201" s="73" t="s">
        <v>267</v>
      </c>
      <c r="F201" s="935"/>
      <c r="G201" s="935"/>
      <c r="H201" s="935"/>
      <c r="I201" s="72"/>
      <c r="L201" s="96" t="s">
        <v>251</v>
      </c>
      <c r="M201" s="934"/>
      <c r="N201" s="937"/>
      <c r="P201" s="938"/>
      <c r="Q201" s="72"/>
      <c r="R201" s="73"/>
      <c r="T201" s="940"/>
    </row>
    <row r="202" spans="2:20">
      <c r="B202" s="72"/>
      <c r="D202" s="72">
        <v>4860</v>
      </c>
      <c r="E202" s="73" t="s">
        <v>268</v>
      </c>
      <c r="F202" s="935" t="s">
        <v>1090</v>
      </c>
      <c r="G202" s="935" t="s">
        <v>1080</v>
      </c>
      <c r="H202" s="935" t="s">
        <v>1091</v>
      </c>
      <c r="I202" s="72">
        <v>3910</v>
      </c>
      <c r="L202" s="96" t="s">
        <v>251</v>
      </c>
      <c r="M202" s="934" t="s">
        <v>1073</v>
      </c>
      <c r="N202" s="937"/>
      <c r="P202" s="938"/>
      <c r="Q202" s="72"/>
      <c r="R202" s="73"/>
      <c r="T202" s="940"/>
    </row>
    <row r="203" spans="2:20">
      <c r="B203" s="72"/>
      <c r="D203" s="72">
        <v>4861</v>
      </c>
      <c r="E203" s="73" t="s">
        <v>682</v>
      </c>
      <c r="F203" s="935" t="s">
        <v>1090</v>
      </c>
      <c r="G203" s="935" t="s">
        <v>1080</v>
      </c>
      <c r="H203" s="935" t="s">
        <v>1091</v>
      </c>
      <c r="I203" s="72">
        <v>3910</v>
      </c>
      <c r="L203" s="96" t="s">
        <v>251</v>
      </c>
      <c r="M203" s="934"/>
      <c r="N203" s="937"/>
      <c r="P203" s="938"/>
      <c r="Q203" s="72"/>
      <c r="R203" s="73"/>
      <c r="T203" s="940"/>
    </row>
    <row r="204" spans="2:20">
      <c r="B204" s="72"/>
      <c r="C204" s="953" t="s">
        <v>1094</v>
      </c>
      <c r="D204" s="76">
        <v>4862</v>
      </c>
      <c r="E204" s="77" t="s">
        <v>1095</v>
      </c>
      <c r="F204" s="954"/>
      <c r="G204" s="954"/>
      <c r="H204" s="954"/>
      <c r="I204" s="76"/>
      <c r="J204" s="97"/>
      <c r="K204" s="97"/>
      <c r="L204" s="97" t="s">
        <v>251</v>
      </c>
      <c r="M204" s="934"/>
      <c r="N204" s="937"/>
      <c r="P204" s="938"/>
      <c r="Q204" s="72"/>
      <c r="R204" s="73"/>
      <c r="T204" s="940"/>
    </row>
    <row r="205" spans="2:20">
      <c r="B205" s="72"/>
      <c r="D205" s="72">
        <v>4865</v>
      </c>
      <c r="E205" s="73" t="s">
        <v>269</v>
      </c>
      <c r="F205" s="935" t="s">
        <v>1090</v>
      </c>
      <c r="G205" s="935" t="s">
        <v>1080</v>
      </c>
      <c r="H205" s="935" t="s">
        <v>1091</v>
      </c>
      <c r="I205" s="72">
        <v>3910</v>
      </c>
      <c r="L205" s="96" t="s">
        <v>251</v>
      </c>
      <c r="M205" s="934" t="s">
        <v>1073</v>
      </c>
      <c r="N205" s="937"/>
      <c r="P205" s="938"/>
      <c r="Q205" s="72"/>
      <c r="R205" s="73"/>
      <c r="T205" s="940"/>
    </row>
    <row r="206" spans="2:20">
      <c r="B206" s="72"/>
      <c r="D206" s="72">
        <v>4870</v>
      </c>
      <c r="E206" s="73" t="s">
        <v>270</v>
      </c>
      <c r="F206" s="935" t="s">
        <v>1090</v>
      </c>
      <c r="G206" s="935" t="s">
        <v>1080</v>
      </c>
      <c r="H206" s="935" t="s">
        <v>1091</v>
      </c>
      <c r="I206" s="72">
        <v>3910</v>
      </c>
      <c r="L206" s="96" t="s">
        <v>251</v>
      </c>
      <c r="M206" s="934" t="s">
        <v>1073</v>
      </c>
      <c r="N206" s="937"/>
      <c r="P206" s="938"/>
      <c r="Q206" s="72"/>
      <c r="R206" s="73"/>
      <c r="T206" s="940"/>
    </row>
    <row r="207" spans="2:20">
      <c r="B207" s="72"/>
      <c r="D207" s="72">
        <v>4875</v>
      </c>
      <c r="E207" s="73" t="s">
        <v>271</v>
      </c>
      <c r="F207" s="935" t="s">
        <v>1090</v>
      </c>
      <c r="G207" s="935" t="s">
        <v>1080</v>
      </c>
      <c r="H207" s="935" t="s">
        <v>1091</v>
      </c>
      <c r="I207" s="72">
        <v>3910</v>
      </c>
      <c r="L207" s="96" t="s">
        <v>251</v>
      </c>
      <c r="M207" s="934" t="s">
        <v>1073</v>
      </c>
      <c r="N207" s="937"/>
      <c r="P207" s="938"/>
      <c r="Q207" s="72"/>
      <c r="R207" s="73"/>
      <c r="T207" s="940"/>
    </row>
    <row r="208" spans="2:20">
      <c r="B208" s="72"/>
      <c r="D208" s="72">
        <v>4876</v>
      </c>
      <c r="E208" s="73" t="s">
        <v>272</v>
      </c>
      <c r="F208" s="935"/>
      <c r="G208" s="935"/>
      <c r="H208" s="935"/>
      <c r="I208" s="72"/>
      <c r="L208" s="96" t="s">
        <v>251</v>
      </c>
      <c r="M208" s="934"/>
      <c r="N208" s="937"/>
      <c r="P208" s="938"/>
      <c r="Q208" s="72"/>
      <c r="R208" s="73"/>
      <c r="T208" s="940"/>
    </row>
    <row r="209" spans="2:20">
      <c r="B209" s="72"/>
      <c r="D209" s="72">
        <v>4879</v>
      </c>
      <c r="E209" s="73" t="s">
        <v>683</v>
      </c>
      <c r="F209" s="935"/>
      <c r="G209" s="935"/>
      <c r="H209" s="935"/>
      <c r="I209" s="72"/>
      <c r="L209" s="96" t="s">
        <v>251</v>
      </c>
      <c r="M209" s="934"/>
      <c r="N209" s="937"/>
      <c r="P209" s="938"/>
      <c r="Q209" s="72"/>
      <c r="R209" s="73"/>
      <c r="T209" s="940"/>
    </row>
    <row r="210" spans="2:20">
      <c r="B210" s="72"/>
      <c r="D210" s="72">
        <v>4880</v>
      </c>
      <c r="E210" s="73" t="s">
        <v>201</v>
      </c>
      <c r="F210" s="935" t="s">
        <v>1090</v>
      </c>
      <c r="G210" s="935" t="s">
        <v>1080</v>
      </c>
      <c r="H210" s="935" t="s">
        <v>1091</v>
      </c>
      <c r="I210" s="72">
        <v>3910</v>
      </c>
      <c r="L210" s="96" t="s">
        <v>251</v>
      </c>
      <c r="M210" s="934" t="s">
        <v>1073</v>
      </c>
      <c r="N210" s="937"/>
      <c r="P210" s="938"/>
      <c r="Q210" s="72"/>
      <c r="R210" s="73"/>
      <c r="T210" s="940"/>
    </row>
    <row r="211" spans="2:20">
      <c r="B211" s="72"/>
      <c r="D211" s="72">
        <v>4885</v>
      </c>
      <c r="E211" s="73" t="s">
        <v>273</v>
      </c>
      <c r="F211" s="935" t="s">
        <v>1090</v>
      </c>
      <c r="G211" s="935" t="s">
        <v>1080</v>
      </c>
      <c r="H211" s="935" t="s">
        <v>1091</v>
      </c>
      <c r="I211" s="72">
        <v>3910</v>
      </c>
      <c r="L211" s="96" t="s">
        <v>251</v>
      </c>
      <c r="M211" s="934" t="s">
        <v>1073</v>
      </c>
      <c r="N211" s="937"/>
      <c r="P211" s="938"/>
      <c r="Q211" s="72"/>
      <c r="R211" s="73"/>
      <c r="T211" s="940"/>
    </row>
    <row r="212" spans="2:20">
      <c r="B212" s="72"/>
      <c r="D212" s="72">
        <v>4890</v>
      </c>
      <c r="E212" s="73" t="s">
        <v>274</v>
      </c>
      <c r="F212" s="935" t="s">
        <v>1090</v>
      </c>
      <c r="G212" s="935" t="s">
        <v>1080</v>
      </c>
      <c r="H212" s="935" t="s">
        <v>1091</v>
      </c>
      <c r="I212" s="72">
        <v>3910</v>
      </c>
      <c r="L212" s="96" t="s">
        <v>251</v>
      </c>
      <c r="M212" s="934" t="s">
        <v>1073</v>
      </c>
      <c r="N212" s="937"/>
      <c r="P212" s="938"/>
      <c r="Q212" s="72"/>
      <c r="R212" s="73"/>
      <c r="T212" s="940"/>
    </row>
    <row r="213" spans="2:20">
      <c r="B213" s="72"/>
      <c r="C213" s="929"/>
      <c r="D213" s="72">
        <v>4891</v>
      </c>
      <c r="E213" s="73" t="s">
        <v>484</v>
      </c>
      <c r="F213" s="935"/>
      <c r="G213" s="935"/>
      <c r="H213" s="935"/>
      <c r="I213" s="72"/>
      <c r="L213" s="96" t="s">
        <v>251</v>
      </c>
      <c r="M213" s="934"/>
      <c r="N213" s="937"/>
      <c r="P213" s="938"/>
      <c r="Q213" s="72"/>
      <c r="R213" s="73"/>
      <c r="T213" s="940"/>
    </row>
    <row r="214" spans="2:20">
      <c r="B214" s="72"/>
      <c r="D214" s="72">
        <v>4895</v>
      </c>
      <c r="E214" s="73" t="s">
        <v>50</v>
      </c>
      <c r="F214" s="935" t="s">
        <v>1090</v>
      </c>
      <c r="G214" s="935" t="s">
        <v>1080</v>
      </c>
      <c r="H214" s="935" t="s">
        <v>1091</v>
      </c>
      <c r="I214" s="72">
        <v>3910</v>
      </c>
      <c r="L214" s="96" t="s">
        <v>251</v>
      </c>
      <c r="M214" s="934" t="s">
        <v>1073</v>
      </c>
      <c r="N214" s="937"/>
      <c r="P214" s="938"/>
      <c r="Q214" s="72"/>
      <c r="R214" s="73"/>
      <c r="T214" s="940"/>
    </row>
    <row r="215" spans="2:20">
      <c r="B215" s="72"/>
      <c r="D215" s="72">
        <v>4900</v>
      </c>
      <c r="E215" s="73" t="s">
        <v>275</v>
      </c>
      <c r="F215" s="935" t="s">
        <v>1090</v>
      </c>
      <c r="G215" s="935" t="s">
        <v>1080</v>
      </c>
      <c r="H215" s="935" t="s">
        <v>1091</v>
      </c>
      <c r="I215" s="72">
        <v>3910</v>
      </c>
      <c r="L215" s="96" t="s">
        <v>251</v>
      </c>
      <c r="M215" s="934" t="s">
        <v>1073</v>
      </c>
      <c r="N215" s="937"/>
      <c r="P215" s="938"/>
      <c r="Q215" s="72"/>
      <c r="R215" s="73"/>
      <c r="T215" s="940"/>
    </row>
    <row r="216" spans="2:20">
      <c r="B216" s="72"/>
      <c r="C216" s="929"/>
      <c r="D216" s="72">
        <v>4900.1000000000004</v>
      </c>
      <c r="E216" s="73" t="s">
        <v>684</v>
      </c>
      <c r="F216" s="935"/>
      <c r="G216" s="935"/>
      <c r="H216" s="935"/>
      <c r="I216" s="72"/>
      <c r="L216" s="96" t="s">
        <v>251</v>
      </c>
      <c r="M216" s="934"/>
      <c r="N216" s="937"/>
      <c r="P216" s="938"/>
      <c r="Q216" s="72"/>
      <c r="R216" s="73"/>
      <c r="T216" s="940"/>
    </row>
    <row r="217" spans="2:20">
      <c r="B217" s="72"/>
      <c r="D217" s="72">
        <v>4901</v>
      </c>
      <c r="E217" s="73" t="s">
        <v>130</v>
      </c>
      <c r="F217" s="935"/>
      <c r="G217" s="935"/>
      <c r="H217" s="935"/>
      <c r="I217" s="72"/>
      <c r="L217" s="96" t="s">
        <v>251</v>
      </c>
      <c r="M217" s="934"/>
      <c r="N217" s="937"/>
      <c r="P217" s="938"/>
      <c r="Q217" s="72"/>
      <c r="R217" s="73"/>
      <c r="T217" s="940"/>
    </row>
    <row r="218" spans="2:20">
      <c r="B218" s="72"/>
      <c r="D218" s="72">
        <v>4905</v>
      </c>
      <c r="E218" s="73" t="s">
        <v>276</v>
      </c>
      <c r="F218" s="935" t="s">
        <v>1090</v>
      </c>
      <c r="G218" s="935" t="s">
        <v>1080</v>
      </c>
      <c r="H218" s="935" t="s">
        <v>1091</v>
      </c>
      <c r="I218" s="72">
        <v>3910</v>
      </c>
      <c r="L218" s="96" t="s">
        <v>251</v>
      </c>
      <c r="M218" s="934" t="s">
        <v>1073</v>
      </c>
      <c r="N218" s="937"/>
      <c r="P218" s="938"/>
      <c r="Q218" s="72"/>
      <c r="R218" s="73"/>
      <c r="T218" s="940"/>
    </row>
    <row r="219" spans="2:20">
      <c r="B219" s="72"/>
      <c r="D219" s="72">
        <v>4910</v>
      </c>
      <c r="E219" s="73" t="s">
        <v>277</v>
      </c>
      <c r="F219" s="935" t="s">
        <v>1090</v>
      </c>
      <c r="G219" s="935" t="s">
        <v>1080</v>
      </c>
      <c r="H219" s="935" t="s">
        <v>1091</v>
      </c>
      <c r="I219" s="72">
        <v>3910</v>
      </c>
      <c r="L219" s="96" t="s">
        <v>251</v>
      </c>
      <c r="M219" s="934" t="s">
        <v>1073</v>
      </c>
      <c r="N219" s="937"/>
      <c r="P219" s="938"/>
      <c r="Q219" s="72"/>
      <c r="R219" s="73"/>
      <c r="T219" s="940"/>
    </row>
    <row r="220" spans="2:20">
      <c r="B220" s="72"/>
      <c r="C220" s="929"/>
      <c r="D220" s="72">
        <v>4911</v>
      </c>
      <c r="E220" s="73" t="s">
        <v>485</v>
      </c>
      <c r="F220" s="935"/>
      <c r="G220" s="935"/>
      <c r="H220" s="935"/>
      <c r="I220" s="72"/>
      <c r="L220" s="96" t="s">
        <v>251</v>
      </c>
      <c r="M220" s="934"/>
      <c r="N220" s="937"/>
      <c r="P220" s="938"/>
      <c r="Q220" s="72"/>
      <c r="R220" s="73"/>
      <c r="T220" s="940"/>
    </row>
    <row r="221" spans="2:20">
      <c r="B221" s="72"/>
      <c r="D221" s="72">
        <v>4912</v>
      </c>
      <c r="E221" s="73" t="s">
        <v>278</v>
      </c>
      <c r="F221" s="935"/>
      <c r="G221" s="935"/>
      <c r="H221" s="935"/>
      <c r="I221" s="72"/>
      <c r="L221" s="96" t="s">
        <v>251</v>
      </c>
      <c r="M221" s="934"/>
      <c r="N221" s="937"/>
      <c r="P221" s="938"/>
      <c r="Q221" s="72"/>
      <c r="R221" s="73"/>
      <c r="T221" s="940"/>
    </row>
    <row r="222" spans="2:20">
      <c r="B222" s="72"/>
      <c r="D222" s="72">
        <v>4920</v>
      </c>
      <c r="E222" s="73" t="s">
        <v>279</v>
      </c>
      <c r="F222" s="935" t="s">
        <v>1090</v>
      </c>
      <c r="G222" s="935" t="s">
        <v>1080</v>
      </c>
      <c r="H222" s="935" t="s">
        <v>1091</v>
      </c>
      <c r="I222" s="72">
        <v>3910</v>
      </c>
      <c r="L222" s="96" t="s">
        <v>251</v>
      </c>
      <c r="M222" s="934" t="s">
        <v>1073</v>
      </c>
      <c r="N222" s="937"/>
      <c r="P222" s="938"/>
      <c r="Q222" s="72"/>
      <c r="R222" s="73"/>
      <c r="T222" s="940"/>
    </row>
    <row r="223" spans="2:20">
      <c r="B223" s="72"/>
      <c r="D223" s="72">
        <v>4930</v>
      </c>
      <c r="E223" s="73" t="s">
        <v>280</v>
      </c>
      <c r="F223" s="935" t="s">
        <v>1090</v>
      </c>
      <c r="G223" s="935" t="s">
        <v>1080</v>
      </c>
      <c r="H223" s="935" t="s">
        <v>1091</v>
      </c>
      <c r="I223" s="72">
        <v>3910</v>
      </c>
      <c r="L223" s="96" t="s">
        <v>251</v>
      </c>
      <c r="M223" s="934" t="s">
        <v>1073</v>
      </c>
      <c r="N223" s="937"/>
      <c r="P223" s="938"/>
      <c r="Q223" s="72"/>
      <c r="R223" s="73"/>
      <c r="T223" s="940"/>
    </row>
    <row r="224" spans="2:20">
      <c r="B224" s="72"/>
      <c r="D224" s="72">
        <v>4932</v>
      </c>
      <c r="E224" s="73" t="s">
        <v>281</v>
      </c>
      <c r="F224" s="935"/>
      <c r="G224" s="935"/>
      <c r="H224" s="935"/>
      <c r="I224" s="72"/>
      <c r="L224" s="96" t="s">
        <v>251</v>
      </c>
      <c r="M224" s="934"/>
      <c r="N224" s="937"/>
      <c r="P224" s="938"/>
      <c r="Q224" s="72"/>
      <c r="R224" s="73"/>
      <c r="T224" s="940"/>
    </row>
    <row r="225" spans="2:20">
      <c r="B225" s="72"/>
      <c r="D225" s="72">
        <v>4940</v>
      </c>
      <c r="E225" s="73" t="s">
        <v>282</v>
      </c>
      <c r="F225" s="935" t="s">
        <v>1090</v>
      </c>
      <c r="G225" s="935" t="s">
        <v>1080</v>
      </c>
      <c r="H225" s="935" t="s">
        <v>1091</v>
      </c>
      <c r="I225" s="72">
        <v>3910</v>
      </c>
      <c r="L225" s="96" t="s">
        <v>251</v>
      </c>
      <c r="M225" s="934" t="s">
        <v>1073</v>
      </c>
      <c r="N225" s="937"/>
      <c r="P225" s="938"/>
      <c r="Q225" s="72"/>
      <c r="R225" s="73"/>
      <c r="T225" s="940"/>
    </row>
    <row r="226" spans="2:20">
      <c r="B226" s="72"/>
      <c r="D226" s="72">
        <v>4942</v>
      </c>
      <c r="E226" s="73" t="s">
        <v>283</v>
      </c>
      <c r="F226" s="935"/>
      <c r="G226" s="935"/>
      <c r="H226" s="935"/>
      <c r="I226" s="72"/>
      <c r="L226" s="96" t="s">
        <v>251</v>
      </c>
      <c r="M226" s="934"/>
      <c r="N226" s="937"/>
      <c r="P226" s="938"/>
      <c r="Q226" s="72"/>
      <c r="R226" s="73"/>
      <c r="T226" s="940"/>
    </row>
    <row r="227" spans="2:20">
      <c r="B227" s="72"/>
      <c r="C227" s="929"/>
      <c r="D227" s="72">
        <v>4945</v>
      </c>
      <c r="E227" s="73" t="s">
        <v>486</v>
      </c>
      <c r="F227" s="935"/>
      <c r="G227" s="935"/>
      <c r="H227" s="935"/>
      <c r="I227" s="72"/>
      <c r="L227" s="96" t="s">
        <v>251</v>
      </c>
      <c r="M227" s="934"/>
      <c r="N227" s="937"/>
      <c r="P227" s="938"/>
      <c r="Q227" s="72"/>
      <c r="R227" s="73"/>
      <c r="T227" s="940"/>
    </row>
    <row r="228" spans="2:20">
      <c r="B228" s="72"/>
      <c r="D228" s="72">
        <v>4950</v>
      </c>
      <c r="E228" s="73" t="s">
        <v>284</v>
      </c>
      <c r="F228" s="935" t="s">
        <v>1090</v>
      </c>
      <c r="G228" s="935" t="s">
        <v>1080</v>
      </c>
      <c r="H228" s="935" t="s">
        <v>1091</v>
      </c>
      <c r="I228" s="72">
        <v>3910</v>
      </c>
      <c r="L228" s="96" t="s">
        <v>251</v>
      </c>
      <c r="M228" s="934" t="s">
        <v>1073</v>
      </c>
      <c r="N228" s="937"/>
      <c r="P228" s="938"/>
      <c r="Q228" s="72"/>
      <c r="R228" s="73"/>
      <c r="T228" s="940"/>
    </row>
    <row r="229" spans="2:20">
      <c r="B229" s="72"/>
      <c r="D229" s="72">
        <v>4970</v>
      </c>
      <c r="E229" s="73" t="s">
        <v>285</v>
      </c>
      <c r="F229" s="935" t="s">
        <v>1090</v>
      </c>
      <c r="G229" s="935" t="s">
        <v>1080</v>
      </c>
      <c r="H229" s="935" t="s">
        <v>1091</v>
      </c>
      <c r="I229" s="72">
        <v>3910</v>
      </c>
      <c r="L229" s="96" t="s">
        <v>251</v>
      </c>
      <c r="M229" s="934" t="s">
        <v>1073</v>
      </c>
      <c r="N229" s="937"/>
      <c r="P229" s="938"/>
      <c r="Q229" s="72"/>
      <c r="R229" s="73"/>
      <c r="T229" s="940"/>
    </row>
    <row r="230" spans="2:20">
      <c r="B230" s="72"/>
      <c r="D230" s="72">
        <v>4980</v>
      </c>
      <c r="E230" s="73" t="s">
        <v>132</v>
      </c>
      <c r="F230" s="935" t="s">
        <v>1090</v>
      </c>
      <c r="G230" s="935" t="s">
        <v>1080</v>
      </c>
      <c r="H230" s="935" t="s">
        <v>1091</v>
      </c>
      <c r="I230" s="72">
        <v>3910</v>
      </c>
      <c r="L230" s="96" t="s">
        <v>251</v>
      </c>
      <c r="M230" s="934" t="s">
        <v>1073</v>
      </c>
      <c r="N230" s="937"/>
      <c r="P230" s="938"/>
      <c r="Q230" s="72"/>
      <c r="R230" s="73"/>
      <c r="T230" s="940"/>
    </row>
    <row r="231" spans="2:20">
      <c r="B231" s="72"/>
      <c r="C231" s="941" t="s">
        <v>1096</v>
      </c>
      <c r="D231" s="80">
        <v>4990</v>
      </c>
      <c r="E231" s="81" t="s">
        <v>286</v>
      </c>
      <c r="F231" s="942"/>
      <c r="G231" s="942"/>
      <c r="H231" s="942"/>
      <c r="I231" s="80"/>
      <c r="J231" s="944"/>
      <c r="K231" s="944"/>
      <c r="L231" s="944" t="s">
        <v>251</v>
      </c>
      <c r="M231" s="934"/>
      <c r="N231" s="937"/>
      <c r="P231" s="938"/>
      <c r="Q231" s="72"/>
      <c r="R231" s="73"/>
      <c r="T231" s="940"/>
    </row>
    <row r="232" spans="2:20">
      <c r="B232" s="72"/>
      <c r="C232" s="941" t="s">
        <v>1096</v>
      </c>
      <c r="D232" s="80">
        <v>4990.1000000000004</v>
      </c>
      <c r="E232" s="81" t="s">
        <v>1097</v>
      </c>
      <c r="F232" s="942"/>
      <c r="G232" s="942"/>
      <c r="H232" s="942"/>
      <c r="I232" s="80"/>
      <c r="J232" s="944"/>
      <c r="K232" s="944"/>
      <c r="L232" s="944" t="s">
        <v>251</v>
      </c>
      <c r="M232" s="934"/>
      <c r="N232" s="937"/>
      <c r="P232" s="938"/>
      <c r="Q232" s="72"/>
      <c r="R232" s="73"/>
      <c r="T232" s="940"/>
    </row>
    <row r="233" spans="2:20">
      <c r="B233" s="72"/>
      <c r="C233" s="929"/>
      <c r="D233" s="72">
        <v>4991</v>
      </c>
      <c r="E233" s="73" t="s">
        <v>685</v>
      </c>
      <c r="F233" s="935"/>
      <c r="G233" s="935"/>
      <c r="H233" s="935"/>
      <c r="I233" s="72"/>
      <c r="L233" s="96" t="s">
        <v>251</v>
      </c>
      <c r="M233" s="934"/>
      <c r="N233" s="937"/>
      <c r="P233" s="938"/>
      <c r="Q233" s="72"/>
      <c r="R233" s="73"/>
      <c r="T233" s="940"/>
    </row>
    <row r="234" spans="2:20">
      <c r="B234" s="72"/>
      <c r="C234" s="929"/>
      <c r="D234" s="79" t="s">
        <v>686</v>
      </c>
      <c r="E234" s="73" t="s">
        <v>687</v>
      </c>
      <c r="F234" s="935"/>
      <c r="G234" s="935"/>
      <c r="H234" s="935"/>
      <c r="I234" s="72"/>
      <c r="L234" s="96" t="s">
        <v>251</v>
      </c>
      <c r="M234" s="934"/>
      <c r="N234" s="937"/>
      <c r="P234" s="938"/>
      <c r="Q234" s="72"/>
      <c r="R234" s="73"/>
      <c r="T234" s="940"/>
    </row>
    <row r="235" spans="2:20">
      <c r="C235" s="941" t="s">
        <v>1084</v>
      </c>
      <c r="D235" s="80">
        <v>5010</v>
      </c>
      <c r="E235" s="81" t="s">
        <v>1098</v>
      </c>
      <c r="F235" s="942" t="s">
        <v>1090</v>
      </c>
      <c r="G235" s="942" t="s">
        <v>1072</v>
      </c>
      <c r="H235" s="942" t="s">
        <v>1091</v>
      </c>
      <c r="I235" s="80">
        <v>3910</v>
      </c>
      <c r="J235" s="944"/>
      <c r="K235" s="944"/>
      <c r="L235" s="944" t="s">
        <v>287</v>
      </c>
      <c r="M235" s="934" t="s">
        <v>1073</v>
      </c>
      <c r="N235" s="937"/>
      <c r="P235" s="938"/>
      <c r="Q235" s="72"/>
      <c r="R235" s="73"/>
      <c r="T235" s="940"/>
    </row>
    <row r="236" spans="2:20">
      <c r="D236" s="72">
        <v>5011</v>
      </c>
      <c r="E236" s="73" t="s">
        <v>688</v>
      </c>
      <c r="F236" s="935"/>
      <c r="G236" s="935"/>
      <c r="H236" s="935"/>
      <c r="I236" s="72"/>
      <c r="L236" s="96" t="s">
        <v>287</v>
      </c>
      <c r="M236" s="934"/>
      <c r="N236" s="937"/>
      <c r="P236" s="938"/>
      <c r="Q236" s="72"/>
      <c r="R236" s="73"/>
      <c r="T236" s="940"/>
    </row>
    <row r="237" spans="2:20">
      <c r="D237" s="72">
        <v>5020</v>
      </c>
      <c r="E237" s="73" t="s">
        <v>470</v>
      </c>
      <c r="F237" s="935" t="s">
        <v>1090</v>
      </c>
      <c r="G237" s="935" t="s">
        <v>1072</v>
      </c>
      <c r="H237" s="935" t="s">
        <v>1091</v>
      </c>
      <c r="I237" s="72">
        <v>3910</v>
      </c>
      <c r="L237" s="96" t="s">
        <v>287</v>
      </c>
      <c r="M237" s="934" t="s">
        <v>1073</v>
      </c>
      <c r="N237" s="937"/>
      <c r="P237" s="938"/>
      <c r="Q237" s="72"/>
      <c r="R237" s="73"/>
      <c r="T237" s="940"/>
    </row>
    <row r="238" spans="2:20">
      <c r="C238" s="941" t="s">
        <v>1084</v>
      </c>
      <c r="D238" s="80" t="s">
        <v>1099</v>
      </c>
      <c r="E238" s="81" t="s">
        <v>1100</v>
      </c>
      <c r="F238" s="942"/>
      <c r="G238" s="942"/>
      <c r="H238" s="942"/>
      <c r="I238" s="80"/>
      <c r="J238" s="944"/>
      <c r="K238" s="944"/>
      <c r="L238" s="944" t="s">
        <v>287</v>
      </c>
      <c r="M238" s="934"/>
      <c r="N238" s="937"/>
      <c r="P238" s="938"/>
      <c r="Q238" s="72"/>
      <c r="R238" s="73"/>
      <c r="T238" s="940"/>
    </row>
    <row r="239" spans="2:20">
      <c r="D239" s="72">
        <v>5035</v>
      </c>
      <c r="E239" s="73" t="s">
        <v>288</v>
      </c>
      <c r="F239" s="935" t="s">
        <v>1090</v>
      </c>
      <c r="G239" s="935" t="s">
        <v>1072</v>
      </c>
      <c r="H239" s="935" t="s">
        <v>1091</v>
      </c>
      <c r="I239" s="72">
        <v>3910</v>
      </c>
      <c r="L239" s="96" t="s">
        <v>287</v>
      </c>
      <c r="M239" s="934" t="s">
        <v>1073</v>
      </c>
      <c r="N239" s="937"/>
      <c r="P239" s="938"/>
      <c r="Q239" s="72"/>
      <c r="R239" s="73"/>
      <c r="T239" s="940"/>
    </row>
    <row r="240" spans="2:20">
      <c r="C240" s="955" t="s">
        <v>1081</v>
      </c>
      <c r="D240" s="946" t="s">
        <v>689</v>
      </c>
      <c r="E240" s="81" t="s">
        <v>690</v>
      </c>
      <c r="F240" s="942" t="s">
        <v>1090</v>
      </c>
      <c r="G240" s="942" t="s">
        <v>1072</v>
      </c>
      <c r="H240" s="942" t="s">
        <v>1091</v>
      </c>
      <c r="I240" s="80">
        <v>3910</v>
      </c>
      <c r="J240" s="944"/>
      <c r="K240" s="944"/>
      <c r="L240" s="944" t="s">
        <v>287</v>
      </c>
      <c r="M240" s="934"/>
      <c r="N240" s="937"/>
      <c r="P240" s="938"/>
      <c r="Q240" s="72"/>
      <c r="R240" s="73"/>
      <c r="T240" s="940"/>
    </row>
    <row r="241" spans="3:20">
      <c r="D241" s="72">
        <v>5040</v>
      </c>
      <c r="E241" s="73" t="s">
        <v>471</v>
      </c>
      <c r="F241" s="935" t="s">
        <v>1090</v>
      </c>
      <c r="G241" s="935" t="s">
        <v>1072</v>
      </c>
      <c r="H241" s="935" t="s">
        <v>1091</v>
      </c>
      <c r="I241" s="72">
        <v>3910</v>
      </c>
      <c r="L241" s="96" t="s">
        <v>287</v>
      </c>
      <c r="M241" s="934" t="s">
        <v>1073</v>
      </c>
      <c r="N241" s="937"/>
      <c r="P241" s="938"/>
      <c r="Q241" s="72"/>
      <c r="R241" s="73"/>
      <c r="T241" s="940"/>
    </row>
    <row r="242" spans="3:20">
      <c r="C242" s="941" t="s">
        <v>1084</v>
      </c>
      <c r="D242" s="80">
        <v>5040.1000000000004</v>
      </c>
      <c r="E242" s="81" t="s">
        <v>691</v>
      </c>
      <c r="F242" s="942" t="s">
        <v>1090</v>
      </c>
      <c r="G242" s="942" t="s">
        <v>1072</v>
      </c>
      <c r="H242" s="942" t="s">
        <v>1091</v>
      </c>
      <c r="I242" s="80">
        <v>3910</v>
      </c>
      <c r="J242" s="944"/>
      <c r="K242" s="944"/>
      <c r="L242" s="944" t="s">
        <v>287</v>
      </c>
      <c r="M242" s="934"/>
      <c r="N242" s="937"/>
      <c r="P242" s="938"/>
      <c r="Q242" s="72"/>
      <c r="R242" s="73"/>
      <c r="T242" s="940"/>
    </row>
    <row r="243" spans="3:20">
      <c r="D243" s="72">
        <v>5041</v>
      </c>
      <c r="E243" s="73" t="s">
        <v>472</v>
      </c>
      <c r="F243" s="935" t="s">
        <v>1090</v>
      </c>
      <c r="G243" s="935" t="s">
        <v>1072</v>
      </c>
      <c r="H243" s="935" t="s">
        <v>1091</v>
      </c>
      <c r="I243" s="72">
        <v>3910</v>
      </c>
      <c r="L243" s="96" t="s">
        <v>287</v>
      </c>
      <c r="M243" s="934"/>
      <c r="N243" s="937"/>
      <c r="P243" s="938"/>
      <c r="Q243" s="72"/>
      <c r="R243" s="73"/>
      <c r="T243" s="940"/>
    </row>
    <row r="244" spans="3:20">
      <c r="D244" s="72">
        <v>5045</v>
      </c>
      <c r="E244" s="73" t="s">
        <v>289</v>
      </c>
      <c r="F244" s="935" t="s">
        <v>1090</v>
      </c>
      <c r="G244" s="935" t="s">
        <v>1072</v>
      </c>
      <c r="H244" s="935" t="s">
        <v>1091</v>
      </c>
      <c r="I244" s="72">
        <v>3910</v>
      </c>
      <c r="L244" s="96" t="s">
        <v>287</v>
      </c>
      <c r="M244" s="934" t="s">
        <v>1073</v>
      </c>
      <c r="N244" s="937"/>
      <c r="P244" s="938"/>
      <c r="Q244" s="72"/>
      <c r="R244" s="73"/>
      <c r="T244" s="940"/>
    </row>
    <row r="245" spans="3:20">
      <c r="D245" s="72">
        <v>5050</v>
      </c>
      <c r="E245" s="73" t="s">
        <v>290</v>
      </c>
      <c r="F245" s="935" t="s">
        <v>1090</v>
      </c>
      <c r="G245" s="935" t="s">
        <v>1072</v>
      </c>
      <c r="H245" s="935" t="s">
        <v>1091</v>
      </c>
      <c r="I245" s="72">
        <v>3910</v>
      </c>
      <c r="L245" s="96" t="s">
        <v>287</v>
      </c>
      <c r="M245" s="934" t="s">
        <v>1073</v>
      </c>
      <c r="N245" s="937"/>
      <c r="P245" s="938"/>
      <c r="Q245" s="72"/>
      <c r="R245" s="73"/>
      <c r="T245" s="940"/>
    </row>
    <row r="246" spans="3:20">
      <c r="D246" s="72">
        <v>5110</v>
      </c>
      <c r="E246" s="73" t="s">
        <v>473</v>
      </c>
      <c r="F246" s="935" t="s">
        <v>1090</v>
      </c>
      <c r="G246" s="935" t="s">
        <v>1072</v>
      </c>
      <c r="H246" s="935" t="s">
        <v>1091</v>
      </c>
      <c r="I246" s="72">
        <v>3910</v>
      </c>
      <c r="L246" s="96" t="s">
        <v>287</v>
      </c>
      <c r="M246" s="934" t="s">
        <v>1073</v>
      </c>
      <c r="N246" s="937"/>
      <c r="P246" s="938"/>
      <c r="Q246" s="72"/>
      <c r="R246" s="73"/>
      <c r="T246" s="940"/>
    </row>
    <row r="247" spans="3:20">
      <c r="C247" s="941" t="s">
        <v>1084</v>
      </c>
      <c r="D247" s="80" t="s">
        <v>1101</v>
      </c>
      <c r="E247" s="81" t="s">
        <v>1102</v>
      </c>
      <c r="F247" s="942"/>
      <c r="G247" s="942"/>
      <c r="H247" s="942"/>
      <c r="I247" s="80"/>
      <c r="J247" s="944"/>
      <c r="K247" s="944"/>
      <c r="L247" s="944" t="s">
        <v>287</v>
      </c>
      <c r="M247" s="956"/>
      <c r="N247" s="957"/>
      <c r="O247" s="944"/>
      <c r="P247" s="938"/>
      <c r="Q247" s="72"/>
      <c r="R247" s="73"/>
      <c r="T247" s="940"/>
    </row>
    <row r="248" spans="3:20">
      <c r="C248" s="955" t="s">
        <v>1081</v>
      </c>
      <c r="D248" s="80" t="s">
        <v>692</v>
      </c>
      <c r="E248" s="81" t="s">
        <v>693</v>
      </c>
      <c r="F248" s="942"/>
      <c r="G248" s="942"/>
      <c r="H248" s="942"/>
      <c r="I248" s="80"/>
      <c r="J248" s="944"/>
      <c r="K248" s="944"/>
      <c r="L248" s="944" t="s">
        <v>287</v>
      </c>
      <c r="M248" s="956"/>
      <c r="N248" s="957"/>
      <c r="O248" s="944"/>
      <c r="P248" s="938"/>
      <c r="Q248" s="72"/>
      <c r="R248" s="73"/>
      <c r="T248" s="940"/>
    </row>
    <row r="249" spans="3:20">
      <c r="D249" s="72">
        <v>5120</v>
      </c>
      <c r="E249" s="73" t="s">
        <v>474</v>
      </c>
      <c r="F249" s="935" t="s">
        <v>1090</v>
      </c>
      <c r="G249" s="935" t="s">
        <v>1072</v>
      </c>
      <c r="H249" s="935" t="s">
        <v>1091</v>
      </c>
      <c r="I249" s="72">
        <v>3910</v>
      </c>
      <c r="L249" s="96" t="s">
        <v>287</v>
      </c>
      <c r="M249" s="934" t="s">
        <v>1073</v>
      </c>
      <c r="N249" s="937"/>
      <c r="P249" s="938"/>
      <c r="Q249" s="72"/>
      <c r="R249" s="73"/>
      <c r="T249" s="940"/>
    </row>
    <row r="250" spans="3:20">
      <c r="C250" s="941" t="s">
        <v>1103</v>
      </c>
      <c r="D250" s="80" t="s">
        <v>694</v>
      </c>
      <c r="E250" s="81" t="s">
        <v>695</v>
      </c>
      <c r="F250" s="942"/>
      <c r="G250" s="942"/>
      <c r="H250" s="942"/>
      <c r="I250" s="80"/>
      <c r="J250" s="944"/>
      <c r="K250" s="944"/>
      <c r="L250" s="944" t="s">
        <v>287</v>
      </c>
      <c r="M250" s="934"/>
      <c r="N250" s="937"/>
      <c r="P250" s="938"/>
      <c r="Q250" s="72"/>
      <c r="R250" s="73"/>
      <c r="T250" s="940"/>
    </row>
    <row r="251" spans="3:20">
      <c r="D251" s="72">
        <v>5230</v>
      </c>
      <c r="E251" s="73" t="s">
        <v>291</v>
      </c>
      <c r="F251" s="935" t="s">
        <v>1090</v>
      </c>
      <c r="G251" s="935" t="s">
        <v>1072</v>
      </c>
      <c r="H251" s="935" t="s">
        <v>1091</v>
      </c>
      <c r="I251" s="72">
        <v>3910</v>
      </c>
      <c r="L251" s="96" t="s">
        <v>287</v>
      </c>
      <c r="M251" s="934" t="s">
        <v>1073</v>
      </c>
      <c r="N251" s="937"/>
      <c r="P251" s="938"/>
      <c r="Q251" s="72"/>
      <c r="R251" s="73"/>
      <c r="T251" s="940"/>
    </row>
    <row r="252" spans="3:20">
      <c r="D252" s="72">
        <v>5265</v>
      </c>
      <c r="E252" s="73" t="s">
        <v>292</v>
      </c>
      <c r="F252" s="935"/>
      <c r="G252" s="935"/>
      <c r="H252" s="935"/>
      <c r="I252" s="72"/>
      <c r="L252" s="96" t="s">
        <v>287</v>
      </c>
      <c r="M252" s="934"/>
      <c r="N252" s="937"/>
      <c r="P252" s="938"/>
      <c r="Q252" s="72"/>
      <c r="R252" s="73"/>
      <c r="T252" s="940"/>
    </row>
    <row r="253" spans="3:20">
      <c r="C253" s="941" t="s">
        <v>1096</v>
      </c>
      <c r="D253" s="80">
        <v>5269</v>
      </c>
      <c r="E253" s="81" t="s">
        <v>696</v>
      </c>
      <c r="F253" s="942"/>
      <c r="G253" s="942"/>
      <c r="H253" s="942"/>
      <c r="I253" s="80"/>
      <c r="J253" s="944"/>
      <c r="K253" s="944"/>
      <c r="L253" s="944" t="s">
        <v>287</v>
      </c>
      <c r="M253" s="934"/>
      <c r="N253" s="937"/>
      <c r="P253" s="938"/>
      <c r="Q253" s="72"/>
      <c r="R253" s="73"/>
      <c r="T253" s="940"/>
    </row>
    <row r="254" spans="3:20">
      <c r="D254" s="72">
        <v>5270</v>
      </c>
      <c r="E254" s="73" t="s">
        <v>293</v>
      </c>
      <c r="F254" s="935" t="s">
        <v>1090</v>
      </c>
      <c r="G254" s="935" t="s">
        <v>1072</v>
      </c>
      <c r="H254" s="935" t="s">
        <v>1091</v>
      </c>
      <c r="I254" s="72">
        <v>3910</v>
      </c>
      <c r="L254" s="96" t="s">
        <v>294</v>
      </c>
      <c r="M254" s="934" t="s">
        <v>1073</v>
      </c>
      <c r="N254" s="937"/>
      <c r="P254" s="938"/>
      <c r="Q254" s="72"/>
      <c r="R254" s="73"/>
      <c r="T254" s="940"/>
    </row>
    <row r="255" spans="3:20">
      <c r="D255" s="72">
        <v>5280</v>
      </c>
      <c r="E255" s="73" t="s">
        <v>295</v>
      </c>
      <c r="F255" s="935" t="s">
        <v>1090</v>
      </c>
      <c r="G255" s="935" t="s">
        <v>1072</v>
      </c>
      <c r="H255" s="935" t="s">
        <v>1091</v>
      </c>
      <c r="I255" s="72">
        <v>3910</v>
      </c>
      <c r="L255" s="96" t="s">
        <v>294</v>
      </c>
      <c r="M255" s="934" t="s">
        <v>1073</v>
      </c>
      <c r="N255" s="937"/>
      <c r="P255" s="938"/>
      <c r="Q255" s="72"/>
      <c r="R255" s="73"/>
      <c r="T255" s="940"/>
    </row>
    <row r="256" spans="3:20">
      <c r="D256" s="72">
        <v>5290</v>
      </c>
      <c r="E256" s="73" t="s">
        <v>296</v>
      </c>
      <c r="F256" s="935" t="s">
        <v>1090</v>
      </c>
      <c r="G256" s="935" t="s">
        <v>1072</v>
      </c>
      <c r="H256" s="935" t="s">
        <v>1091</v>
      </c>
      <c r="I256" s="72">
        <v>3910</v>
      </c>
      <c r="L256" s="96" t="s">
        <v>294</v>
      </c>
      <c r="M256" s="934" t="s">
        <v>1073</v>
      </c>
      <c r="N256" s="937"/>
      <c r="P256" s="938"/>
      <c r="Q256" s="72"/>
      <c r="R256" s="73"/>
      <c r="T256" s="940"/>
    </row>
    <row r="257" spans="2:20">
      <c r="D257" s="72">
        <v>5300</v>
      </c>
      <c r="E257" s="73" t="s">
        <v>151</v>
      </c>
      <c r="F257" s="935" t="s">
        <v>1090</v>
      </c>
      <c r="G257" s="935" t="s">
        <v>1072</v>
      </c>
      <c r="H257" s="935" t="s">
        <v>1091</v>
      </c>
      <c r="I257" s="72">
        <v>3910</v>
      </c>
      <c r="L257" s="96" t="s">
        <v>294</v>
      </c>
      <c r="M257" s="934" t="s">
        <v>1073</v>
      </c>
      <c r="N257" s="937"/>
      <c r="P257" s="938"/>
      <c r="Q257" s="72"/>
      <c r="R257" s="73"/>
      <c r="T257" s="940"/>
    </row>
    <row r="258" spans="2:20">
      <c r="D258" s="72">
        <v>6009.1</v>
      </c>
      <c r="E258" s="73" t="s">
        <v>297</v>
      </c>
      <c r="F258" s="935"/>
      <c r="G258" s="935"/>
      <c r="H258" s="935"/>
      <c r="I258" s="72"/>
      <c r="L258" s="96" t="s">
        <v>294</v>
      </c>
      <c r="M258" s="934"/>
      <c r="N258" s="937"/>
      <c r="P258" s="938"/>
      <c r="Q258" s="72"/>
      <c r="R258" s="73"/>
      <c r="T258" s="940"/>
    </row>
    <row r="259" spans="2:20">
      <c r="C259" s="941" t="s">
        <v>1103</v>
      </c>
      <c r="D259" s="80">
        <v>6009.2</v>
      </c>
      <c r="E259" s="81" t="s">
        <v>697</v>
      </c>
      <c r="F259" s="942"/>
      <c r="G259" s="942"/>
      <c r="H259" s="942"/>
      <c r="I259" s="80"/>
      <c r="J259" s="944"/>
      <c r="K259" s="944"/>
      <c r="L259" s="944" t="s">
        <v>294</v>
      </c>
      <c r="M259" s="934"/>
      <c r="N259" s="937"/>
      <c r="P259" s="938"/>
      <c r="Q259" s="72"/>
      <c r="R259" s="73"/>
      <c r="T259" s="940"/>
    </row>
    <row r="260" spans="2:20">
      <c r="B260" s="72"/>
      <c r="D260" s="72">
        <v>6010</v>
      </c>
      <c r="E260" s="73" t="s">
        <v>298</v>
      </c>
      <c r="F260" s="935" t="s">
        <v>1090</v>
      </c>
      <c r="G260" s="935" t="s">
        <v>1072</v>
      </c>
      <c r="H260" s="935" t="s">
        <v>1091</v>
      </c>
      <c r="I260" s="72">
        <v>3910</v>
      </c>
      <c r="L260" s="96" t="s">
        <v>294</v>
      </c>
      <c r="M260" s="934" t="s">
        <v>1073</v>
      </c>
      <c r="N260" s="937"/>
      <c r="P260" s="938"/>
      <c r="Q260" s="72"/>
      <c r="R260" s="73"/>
      <c r="T260" s="940"/>
    </row>
    <row r="261" spans="2:20">
      <c r="B261" s="72"/>
      <c r="D261" s="72">
        <v>6020</v>
      </c>
      <c r="E261" s="73" t="s">
        <v>299</v>
      </c>
      <c r="F261" s="935" t="s">
        <v>1090</v>
      </c>
      <c r="G261" s="935" t="s">
        <v>1072</v>
      </c>
      <c r="H261" s="935" t="s">
        <v>1091</v>
      </c>
      <c r="I261" s="72">
        <v>3910</v>
      </c>
      <c r="L261" s="96" t="s">
        <v>294</v>
      </c>
      <c r="M261" s="934" t="s">
        <v>1073</v>
      </c>
      <c r="N261" s="937"/>
      <c r="P261" s="938"/>
      <c r="Q261" s="72"/>
      <c r="R261" s="73"/>
      <c r="T261" s="940"/>
    </row>
    <row r="262" spans="2:20">
      <c r="B262" s="72"/>
      <c r="D262" s="72">
        <v>6100</v>
      </c>
      <c r="E262" s="73" t="s">
        <v>300</v>
      </c>
      <c r="F262" s="935" t="s">
        <v>1090</v>
      </c>
      <c r="G262" s="935" t="s">
        <v>1072</v>
      </c>
      <c r="H262" s="935" t="s">
        <v>1091</v>
      </c>
      <c r="I262" s="72">
        <v>3910</v>
      </c>
      <c r="L262" s="96" t="s">
        <v>294</v>
      </c>
      <c r="M262" s="934" t="s">
        <v>1073</v>
      </c>
      <c r="N262" s="937"/>
      <c r="P262" s="938"/>
      <c r="Q262" s="72"/>
      <c r="R262" s="73"/>
      <c r="T262" s="940"/>
    </row>
    <row r="263" spans="2:20">
      <c r="B263" s="72"/>
      <c r="D263" s="72">
        <v>6120</v>
      </c>
      <c r="E263" s="73" t="s">
        <v>301</v>
      </c>
      <c r="F263" s="935" t="s">
        <v>1090</v>
      </c>
      <c r="G263" s="935" t="s">
        <v>1072</v>
      </c>
      <c r="H263" s="935" t="s">
        <v>1091</v>
      </c>
      <c r="I263" s="72">
        <v>3910</v>
      </c>
      <c r="L263" s="96" t="s">
        <v>294</v>
      </c>
      <c r="M263" s="934" t="s">
        <v>1073</v>
      </c>
      <c r="N263" s="937"/>
      <c r="P263" s="938"/>
      <c r="Q263" s="72"/>
      <c r="R263" s="73"/>
      <c r="T263" s="940"/>
    </row>
    <row r="264" spans="2:20">
      <c r="B264" s="72"/>
      <c r="D264" s="72">
        <v>6121</v>
      </c>
      <c r="E264" s="73" t="s">
        <v>302</v>
      </c>
      <c r="F264" s="935"/>
      <c r="G264" s="935"/>
      <c r="H264" s="935"/>
      <c r="I264" s="72"/>
      <c r="L264" s="96" t="s">
        <v>294</v>
      </c>
      <c r="M264" s="934"/>
      <c r="N264" s="937"/>
      <c r="P264" s="938"/>
      <c r="Q264" s="72"/>
      <c r="R264" s="73"/>
      <c r="T264" s="940"/>
    </row>
    <row r="265" spans="2:20">
      <c r="B265" s="72"/>
      <c r="D265" s="72">
        <v>6130</v>
      </c>
      <c r="E265" s="73" t="s">
        <v>303</v>
      </c>
      <c r="F265" s="935" t="s">
        <v>1090</v>
      </c>
      <c r="G265" s="935" t="s">
        <v>1072</v>
      </c>
      <c r="H265" s="935" t="s">
        <v>1091</v>
      </c>
      <c r="I265" s="72">
        <v>3910</v>
      </c>
      <c r="L265" s="96" t="s">
        <v>294</v>
      </c>
      <c r="M265" s="934" t="s">
        <v>1073</v>
      </c>
      <c r="N265" s="937"/>
      <c r="P265" s="938"/>
      <c r="Q265" s="72"/>
      <c r="R265" s="73"/>
      <c r="T265" s="940"/>
    </row>
    <row r="266" spans="2:20">
      <c r="B266" s="72"/>
      <c r="D266" s="72">
        <v>6140</v>
      </c>
      <c r="E266" s="73" t="s">
        <v>304</v>
      </c>
      <c r="F266" s="935" t="s">
        <v>1090</v>
      </c>
      <c r="G266" s="935" t="s">
        <v>1072</v>
      </c>
      <c r="H266" s="935" t="s">
        <v>1091</v>
      </c>
      <c r="I266" s="72">
        <v>3910</v>
      </c>
      <c r="L266" s="96" t="s">
        <v>294</v>
      </c>
      <c r="M266" s="934" t="s">
        <v>1073</v>
      </c>
      <c r="N266" s="937"/>
      <c r="P266" s="938"/>
      <c r="Q266" s="72"/>
      <c r="R266" s="73"/>
      <c r="T266" s="940"/>
    </row>
    <row r="267" spans="2:20">
      <c r="B267" s="72"/>
      <c r="D267" s="72">
        <v>6145.1</v>
      </c>
      <c r="E267" s="73" t="s">
        <v>305</v>
      </c>
      <c r="F267" s="935"/>
      <c r="G267" s="935"/>
      <c r="H267" s="935"/>
      <c r="I267" s="72"/>
      <c r="L267" s="96" t="s">
        <v>294</v>
      </c>
      <c r="M267" s="934"/>
      <c r="N267" s="937"/>
      <c r="P267" s="938"/>
      <c r="Q267" s="72"/>
      <c r="R267" s="73"/>
      <c r="T267" s="940"/>
    </row>
    <row r="268" spans="2:20">
      <c r="B268" s="72"/>
      <c r="D268" s="72">
        <v>6146</v>
      </c>
      <c r="E268" s="73" t="s">
        <v>306</v>
      </c>
      <c r="F268" s="935"/>
      <c r="G268" s="935"/>
      <c r="H268" s="935"/>
      <c r="I268" s="72"/>
      <c r="L268" s="96" t="s">
        <v>294</v>
      </c>
      <c r="M268" s="934"/>
      <c r="N268" s="937"/>
      <c r="P268" s="938"/>
      <c r="Q268" s="72"/>
      <c r="R268" s="73"/>
      <c r="T268" s="940"/>
    </row>
    <row r="269" spans="2:20">
      <c r="B269" s="72"/>
      <c r="D269" s="72">
        <v>6160</v>
      </c>
      <c r="E269" s="73" t="s">
        <v>307</v>
      </c>
      <c r="F269" s="935" t="s">
        <v>1090</v>
      </c>
      <c r="G269" s="935" t="s">
        <v>1072</v>
      </c>
      <c r="H269" s="935" t="s">
        <v>1091</v>
      </c>
      <c r="I269" s="72">
        <v>3910</v>
      </c>
      <c r="L269" s="96" t="s">
        <v>294</v>
      </c>
      <c r="M269" s="934" t="s">
        <v>1073</v>
      </c>
      <c r="N269" s="937"/>
      <c r="P269" s="938"/>
      <c r="Q269" s="72"/>
      <c r="R269" s="73"/>
      <c r="T269" s="940"/>
    </row>
    <row r="270" spans="2:20">
      <c r="B270" s="72"/>
      <c r="D270" s="72">
        <v>6165</v>
      </c>
      <c r="E270" s="73" t="s">
        <v>308</v>
      </c>
      <c r="F270" s="935"/>
      <c r="G270" s="935"/>
      <c r="H270" s="935"/>
      <c r="I270" s="72"/>
      <c r="L270" s="96" t="s">
        <v>294</v>
      </c>
      <c r="M270" s="934"/>
      <c r="N270" s="937"/>
      <c r="P270" s="938"/>
      <c r="Q270" s="72"/>
      <c r="R270" s="73"/>
      <c r="T270" s="940"/>
    </row>
    <row r="271" spans="2:20">
      <c r="B271" s="72"/>
      <c r="C271" s="941" t="s">
        <v>1103</v>
      </c>
      <c r="D271" s="80">
        <v>6165.1</v>
      </c>
      <c r="E271" s="81" t="s">
        <v>698</v>
      </c>
      <c r="F271" s="942"/>
      <c r="G271" s="942"/>
      <c r="H271" s="942"/>
      <c r="I271" s="80"/>
      <c r="J271" s="944"/>
      <c r="K271" s="944"/>
      <c r="L271" s="944" t="s">
        <v>294</v>
      </c>
      <c r="M271" s="934"/>
      <c r="N271" s="937"/>
      <c r="P271" s="938"/>
      <c r="Q271" s="72"/>
      <c r="R271" s="73"/>
      <c r="T271" s="940"/>
    </row>
    <row r="272" spans="2:20">
      <c r="B272" s="72"/>
      <c r="D272" s="72">
        <v>6170</v>
      </c>
      <c r="E272" s="73" t="s">
        <v>309</v>
      </c>
      <c r="F272" s="935" t="s">
        <v>1090</v>
      </c>
      <c r="G272" s="935" t="s">
        <v>1072</v>
      </c>
      <c r="H272" s="935" t="s">
        <v>1091</v>
      </c>
      <c r="I272" s="72">
        <v>3910</v>
      </c>
      <c r="L272" s="96" t="s">
        <v>294</v>
      </c>
      <c r="M272" s="934" t="s">
        <v>1073</v>
      </c>
      <c r="N272" s="937"/>
      <c r="P272" s="938"/>
      <c r="Q272" s="72"/>
      <c r="R272" s="73"/>
      <c r="T272" s="940"/>
    </row>
    <row r="273" spans="2:20">
      <c r="B273" s="72"/>
      <c r="D273" s="72">
        <v>6180</v>
      </c>
      <c r="E273" s="73" t="s">
        <v>310</v>
      </c>
      <c r="F273" s="935" t="s">
        <v>1090</v>
      </c>
      <c r="G273" s="935" t="s">
        <v>1072</v>
      </c>
      <c r="H273" s="935" t="s">
        <v>1091</v>
      </c>
      <c r="I273" s="72">
        <v>3910</v>
      </c>
      <c r="L273" s="96" t="s">
        <v>294</v>
      </c>
      <c r="M273" s="934" t="s">
        <v>1073</v>
      </c>
      <c r="N273" s="937"/>
      <c r="P273" s="938"/>
      <c r="Q273" s="72"/>
      <c r="R273" s="73"/>
      <c r="T273" s="940"/>
    </row>
    <row r="274" spans="2:20">
      <c r="B274" s="92"/>
      <c r="D274" s="72">
        <v>6190</v>
      </c>
      <c r="E274" s="73" t="s">
        <v>311</v>
      </c>
      <c r="F274" s="935" t="s">
        <v>1090</v>
      </c>
      <c r="G274" s="935" t="s">
        <v>1072</v>
      </c>
      <c r="H274" s="935" t="s">
        <v>1091</v>
      </c>
      <c r="I274" s="72">
        <v>3910</v>
      </c>
      <c r="L274" s="96" t="s">
        <v>294</v>
      </c>
      <c r="M274" s="934" t="s">
        <v>1073</v>
      </c>
      <c r="N274" s="937"/>
      <c r="P274" s="938"/>
      <c r="Q274" s="72"/>
      <c r="R274" s="73"/>
      <c r="T274" s="940"/>
    </row>
    <row r="275" spans="2:20">
      <c r="B275" s="72"/>
      <c r="D275" s="72">
        <v>6200</v>
      </c>
      <c r="E275" s="73" t="s">
        <v>312</v>
      </c>
      <c r="F275" s="935" t="s">
        <v>1090</v>
      </c>
      <c r="G275" s="935" t="s">
        <v>1072</v>
      </c>
      <c r="H275" s="935" t="s">
        <v>1091</v>
      </c>
      <c r="I275" s="72">
        <v>3910</v>
      </c>
      <c r="L275" s="96" t="s">
        <v>294</v>
      </c>
      <c r="M275" s="934" t="s">
        <v>1073</v>
      </c>
      <c r="N275" s="937"/>
      <c r="P275" s="938"/>
      <c r="Q275" s="72"/>
      <c r="R275" s="73"/>
      <c r="T275" s="940"/>
    </row>
    <row r="276" spans="2:20">
      <c r="B276" s="72"/>
      <c r="D276" s="72">
        <v>6210</v>
      </c>
      <c r="E276" s="73" t="s">
        <v>313</v>
      </c>
      <c r="F276" s="935" t="s">
        <v>1090</v>
      </c>
      <c r="G276" s="935" t="s">
        <v>1072</v>
      </c>
      <c r="H276" s="935" t="s">
        <v>1091</v>
      </c>
      <c r="I276" s="72">
        <v>3910</v>
      </c>
      <c r="L276" s="96" t="s">
        <v>294</v>
      </c>
      <c r="M276" s="934" t="s">
        <v>1073</v>
      </c>
      <c r="N276" s="937"/>
      <c r="P276" s="938"/>
      <c r="Q276" s="72"/>
      <c r="R276" s="73"/>
      <c r="T276" s="940"/>
    </row>
    <row r="277" spans="2:20">
      <c r="B277" s="72"/>
      <c r="D277" s="72">
        <v>6220</v>
      </c>
      <c r="E277" s="73" t="s">
        <v>152</v>
      </c>
      <c r="F277" s="935" t="s">
        <v>1090</v>
      </c>
      <c r="G277" s="935" t="s">
        <v>1072</v>
      </c>
      <c r="H277" s="935" t="s">
        <v>1091</v>
      </c>
      <c r="I277" s="72">
        <v>3910</v>
      </c>
      <c r="L277" s="96" t="s">
        <v>294</v>
      </c>
      <c r="M277" s="934" t="s">
        <v>1073</v>
      </c>
      <c r="N277" s="937"/>
      <c r="P277" s="938"/>
      <c r="Q277" s="72"/>
      <c r="R277" s="73"/>
      <c r="T277" s="940"/>
    </row>
    <row r="278" spans="2:20">
      <c r="B278" s="72"/>
      <c r="D278" s="72">
        <v>6225</v>
      </c>
      <c r="E278" s="73" t="s">
        <v>314</v>
      </c>
      <c r="F278" s="935"/>
      <c r="G278" s="935"/>
      <c r="H278" s="935"/>
      <c r="I278" s="72"/>
      <c r="L278" s="96" t="s">
        <v>294</v>
      </c>
      <c r="M278" s="934"/>
      <c r="N278" s="937"/>
      <c r="P278" s="938"/>
      <c r="Q278" s="72"/>
      <c r="R278" s="73"/>
      <c r="T278" s="940"/>
    </row>
    <row r="279" spans="2:20">
      <c r="B279" s="72"/>
      <c r="D279" s="72">
        <v>6230</v>
      </c>
      <c r="E279" s="73" t="s">
        <v>17</v>
      </c>
      <c r="F279" s="935" t="s">
        <v>1090</v>
      </c>
      <c r="G279" s="935" t="s">
        <v>1072</v>
      </c>
      <c r="H279" s="935" t="s">
        <v>1091</v>
      </c>
      <c r="I279" s="72">
        <v>3910</v>
      </c>
      <c r="L279" s="96" t="s">
        <v>294</v>
      </c>
      <c r="M279" s="934" t="s">
        <v>1073</v>
      </c>
      <c r="N279" s="937"/>
      <c r="P279" s="938"/>
      <c r="Q279" s="72"/>
      <c r="R279" s="73"/>
      <c r="T279" s="940"/>
    </row>
    <row r="280" spans="2:20">
      <c r="B280" s="72"/>
      <c r="D280" s="72">
        <v>6230.1</v>
      </c>
      <c r="E280" s="73" t="s">
        <v>315</v>
      </c>
      <c r="F280" s="935"/>
      <c r="G280" s="935"/>
      <c r="H280" s="935"/>
      <c r="I280" s="72"/>
      <c r="L280" s="96" t="s">
        <v>294</v>
      </c>
      <c r="M280" s="934"/>
      <c r="N280" s="937"/>
      <c r="P280" s="938"/>
      <c r="Q280" s="72"/>
      <c r="R280" s="73"/>
      <c r="T280" s="940"/>
    </row>
    <row r="281" spans="2:20">
      <c r="B281" s="72"/>
      <c r="D281" s="72">
        <v>6240</v>
      </c>
      <c r="E281" s="73" t="s">
        <v>316</v>
      </c>
      <c r="F281" s="935" t="s">
        <v>1090</v>
      </c>
      <c r="G281" s="935" t="s">
        <v>1072</v>
      </c>
      <c r="H281" s="935" t="s">
        <v>1091</v>
      </c>
      <c r="I281" s="72">
        <v>3910</v>
      </c>
      <c r="L281" s="96" t="s">
        <v>294</v>
      </c>
      <c r="M281" s="934" t="s">
        <v>1073</v>
      </c>
      <c r="N281" s="937"/>
      <c r="P281" s="938"/>
      <c r="Q281" s="72"/>
      <c r="R281" s="73"/>
      <c r="T281" s="940"/>
    </row>
    <row r="282" spans="2:20">
      <c r="B282" s="72"/>
      <c r="D282" s="72">
        <v>6250</v>
      </c>
      <c r="E282" s="73" t="s">
        <v>317</v>
      </c>
      <c r="F282" s="935" t="s">
        <v>1090</v>
      </c>
      <c r="G282" s="935" t="s">
        <v>1072</v>
      </c>
      <c r="H282" s="935" t="s">
        <v>1091</v>
      </c>
      <c r="I282" s="72">
        <v>3910</v>
      </c>
      <c r="L282" s="96" t="s">
        <v>294</v>
      </c>
      <c r="M282" s="934" t="s">
        <v>1073</v>
      </c>
      <c r="N282" s="937"/>
      <c r="P282" s="938"/>
      <c r="Q282" s="72"/>
      <c r="R282" s="73"/>
      <c r="T282" s="940"/>
    </row>
    <row r="283" spans="2:20">
      <c r="B283" s="72"/>
      <c r="D283" s="72">
        <v>6260</v>
      </c>
      <c r="E283" s="73" t="s">
        <v>16</v>
      </c>
      <c r="F283" s="935" t="s">
        <v>1090</v>
      </c>
      <c r="G283" s="935" t="s">
        <v>1072</v>
      </c>
      <c r="H283" s="935" t="s">
        <v>1091</v>
      </c>
      <c r="I283" s="72">
        <v>3910</v>
      </c>
      <c r="L283" s="96" t="s">
        <v>294</v>
      </c>
      <c r="M283" s="934" t="s">
        <v>1073</v>
      </c>
      <c r="N283" s="937"/>
      <c r="P283" s="938"/>
      <c r="Q283" s="72"/>
      <c r="R283" s="73"/>
      <c r="T283" s="940"/>
    </row>
    <row r="284" spans="2:20">
      <c r="B284" s="72"/>
      <c r="D284" s="72">
        <v>6270</v>
      </c>
      <c r="E284" s="73" t="s">
        <v>318</v>
      </c>
      <c r="F284" s="935" t="s">
        <v>1090</v>
      </c>
      <c r="G284" s="935" t="s">
        <v>1072</v>
      </c>
      <c r="H284" s="935" t="s">
        <v>1091</v>
      </c>
      <c r="I284" s="72">
        <v>3910</v>
      </c>
      <c r="L284" s="96" t="s">
        <v>294</v>
      </c>
      <c r="M284" s="934" t="s">
        <v>1073</v>
      </c>
      <c r="N284" s="937"/>
      <c r="P284" s="938"/>
      <c r="Q284" s="72"/>
      <c r="R284" s="73"/>
      <c r="T284" s="940"/>
    </row>
    <row r="285" spans="2:20">
      <c r="B285" s="72"/>
      <c r="D285" s="72">
        <v>6280</v>
      </c>
      <c r="E285" s="73" t="s">
        <v>319</v>
      </c>
      <c r="F285" s="935" t="s">
        <v>1090</v>
      </c>
      <c r="G285" s="935" t="s">
        <v>1072</v>
      </c>
      <c r="H285" s="935" t="s">
        <v>1091</v>
      </c>
      <c r="I285" s="72">
        <v>3910</v>
      </c>
      <c r="L285" s="96" t="s">
        <v>294</v>
      </c>
      <c r="M285" s="934" t="s">
        <v>1073</v>
      </c>
      <c r="N285" s="937"/>
      <c r="P285" s="938"/>
      <c r="Q285" s="72"/>
      <c r="R285" s="73"/>
      <c r="T285" s="940"/>
    </row>
    <row r="286" spans="2:20">
      <c r="B286" s="72"/>
      <c r="C286" s="929"/>
      <c r="D286" s="72">
        <v>6290</v>
      </c>
      <c r="E286" s="73" t="s">
        <v>468</v>
      </c>
      <c r="F286" s="935" t="s">
        <v>1090</v>
      </c>
      <c r="G286" s="935" t="s">
        <v>1072</v>
      </c>
      <c r="H286" s="935" t="s">
        <v>1091</v>
      </c>
      <c r="I286" s="72">
        <v>3910</v>
      </c>
      <c r="L286" s="96" t="s">
        <v>294</v>
      </c>
      <c r="M286" s="934" t="s">
        <v>1073</v>
      </c>
      <c r="N286" s="937"/>
      <c r="P286" s="938"/>
      <c r="Q286" s="72"/>
      <c r="R286" s="73"/>
      <c r="T286" s="940"/>
    </row>
    <row r="287" spans="2:20">
      <c r="B287" s="72"/>
      <c r="D287" s="72">
        <v>6300</v>
      </c>
      <c r="E287" s="73" t="s">
        <v>320</v>
      </c>
      <c r="F287" s="935" t="s">
        <v>1090</v>
      </c>
      <c r="G287" s="935" t="s">
        <v>1072</v>
      </c>
      <c r="H287" s="935" t="s">
        <v>1091</v>
      </c>
      <c r="I287" s="72">
        <v>3910</v>
      </c>
      <c r="L287" s="96" t="s">
        <v>294</v>
      </c>
      <c r="M287" s="934" t="s">
        <v>1073</v>
      </c>
      <c r="N287" s="937"/>
      <c r="P287" s="938"/>
      <c r="Q287" s="72"/>
      <c r="R287" s="73"/>
      <c r="T287" s="940"/>
    </row>
    <row r="288" spans="2:20">
      <c r="B288" s="72"/>
      <c r="D288" s="72">
        <v>6310</v>
      </c>
      <c r="E288" s="73" t="s">
        <v>321</v>
      </c>
      <c r="F288" s="935" t="s">
        <v>1090</v>
      </c>
      <c r="G288" s="935" t="s">
        <v>1072</v>
      </c>
      <c r="H288" s="935" t="s">
        <v>1091</v>
      </c>
      <c r="I288" s="72">
        <v>3910</v>
      </c>
      <c r="L288" s="96" t="s">
        <v>294</v>
      </c>
      <c r="M288" s="934" t="s">
        <v>1073</v>
      </c>
      <c r="N288" s="937"/>
      <c r="P288" s="938"/>
      <c r="Q288" s="72"/>
      <c r="R288" s="73"/>
      <c r="T288" s="940"/>
    </row>
    <row r="289" spans="2:20">
      <c r="B289" s="72"/>
      <c r="D289" s="72">
        <v>6320</v>
      </c>
      <c r="E289" s="73" t="s">
        <v>19</v>
      </c>
      <c r="F289" s="935" t="s">
        <v>1090</v>
      </c>
      <c r="G289" s="935" t="s">
        <v>1072</v>
      </c>
      <c r="H289" s="935" t="s">
        <v>1091</v>
      </c>
      <c r="I289" s="72">
        <v>3910</v>
      </c>
      <c r="L289" s="96" t="s">
        <v>294</v>
      </c>
      <c r="M289" s="934" t="s">
        <v>1073</v>
      </c>
      <c r="N289" s="937"/>
      <c r="P289" s="938"/>
      <c r="Q289" s="72"/>
      <c r="R289" s="73"/>
      <c r="T289" s="940"/>
    </row>
    <row r="290" spans="2:20">
      <c r="B290" s="72"/>
      <c r="D290" s="72">
        <v>6330</v>
      </c>
      <c r="E290" s="73" t="s">
        <v>322</v>
      </c>
      <c r="F290" s="935" t="s">
        <v>1090</v>
      </c>
      <c r="G290" s="935" t="s">
        <v>1072</v>
      </c>
      <c r="H290" s="935" t="s">
        <v>1091</v>
      </c>
      <c r="I290" s="72">
        <v>3910</v>
      </c>
      <c r="L290" s="96" t="s">
        <v>294</v>
      </c>
      <c r="M290" s="934" t="s">
        <v>1073</v>
      </c>
      <c r="N290" s="937"/>
      <c r="P290" s="938"/>
      <c r="Q290" s="72"/>
      <c r="R290" s="73"/>
      <c r="T290" s="940"/>
    </row>
    <row r="291" spans="2:20">
      <c r="B291" s="72"/>
      <c r="D291" s="72">
        <v>6331</v>
      </c>
      <c r="E291" s="73" t="s">
        <v>323</v>
      </c>
      <c r="F291" s="935"/>
      <c r="G291" s="935"/>
      <c r="H291" s="935"/>
      <c r="I291" s="72"/>
      <c r="L291" s="96" t="s">
        <v>294</v>
      </c>
      <c r="M291" s="934"/>
      <c r="N291" s="937"/>
      <c r="P291" s="938"/>
      <c r="Q291" s="72"/>
      <c r="R291" s="73"/>
      <c r="T291" s="940"/>
    </row>
    <row r="292" spans="2:20">
      <c r="B292" s="72"/>
      <c r="D292" s="72">
        <v>6340</v>
      </c>
      <c r="E292" s="73" t="s">
        <v>324</v>
      </c>
      <c r="F292" s="935" t="s">
        <v>1090</v>
      </c>
      <c r="G292" s="935" t="s">
        <v>1072</v>
      </c>
      <c r="H292" s="935" t="s">
        <v>1091</v>
      </c>
      <c r="I292" s="72">
        <v>3910</v>
      </c>
      <c r="L292" s="96" t="s">
        <v>294</v>
      </c>
      <c r="M292" s="934" t="s">
        <v>1073</v>
      </c>
      <c r="N292" s="937"/>
      <c r="P292" s="938"/>
      <c r="Q292" s="72"/>
      <c r="R292" s="73"/>
      <c r="T292" s="940"/>
    </row>
    <row r="293" spans="2:20">
      <c r="B293" s="72"/>
      <c r="D293" s="72">
        <v>6350</v>
      </c>
      <c r="E293" s="73" t="s">
        <v>325</v>
      </c>
      <c r="F293" s="935" t="s">
        <v>1090</v>
      </c>
      <c r="G293" s="935" t="s">
        <v>1072</v>
      </c>
      <c r="H293" s="935" t="s">
        <v>1091</v>
      </c>
      <c r="I293" s="72">
        <v>3910</v>
      </c>
      <c r="L293" s="96" t="s">
        <v>294</v>
      </c>
      <c r="M293" s="934" t="s">
        <v>1073</v>
      </c>
      <c r="N293" s="937"/>
      <c r="P293" s="938"/>
      <c r="Q293" s="72"/>
      <c r="R293" s="73"/>
      <c r="T293" s="940"/>
    </row>
    <row r="294" spans="2:20">
      <c r="B294" s="72"/>
      <c r="D294" s="72">
        <v>6351</v>
      </c>
      <c r="E294" s="73" t="s">
        <v>185</v>
      </c>
      <c r="F294" s="935"/>
      <c r="G294" s="935"/>
      <c r="H294" s="935"/>
      <c r="I294" s="72"/>
      <c r="L294" s="96" t="s">
        <v>294</v>
      </c>
      <c r="M294" s="934"/>
      <c r="N294" s="937"/>
      <c r="P294" s="938"/>
      <c r="Q294" s="72"/>
      <c r="R294" s="73"/>
      <c r="T294" s="940"/>
    </row>
    <row r="295" spans="2:20">
      <c r="B295" s="72"/>
      <c r="D295" s="72">
        <v>6360</v>
      </c>
      <c r="E295" s="73" t="s">
        <v>326</v>
      </c>
      <c r="F295" s="935" t="s">
        <v>1090</v>
      </c>
      <c r="G295" s="935" t="s">
        <v>1072</v>
      </c>
      <c r="H295" s="935" t="s">
        <v>1091</v>
      </c>
      <c r="I295" s="72">
        <v>3910</v>
      </c>
      <c r="L295" s="96" t="s">
        <v>294</v>
      </c>
      <c r="M295" s="934" t="s">
        <v>1073</v>
      </c>
      <c r="N295" s="937"/>
      <c r="P295" s="938"/>
      <c r="Q295" s="72"/>
      <c r="R295" s="73"/>
      <c r="T295" s="940"/>
    </row>
    <row r="296" spans="2:20">
      <c r="B296" s="72"/>
      <c r="D296" s="72">
        <v>6367</v>
      </c>
      <c r="E296" s="73" t="s">
        <v>327</v>
      </c>
      <c r="F296" s="935"/>
      <c r="G296" s="935"/>
      <c r="H296" s="935"/>
      <c r="I296" s="72"/>
      <c r="L296" s="96" t="s">
        <v>294</v>
      </c>
      <c r="M296" s="934"/>
      <c r="N296" s="937"/>
      <c r="P296" s="938"/>
      <c r="Q296" s="72"/>
      <c r="R296" s="73"/>
      <c r="T296" s="940"/>
    </row>
    <row r="297" spans="2:20">
      <c r="B297" s="72"/>
      <c r="D297" s="72">
        <v>6370</v>
      </c>
      <c r="E297" s="73" t="s">
        <v>328</v>
      </c>
      <c r="F297" s="935" t="s">
        <v>1090</v>
      </c>
      <c r="G297" s="935" t="s">
        <v>1072</v>
      </c>
      <c r="H297" s="935" t="s">
        <v>1091</v>
      </c>
      <c r="I297" s="72">
        <v>3910</v>
      </c>
      <c r="L297" s="96" t="s">
        <v>294</v>
      </c>
      <c r="M297" s="934" t="s">
        <v>1073</v>
      </c>
      <c r="N297" s="937"/>
      <c r="P297" s="938"/>
      <c r="Q297" s="72"/>
      <c r="R297" s="73"/>
      <c r="T297" s="940"/>
    </row>
    <row r="298" spans="2:20">
      <c r="B298" s="72"/>
      <c r="D298" s="72">
        <v>6395</v>
      </c>
      <c r="E298" s="73" t="s">
        <v>1104</v>
      </c>
      <c r="F298" s="935"/>
      <c r="G298" s="935"/>
      <c r="H298" s="935"/>
      <c r="I298" s="72"/>
      <c r="L298" s="96" t="s">
        <v>294</v>
      </c>
      <c r="M298" s="934"/>
      <c r="N298" s="937"/>
      <c r="P298" s="938"/>
      <c r="Q298" s="72"/>
      <c r="R298" s="73"/>
      <c r="T298" s="940"/>
    </row>
    <row r="299" spans="2:20" ht="15" thickBot="1">
      <c r="B299" s="72"/>
      <c r="C299" s="941" t="s">
        <v>1096</v>
      </c>
      <c r="D299" s="80">
        <v>6399</v>
      </c>
      <c r="E299" s="81" t="s">
        <v>699</v>
      </c>
      <c r="F299" s="942"/>
      <c r="G299" s="942"/>
      <c r="H299" s="942"/>
      <c r="I299" s="80"/>
      <c r="J299" s="944"/>
      <c r="K299" s="944"/>
      <c r="L299" s="944" t="s">
        <v>294</v>
      </c>
      <c r="M299" s="934"/>
      <c r="N299" s="937"/>
      <c r="P299" s="938"/>
      <c r="Q299" s="72"/>
      <c r="R299" s="73"/>
      <c r="T299" s="940"/>
    </row>
    <row r="300" spans="2:20">
      <c r="B300" s="72"/>
      <c r="C300" s="958" t="s">
        <v>1081</v>
      </c>
      <c r="D300" s="959">
        <v>6400</v>
      </c>
      <c r="E300" s="960" t="s">
        <v>700</v>
      </c>
      <c r="F300" s="961"/>
      <c r="G300" s="961"/>
      <c r="H300" s="961"/>
      <c r="I300" s="959"/>
      <c r="J300" s="962"/>
      <c r="K300" s="962"/>
      <c r="L300" s="963" t="s">
        <v>701</v>
      </c>
      <c r="M300" s="934"/>
      <c r="N300" s="937"/>
      <c r="P300" s="938"/>
      <c r="Q300" s="72"/>
      <c r="R300" s="73"/>
      <c r="T300" s="940"/>
    </row>
    <row r="301" spans="2:20">
      <c r="B301" s="72"/>
      <c r="C301" s="955" t="s">
        <v>1081</v>
      </c>
      <c r="D301" s="80">
        <v>6405</v>
      </c>
      <c r="E301" s="81" t="s">
        <v>702</v>
      </c>
      <c r="F301" s="942"/>
      <c r="G301" s="942"/>
      <c r="H301" s="942"/>
      <c r="I301" s="80"/>
      <c r="J301" s="944"/>
      <c r="K301" s="944"/>
      <c r="L301" s="964" t="s">
        <v>701</v>
      </c>
      <c r="M301" s="934"/>
      <c r="N301" s="937"/>
      <c r="P301" s="938"/>
      <c r="Q301" s="72"/>
      <c r="R301" s="73"/>
      <c r="T301" s="940"/>
    </row>
    <row r="302" spans="2:20">
      <c r="B302" s="72"/>
      <c r="C302" s="955" t="s">
        <v>1081</v>
      </c>
      <c r="D302" s="80">
        <v>6410</v>
      </c>
      <c r="E302" s="81" t="s">
        <v>703</v>
      </c>
      <c r="F302" s="942"/>
      <c r="G302" s="942"/>
      <c r="H302" s="942"/>
      <c r="I302" s="80"/>
      <c r="J302" s="944"/>
      <c r="K302" s="944"/>
      <c r="L302" s="964" t="s">
        <v>701</v>
      </c>
      <c r="M302" s="934"/>
      <c r="N302" s="937"/>
      <c r="P302" s="938"/>
      <c r="Q302" s="72"/>
      <c r="R302" s="73"/>
      <c r="T302" s="940"/>
    </row>
    <row r="303" spans="2:20">
      <c r="B303" s="72"/>
      <c r="C303" s="955" t="s">
        <v>1081</v>
      </c>
      <c r="D303" s="80">
        <v>6415</v>
      </c>
      <c r="E303" s="81" t="s">
        <v>704</v>
      </c>
      <c r="F303" s="942"/>
      <c r="G303" s="942"/>
      <c r="H303" s="942"/>
      <c r="I303" s="80"/>
      <c r="J303" s="944"/>
      <c r="K303" s="944"/>
      <c r="L303" s="964" t="s">
        <v>701</v>
      </c>
      <c r="M303" s="934"/>
      <c r="N303" s="937"/>
      <c r="P303" s="938"/>
      <c r="Q303" s="72"/>
      <c r="R303" s="73"/>
      <c r="T303" s="940"/>
    </row>
    <row r="304" spans="2:20" ht="15" thickBot="1">
      <c r="B304" s="72"/>
      <c r="C304" s="965" t="s">
        <v>1081</v>
      </c>
      <c r="D304" s="966">
        <v>6420</v>
      </c>
      <c r="E304" s="967" t="s">
        <v>705</v>
      </c>
      <c r="F304" s="968"/>
      <c r="G304" s="968"/>
      <c r="H304" s="968"/>
      <c r="I304" s="966"/>
      <c r="J304" s="969"/>
      <c r="K304" s="969"/>
      <c r="L304" s="970" t="s">
        <v>701</v>
      </c>
      <c r="M304" s="934"/>
      <c r="N304" s="937"/>
      <c r="P304" s="938"/>
      <c r="Q304" s="72"/>
      <c r="R304" s="73"/>
      <c r="T304" s="940"/>
    </row>
    <row r="305" spans="2:20">
      <c r="B305" s="72"/>
      <c r="D305" s="72">
        <v>6508</v>
      </c>
      <c r="E305" s="73" t="s">
        <v>199</v>
      </c>
      <c r="F305" s="935" t="s">
        <v>1090</v>
      </c>
      <c r="G305" s="935" t="s">
        <v>1072</v>
      </c>
      <c r="H305" s="935" t="s">
        <v>1091</v>
      </c>
      <c r="I305" s="72">
        <v>3910</v>
      </c>
      <c r="L305" s="96" t="s">
        <v>329</v>
      </c>
      <c r="M305" s="934" t="s">
        <v>1073</v>
      </c>
      <c r="N305" s="937"/>
      <c r="P305" s="938"/>
      <c r="Q305" s="72"/>
      <c r="R305" s="73"/>
      <c r="T305" s="940"/>
    </row>
    <row r="306" spans="2:20">
      <c r="B306" s="72"/>
      <c r="D306" s="72">
        <v>6510</v>
      </c>
      <c r="E306" s="73" t="s">
        <v>149</v>
      </c>
      <c r="F306" s="935" t="s">
        <v>1090</v>
      </c>
      <c r="G306" s="935" t="s">
        <v>1072</v>
      </c>
      <c r="H306" s="935" t="s">
        <v>1091</v>
      </c>
      <c r="I306" s="72">
        <v>3910</v>
      </c>
      <c r="L306" s="96" t="s">
        <v>329</v>
      </c>
      <c r="M306" s="934" t="s">
        <v>1073</v>
      </c>
      <c r="N306" s="937"/>
      <c r="P306" s="938"/>
      <c r="Q306" s="73"/>
      <c r="R306" s="73"/>
      <c r="T306" s="940"/>
    </row>
    <row r="307" spans="2:20">
      <c r="B307" s="72"/>
      <c r="D307" s="72">
        <v>6510.1</v>
      </c>
      <c r="E307" s="73" t="s">
        <v>330</v>
      </c>
      <c r="F307" s="935"/>
      <c r="G307" s="935"/>
      <c r="H307" s="935"/>
      <c r="I307" s="72"/>
      <c r="L307" s="96" t="s">
        <v>329</v>
      </c>
      <c r="M307" s="953"/>
      <c r="N307" s="971"/>
      <c r="O307" s="97"/>
      <c r="P307" s="938"/>
      <c r="Q307" s="72"/>
      <c r="R307" s="73"/>
      <c r="T307" s="940"/>
    </row>
    <row r="308" spans="2:20">
      <c r="B308" s="72"/>
      <c r="D308" s="72">
        <v>6512</v>
      </c>
      <c r="E308" s="73" t="s">
        <v>153</v>
      </c>
      <c r="F308" s="935" t="s">
        <v>1090</v>
      </c>
      <c r="G308" s="935" t="s">
        <v>1072</v>
      </c>
      <c r="H308" s="935" t="s">
        <v>1091</v>
      </c>
      <c r="I308" s="72">
        <v>3910</v>
      </c>
      <c r="L308" s="96" t="s">
        <v>329</v>
      </c>
      <c r="M308" s="934"/>
      <c r="N308" s="937"/>
      <c r="P308" s="938"/>
      <c r="Q308" s="72"/>
      <c r="R308" s="73"/>
      <c r="T308" s="940"/>
    </row>
    <row r="309" spans="2:20">
      <c r="B309" s="72"/>
      <c r="C309" s="955" t="s">
        <v>1081</v>
      </c>
      <c r="D309" s="80">
        <v>6513</v>
      </c>
      <c r="E309" s="81" t="s">
        <v>1105</v>
      </c>
      <c r="F309" s="942"/>
      <c r="G309" s="942"/>
      <c r="H309" s="942"/>
      <c r="I309" s="80"/>
      <c r="J309" s="944"/>
      <c r="K309" s="944"/>
      <c r="L309" s="944" t="s">
        <v>329</v>
      </c>
      <c r="M309" s="934"/>
      <c r="N309" s="937"/>
      <c r="P309" s="938"/>
      <c r="Q309" s="72"/>
      <c r="R309" s="73"/>
      <c r="T309" s="940"/>
    </row>
    <row r="310" spans="2:20">
      <c r="B310" s="72"/>
      <c r="D310" s="72">
        <v>6515</v>
      </c>
      <c r="E310" s="73" t="s">
        <v>331</v>
      </c>
      <c r="F310" s="935" t="s">
        <v>1106</v>
      </c>
      <c r="G310" s="935" t="s">
        <v>1072</v>
      </c>
      <c r="H310" s="935" t="s">
        <v>1091</v>
      </c>
      <c r="I310" s="72">
        <v>3910</v>
      </c>
      <c r="L310" s="96" t="s">
        <v>329</v>
      </c>
      <c r="M310" s="934"/>
      <c r="N310" s="937"/>
      <c r="P310" s="938"/>
      <c r="Q310" s="72"/>
      <c r="R310" s="73"/>
      <c r="T310" s="940"/>
    </row>
    <row r="311" spans="2:20">
      <c r="B311" s="72"/>
      <c r="D311" s="72">
        <v>6516</v>
      </c>
      <c r="E311" s="73" t="s">
        <v>332</v>
      </c>
      <c r="F311" s="935"/>
      <c r="G311" s="935"/>
      <c r="H311" s="935"/>
      <c r="I311" s="72"/>
      <c r="L311" s="96" t="s">
        <v>329</v>
      </c>
      <c r="M311" s="934"/>
      <c r="N311" s="937"/>
      <c r="P311" s="938"/>
      <c r="Q311" s="72"/>
      <c r="R311" s="73"/>
      <c r="T311" s="940"/>
    </row>
    <row r="312" spans="2:20">
      <c r="B312" s="72"/>
      <c r="D312" s="72">
        <v>6517</v>
      </c>
      <c r="E312" s="73" t="s">
        <v>333</v>
      </c>
      <c r="F312" s="935"/>
      <c r="G312" s="935"/>
      <c r="H312" s="935"/>
      <c r="I312" s="72"/>
      <c r="L312" s="96" t="s">
        <v>329</v>
      </c>
      <c r="M312" s="972"/>
      <c r="N312" s="973"/>
      <c r="O312" s="974"/>
      <c r="P312" s="938"/>
      <c r="Q312" s="72"/>
      <c r="R312" s="73"/>
      <c r="T312" s="940"/>
    </row>
    <row r="313" spans="2:20">
      <c r="B313" s="72"/>
      <c r="D313" s="72">
        <v>6518</v>
      </c>
      <c r="E313" s="73" t="s">
        <v>334</v>
      </c>
      <c r="F313" s="975"/>
      <c r="G313" s="975"/>
      <c r="H313" s="975"/>
      <c r="I313" s="976"/>
      <c r="J313" s="974"/>
      <c r="K313" s="974"/>
      <c r="L313" s="96" t="s">
        <v>329</v>
      </c>
      <c r="M313" s="972"/>
      <c r="N313" s="973"/>
      <c r="O313" s="974"/>
      <c r="P313" s="938"/>
      <c r="Q313" s="72"/>
      <c r="R313" s="73"/>
      <c r="T313" s="940"/>
    </row>
    <row r="314" spans="2:20">
      <c r="B314" s="72"/>
      <c r="D314" s="72">
        <v>6520</v>
      </c>
      <c r="E314" s="73" t="s">
        <v>335</v>
      </c>
      <c r="F314" s="935" t="s">
        <v>1090</v>
      </c>
      <c r="G314" s="935" t="s">
        <v>1072</v>
      </c>
      <c r="H314" s="935" t="s">
        <v>1091</v>
      </c>
      <c r="I314" s="72">
        <v>3910</v>
      </c>
      <c r="L314" s="96" t="s">
        <v>329</v>
      </c>
      <c r="M314" s="934" t="s">
        <v>1073</v>
      </c>
      <c r="N314" s="937"/>
      <c r="P314" s="938"/>
      <c r="Q314" s="72"/>
      <c r="R314" s="73"/>
      <c r="T314" s="940"/>
    </row>
    <row r="315" spans="2:20">
      <c r="B315" s="72"/>
      <c r="D315" s="72">
        <v>6525</v>
      </c>
      <c r="E315" s="73" t="s">
        <v>336</v>
      </c>
      <c r="F315" s="935" t="s">
        <v>1090</v>
      </c>
      <c r="G315" s="935" t="s">
        <v>1072</v>
      </c>
      <c r="H315" s="935" t="s">
        <v>1091</v>
      </c>
      <c r="I315" s="72">
        <v>3910</v>
      </c>
      <c r="L315" s="96" t="s">
        <v>329</v>
      </c>
      <c r="M315" s="934"/>
      <c r="N315" s="937"/>
      <c r="P315" s="938"/>
      <c r="Q315" s="72"/>
      <c r="R315" s="73"/>
      <c r="T315" s="940"/>
    </row>
    <row r="316" spans="2:20">
      <c r="B316" s="72"/>
      <c r="D316" s="72">
        <v>6530</v>
      </c>
      <c r="E316" s="73" t="s">
        <v>337</v>
      </c>
      <c r="F316" s="935" t="s">
        <v>1090</v>
      </c>
      <c r="G316" s="935" t="s">
        <v>1072</v>
      </c>
      <c r="H316" s="935" t="s">
        <v>1091</v>
      </c>
      <c r="I316" s="72">
        <v>3910</v>
      </c>
      <c r="L316" s="96" t="s">
        <v>329</v>
      </c>
      <c r="M316" s="934" t="s">
        <v>1073</v>
      </c>
      <c r="N316" s="937"/>
      <c r="P316" s="938"/>
      <c r="Q316" s="72"/>
      <c r="R316" s="73"/>
      <c r="T316" s="940"/>
    </row>
    <row r="317" spans="2:20">
      <c r="B317" s="72"/>
      <c r="D317" s="72">
        <v>6540</v>
      </c>
      <c r="E317" s="73" t="s">
        <v>338</v>
      </c>
      <c r="F317" s="935" t="s">
        <v>1090</v>
      </c>
      <c r="G317" s="935" t="s">
        <v>1072</v>
      </c>
      <c r="H317" s="935" t="s">
        <v>1091</v>
      </c>
      <c r="I317" s="72">
        <v>3910</v>
      </c>
      <c r="L317" s="96" t="s">
        <v>329</v>
      </c>
      <c r="M317" s="934" t="s">
        <v>1073</v>
      </c>
      <c r="N317" s="937"/>
      <c r="P317" s="938"/>
      <c r="Q317" s="72"/>
      <c r="R317" s="73"/>
      <c r="T317" s="940"/>
    </row>
    <row r="318" spans="2:20">
      <c r="B318" s="72"/>
      <c r="D318" s="72">
        <v>6550</v>
      </c>
      <c r="E318" s="73" t="s">
        <v>706</v>
      </c>
      <c r="F318" s="935" t="s">
        <v>1090</v>
      </c>
      <c r="G318" s="935" t="s">
        <v>1072</v>
      </c>
      <c r="H318" s="935" t="s">
        <v>1091</v>
      </c>
      <c r="I318" s="72">
        <v>3910</v>
      </c>
      <c r="J318" s="977"/>
      <c r="L318" s="96" t="s">
        <v>329</v>
      </c>
      <c r="M318" s="934" t="s">
        <v>1073</v>
      </c>
      <c r="N318" s="937"/>
      <c r="P318" s="938"/>
      <c r="Q318" s="72"/>
      <c r="R318" s="73"/>
      <c r="T318" s="940"/>
    </row>
    <row r="319" spans="2:20">
      <c r="B319" s="72"/>
      <c r="D319" s="72">
        <v>6560</v>
      </c>
      <c r="E319" s="73" t="s">
        <v>340</v>
      </c>
      <c r="F319" s="935" t="s">
        <v>1090</v>
      </c>
      <c r="G319" s="935" t="s">
        <v>1072</v>
      </c>
      <c r="H319" s="935" t="s">
        <v>1091</v>
      </c>
      <c r="I319" s="72">
        <v>3910</v>
      </c>
      <c r="J319" s="977"/>
      <c r="L319" s="96" t="s">
        <v>329</v>
      </c>
      <c r="M319" s="934" t="s">
        <v>1073</v>
      </c>
      <c r="N319" s="937"/>
      <c r="P319" s="938"/>
      <c r="Q319" s="72"/>
      <c r="R319" s="73"/>
      <c r="T319" s="940"/>
    </row>
    <row r="320" spans="2:20">
      <c r="B320" s="72"/>
      <c r="D320" s="72">
        <v>6570</v>
      </c>
      <c r="E320" s="73" t="s">
        <v>22</v>
      </c>
      <c r="F320" s="935" t="s">
        <v>1090</v>
      </c>
      <c r="G320" s="935" t="s">
        <v>1072</v>
      </c>
      <c r="H320" s="935" t="s">
        <v>1091</v>
      </c>
      <c r="I320" s="72">
        <v>3910</v>
      </c>
      <c r="L320" s="96" t="s">
        <v>329</v>
      </c>
      <c r="M320" s="934" t="s">
        <v>1073</v>
      </c>
      <c r="N320" s="937"/>
      <c r="P320" s="938"/>
      <c r="Q320" s="72"/>
      <c r="R320" s="73"/>
      <c r="T320" s="940"/>
    </row>
    <row r="321" spans="2:20">
      <c r="B321" s="72"/>
      <c r="D321" s="72">
        <v>6570.1</v>
      </c>
      <c r="E321" s="73" t="s">
        <v>707</v>
      </c>
      <c r="F321" s="935" t="s">
        <v>1090</v>
      </c>
      <c r="G321" s="935" t="s">
        <v>1072</v>
      </c>
      <c r="H321" s="935" t="s">
        <v>1091</v>
      </c>
      <c r="I321" s="72">
        <v>3910</v>
      </c>
      <c r="L321" s="96" t="s">
        <v>329</v>
      </c>
      <c r="M321" s="934"/>
      <c r="N321" s="937"/>
      <c r="P321" s="938"/>
      <c r="Q321" s="72"/>
      <c r="R321" s="73"/>
      <c r="T321" s="940"/>
    </row>
    <row r="322" spans="2:20">
      <c r="B322" s="72"/>
      <c r="D322" s="72">
        <v>6590</v>
      </c>
      <c r="E322" s="73" t="s">
        <v>341</v>
      </c>
      <c r="F322" s="935" t="s">
        <v>1090</v>
      </c>
      <c r="G322" s="935" t="s">
        <v>1072</v>
      </c>
      <c r="H322" s="935" t="s">
        <v>1091</v>
      </c>
      <c r="I322" s="72">
        <v>3910</v>
      </c>
      <c r="L322" s="96" t="s">
        <v>329</v>
      </c>
      <c r="M322" s="934" t="s">
        <v>1073</v>
      </c>
      <c r="N322" s="937"/>
      <c r="P322" s="938"/>
      <c r="Q322" s="72"/>
      <c r="R322" s="73"/>
      <c r="T322" s="940"/>
    </row>
    <row r="323" spans="2:20">
      <c r="B323" s="72"/>
      <c r="D323" s="72">
        <v>6591</v>
      </c>
      <c r="E323" s="73" t="s">
        <v>342</v>
      </c>
      <c r="F323" s="935"/>
      <c r="G323" s="935"/>
      <c r="H323" s="935"/>
      <c r="I323" s="72"/>
      <c r="L323" s="96" t="s">
        <v>329</v>
      </c>
      <c r="M323" s="934"/>
      <c r="N323" s="937"/>
      <c r="P323" s="938"/>
      <c r="Q323" s="72"/>
      <c r="R323" s="73"/>
      <c r="T323" s="940"/>
    </row>
    <row r="324" spans="2:20">
      <c r="B324" s="72"/>
      <c r="D324" s="72">
        <v>6610</v>
      </c>
      <c r="E324" s="73" t="s">
        <v>343</v>
      </c>
      <c r="F324" s="935" t="s">
        <v>1090</v>
      </c>
      <c r="G324" s="935" t="s">
        <v>1072</v>
      </c>
      <c r="H324" s="935" t="s">
        <v>1091</v>
      </c>
      <c r="I324" s="72">
        <v>3910</v>
      </c>
      <c r="L324" s="96" t="s">
        <v>329</v>
      </c>
      <c r="M324" s="934" t="s">
        <v>1073</v>
      </c>
      <c r="N324" s="937"/>
      <c r="P324" s="938"/>
      <c r="Q324" s="72"/>
      <c r="R324" s="73"/>
      <c r="T324" s="940"/>
    </row>
    <row r="325" spans="2:20">
      <c r="B325" s="72"/>
      <c r="C325" s="941" t="s">
        <v>1107</v>
      </c>
      <c r="D325" s="80">
        <v>6610.1</v>
      </c>
      <c r="E325" s="81" t="s">
        <v>708</v>
      </c>
      <c r="F325" s="942" t="s">
        <v>1090</v>
      </c>
      <c r="G325" s="942" t="s">
        <v>1072</v>
      </c>
      <c r="H325" s="942" t="s">
        <v>1091</v>
      </c>
      <c r="I325" s="80">
        <v>3910</v>
      </c>
      <c r="J325" s="944"/>
      <c r="K325" s="944"/>
      <c r="L325" s="944" t="s">
        <v>329</v>
      </c>
      <c r="M325" s="934"/>
      <c r="N325" s="937"/>
      <c r="P325" s="938"/>
      <c r="Q325" s="72"/>
      <c r="R325" s="73"/>
      <c r="T325" s="940"/>
    </row>
    <row r="326" spans="2:20">
      <c r="B326" s="72"/>
      <c r="D326" s="72">
        <v>6620</v>
      </c>
      <c r="E326" s="73" t="s">
        <v>344</v>
      </c>
      <c r="F326" s="935" t="s">
        <v>1090</v>
      </c>
      <c r="G326" s="935" t="s">
        <v>1072</v>
      </c>
      <c r="H326" s="935" t="s">
        <v>1091</v>
      </c>
      <c r="I326" s="72">
        <v>3910</v>
      </c>
      <c r="L326" s="96" t="s">
        <v>329</v>
      </c>
      <c r="M326" s="934" t="s">
        <v>1073</v>
      </c>
      <c r="N326" s="937"/>
      <c r="P326" s="938"/>
      <c r="Q326" s="72"/>
      <c r="R326" s="73"/>
      <c r="T326" s="940"/>
    </row>
    <row r="327" spans="2:20">
      <c r="B327" s="72"/>
      <c r="C327" s="941" t="s">
        <v>1107</v>
      </c>
      <c r="D327" s="80">
        <v>6620.1</v>
      </c>
      <c r="E327" s="81" t="s">
        <v>709</v>
      </c>
      <c r="F327" s="942" t="s">
        <v>1090</v>
      </c>
      <c r="G327" s="942" t="s">
        <v>1072</v>
      </c>
      <c r="H327" s="942" t="s">
        <v>1091</v>
      </c>
      <c r="I327" s="80">
        <v>3910</v>
      </c>
      <c r="J327" s="944"/>
      <c r="K327" s="944"/>
      <c r="L327" s="944" t="s">
        <v>329</v>
      </c>
      <c r="M327" s="934"/>
      <c r="N327" s="937"/>
      <c r="P327" s="938"/>
      <c r="Q327" s="72"/>
      <c r="R327" s="73"/>
      <c r="T327" s="940"/>
    </row>
    <row r="328" spans="2:20">
      <c r="B328" s="72"/>
      <c r="C328" s="929"/>
      <c r="D328" s="72">
        <v>6630</v>
      </c>
      <c r="E328" s="73" t="s">
        <v>42</v>
      </c>
      <c r="F328" s="935"/>
      <c r="G328" s="935"/>
      <c r="H328" s="935"/>
      <c r="I328" s="72"/>
      <c r="L328" s="96" t="s">
        <v>329</v>
      </c>
      <c r="M328" s="934"/>
      <c r="N328" s="937"/>
      <c r="P328" s="938"/>
      <c r="Q328" s="72"/>
      <c r="R328" s="73"/>
      <c r="T328" s="940"/>
    </row>
    <row r="329" spans="2:20">
      <c r="B329" s="72"/>
      <c r="D329" s="72">
        <v>6650</v>
      </c>
      <c r="E329" s="73" t="s">
        <v>345</v>
      </c>
      <c r="F329" s="935"/>
      <c r="G329" s="935"/>
      <c r="H329" s="935"/>
      <c r="I329" s="72"/>
      <c r="L329" s="96" t="s">
        <v>329</v>
      </c>
      <c r="M329" s="934"/>
      <c r="N329" s="937"/>
      <c r="P329" s="938"/>
      <c r="Q329" s="72"/>
      <c r="R329" s="73"/>
      <c r="T329" s="940"/>
    </row>
    <row r="330" spans="2:20">
      <c r="B330" s="72"/>
      <c r="C330" s="941" t="s">
        <v>1096</v>
      </c>
      <c r="D330" s="80">
        <v>6699</v>
      </c>
      <c r="E330" s="81" t="s">
        <v>710</v>
      </c>
      <c r="F330" s="942"/>
      <c r="G330" s="942"/>
      <c r="H330" s="942"/>
      <c r="I330" s="80"/>
      <c r="J330" s="944"/>
      <c r="K330" s="944"/>
      <c r="L330" s="944" t="s">
        <v>329</v>
      </c>
      <c r="M330" s="934"/>
      <c r="N330" s="937"/>
      <c r="P330" s="938"/>
      <c r="Q330" s="72"/>
      <c r="R330" s="73"/>
      <c r="T330" s="940"/>
    </row>
    <row r="331" spans="2:20">
      <c r="D331" s="72">
        <v>6800</v>
      </c>
      <c r="E331" s="73" t="s">
        <v>43</v>
      </c>
      <c r="F331" s="935" t="s">
        <v>1090</v>
      </c>
      <c r="G331" s="935" t="s">
        <v>1072</v>
      </c>
      <c r="H331" s="935" t="s">
        <v>1091</v>
      </c>
      <c r="I331" s="72">
        <v>3910</v>
      </c>
      <c r="L331" s="96" t="s">
        <v>346</v>
      </c>
      <c r="M331" s="934" t="s">
        <v>1073</v>
      </c>
      <c r="N331" s="937"/>
      <c r="P331" s="938"/>
      <c r="Q331" s="72"/>
      <c r="R331" s="73"/>
      <c r="T331" s="940"/>
    </row>
    <row r="332" spans="2:20">
      <c r="D332" s="72">
        <v>6810</v>
      </c>
      <c r="E332" s="73" t="s">
        <v>347</v>
      </c>
      <c r="F332" s="935" t="s">
        <v>1090</v>
      </c>
      <c r="G332" s="935" t="s">
        <v>1072</v>
      </c>
      <c r="H332" s="935" t="s">
        <v>1091</v>
      </c>
      <c r="I332" s="72">
        <v>3910</v>
      </c>
      <c r="L332" s="96" t="s">
        <v>346</v>
      </c>
      <c r="M332" s="934" t="s">
        <v>1073</v>
      </c>
      <c r="N332" s="937"/>
      <c r="P332" s="938"/>
      <c r="Q332" s="72"/>
      <c r="R332" s="73"/>
      <c r="T332" s="940"/>
    </row>
    <row r="333" spans="2:20">
      <c r="D333" s="72">
        <v>6820</v>
      </c>
      <c r="E333" s="73" t="s">
        <v>44</v>
      </c>
      <c r="F333" s="935" t="s">
        <v>1090</v>
      </c>
      <c r="G333" s="935" t="s">
        <v>1072</v>
      </c>
      <c r="H333" s="935" t="s">
        <v>1091</v>
      </c>
      <c r="I333" s="72">
        <v>3910</v>
      </c>
      <c r="L333" s="96" t="s">
        <v>346</v>
      </c>
      <c r="M333" s="934" t="s">
        <v>1073</v>
      </c>
      <c r="N333" s="937"/>
      <c r="P333" s="938"/>
      <c r="Q333" s="72"/>
      <c r="R333" s="73"/>
      <c r="T333" s="940"/>
    </row>
    <row r="334" spans="2:20">
      <c r="D334" s="72">
        <v>6830</v>
      </c>
      <c r="E334" s="73" t="s">
        <v>45</v>
      </c>
      <c r="F334" s="935" t="s">
        <v>1090</v>
      </c>
      <c r="G334" s="935" t="s">
        <v>1072</v>
      </c>
      <c r="H334" s="935" t="s">
        <v>1091</v>
      </c>
      <c r="I334" s="72">
        <v>3910</v>
      </c>
      <c r="L334" s="96" t="s">
        <v>346</v>
      </c>
      <c r="M334" s="934" t="s">
        <v>1073</v>
      </c>
      <c r="N334" s="937"/>
      <c r="P334" s="938"/>
      <c r="Q334" s="72"/>
      <c r="R334" s="73"/>
      <c r="T334" s="940"/>
    </row>
    <row r="335" spans="2:20">
      <c r="D335" s="72">
        <v>6840</v>
      </c>
      <c r="E335" s="73" t="s">
        <v>348</v>
      </c>
      <c r="F335" s="935" t="s">
        <v>1090</v>
      </c>
      <c r="G335" s="935" t="s">
        <v>1072</v>
      </c>
      <c r="H335" s="935" t="s">
        <v>1091</v>
      </c>
      <c r="I335" s="72">
        <v>3910</v>
      </c>
      <c r="L335" s="96" t="s">
        <v>346</v>
      </c>
      <c r="M335" s="934" t="s">
        <v>1073</v>
      </c>
      <c r="N335" s="937"/>
      <c r="P335" s="938"/>
      <c r="Q335" s="72"/>
      <c r="R335" s="73"/>
      <c r="T335" s="940"/>
    </row>
    <row r="336" spans="2:20">
      <c r="D336" s="72">
        <v>6850</v>
      </c>
      <c r="E336" s="73" t="s">
        <v>349</v>
      </c>
      <c r="F336" s="935" t="s">
        <v>1090</v>
      </c>
      <c r="G336" s="935" t="s">
        <v>1072</v>
      </c>
      <c r="H336" s="935" t="s">
        <v>1091</v>
      </c>
      <c r="I336" s="72">
        <v>3910</v>
      </c>
      <c r="L336" s="96" t="s">
        <v>346</v>
      </c>
      <c r="M336" s="934" t="s">
        <v>1073</v>
      </c>
      <c r="N336" s="937"/>
      <c r="P336" s="938"/>
      <c r="Q336" s="72"/>
      <c r="R336" s="73"/>
      <c r="T336" s="940"/>
    </row>
    <row r="337" spans="1:20">
      <c r="D337" s="72">
        <v>6851</v>
      </c>
      <c r="E337" s="73" t="s">
        <v>146</v>
      </c>
      <c r="F337" s="935"/>
      <c r="G337" s="935"/>
      <c r="H337" s="935"/>
      <c r="I337" s="72"/>
      <c r="L337" s="96" t="s">
        <v>346</v>
      </c>
      <c r="M337" s="934"/>
      <c r="N337" s="937"/>
      <c r="P337" s="938"/>
      <c r="Q337" s="72"/>
      <c r="R337" s="73"/>
      <c r="T337" s="940"/>
    </row>
    <row r="338" spans="1:20">
      <c r="D338" s="72">
        <v>6852</v>
      </c>
      <c r="E338" s="73" t="s">
        <v>147</v>
      </c>
      <c r="F338" s="935"/>
      <c r="G338" s="935"/>
      <c r="H338" s="935"/>
      <c r="I338" s="72"/>
      <c r="L338" s="96" t="s">
        <v>346</v>
      </c>
      <c r="M338" s="934"/>
      <c r="N338" s="937"/>
      <c r="P338" s="938"/>
      <c r="Q338" s="72"/>
      <c r="R338" s="73"/>
      <c r="T338" s="940"/>
    </row>
    <row r="339" spans="1:20">
      <c r="D339" s="72">
        <v>6853</v>
      </c>
      <c r="E339" s="73" t="s">
        <v>148</v>
      </c>
      <c r="F339" s="935"/>
      <c r="G339" s="935"/>
      <c r="H339" s="935"/>
      <c r="I339" s="72"/>
      <c r="L339" s="96" t="s">
        <v>346</v>
      </c>
      <c r="M339" s="934"/>
      <c r="N339" s="937"/>
      <c r="P339" s="938"/>
      <c r="Q339" s="72"/>
      <c r="R339" s="73"/>
      <c r="T339" s="940"/>
    </row>
    <row r="340" spans="1:20">
      <c r="D340" s="72">
        <v>6860</v>
      </c>
      <c r="E340" s="73" t="s">
        <v>350</v>
      </c>
      <c r="F340" s="935" t="s">
        <v>1090</v>
      </c>
      <c r="G340" s="935" t="s">
        <v>1072</v>
      </c>
      <c r="H340" s="935" t="s">
        <v>1091</v>
      </c>
      <c r="I340" s="72">
        <v>3910</v>
      </c>
      <c r="L340" s="96" t="s">
        <v>346</v>
      </c>
      <c r="M340" s="934" t="s">
        <v>1073</v>
      </c>
      <c r="N340" s="937"/>
      <c r="P340" s="938"/>
      <c r="Q340" s="72"/>
      <c r="R340" s="73"/>
      <c r="T340" s="940"/>
    </row>
    <row r="341" spans="1:20">
      <c r="D341" s="72">
        <v>6870</v>
      </c>
      <c r="E341" s="73" t="s">
        <v>150</v>
      </c>
      <c r="F341" s="935" t="s">
        <v>1090</v>
      </c>
      <c r="G341" s="935" t="s">
        <v>1072</v>
      </c>
      <c r="H341" s="935" t="s">
        <v>1091</v>
      </c>
      <c r="I341" s="72">
        <v>3910</v>
      </c>
      <c r="L341" s="96" t="s">
        <v>346</v>
      </c>
      <c r="M341" s="934" t="s">
        <v>1073</v>
      </c>
      <c r="N341" s="937"/>
      <c r="P341" s="938"/>
      <c r="Q341" s="72"/>
      <c r="R341" s="73"/>
      <c r="T341" s="940"/>
    </row>
    <row r="342" spans="1:20">
      <c r="D342" s="72">
        <v>6880</v>
      </c>
      <c r="E342" s="73" t="s">
        <v>351</v>
      </c>
      <c r="F342" s="935"/>
      <c r="G342" s="935"/>
      <c r="H342" s="935"/>
      <c r="I342" s="72"/>
      <c r="L342" s="96" t="s">
        <v>346</v>
      </c>
      <c r="M342" s="934"/>
      <c r="N342" s="937"/>
      <c r="P342" s="938"/>
      <c r="Q342" s="72"/>
      <c r="R342" s="73"/>
      <c r="T342" s="940"/>
    </row>
    <row r="343" spans="1:20">
      <c r="D343" s="72">
        <v>6900</v>
      </c>
      <c r="E343" s="73" t="s">
        <v>352</v>
      </c>
      <c r="F343" s="935"/>
      <c r="G343" s="935"/>
      <c r="H343" s="935"/>
      <c r="I343" s="72"/>
      <c r="L343" s="96" t="s">
        <v>346</v>
      </c>
      <c r="M343" s="934"/>
      <c r="N343" s="937"/>
      <c r="P343" s="938"/>
      <c r="Q343" s="72"/>
      <c r="R343" s="73"/>
      <c r="T343" s="940"/>
    </row>
    <row r="344" spans="1:20">
      <c r="A344" s="73"/>
      <c r="D344" s="72">
        <v>7000</v>
      </c>
      <c r="E344" s="73" t="s">
        <v>353</v>
      </c>
      <c r="F344" s="935" t="s">
        <v>1090</v>
      </c>
      <c r="G344" s="935" t="s">
        <v>1072</v>
      </c>
      <c r="H344" s="935" t="s">
        <v>1091</v>
      </c>
      <c r="I344" s="72">
        <v>3910</v>
      </c>
      <c r="L344" s="96" t="s">
        <v>354</v>
      </c>
      <c r="M344" s="934" t="s">
        <v>1073</v>
      </c>
      <c r="N344" s="937"/>
      <c r="P344" s="938"/>
      <c r="Q344" s="72"/>
      <c r="R344" s="73"/>
      <c r="T344" s="940"/>
    </row>
    <row r="345" spans="1:20">
      <c r="A345" s="73"/>
      <c r="D345" s="72">
        <v>7005</v>
      </c>
      <c r="E345" s="73" t="s">
        <v>355</v>
      </c>
      <c r="F345" s="935"/>
      <c r="G345" s="935"/>
      <c r="H345" s="935"/>
      <c r="I345" s="72"/>
      <c r="L345" s="96" t="s">
        <v>354</v>
      </c>
      <c r="M345" s="934"/>
      <c r="N345" s="937"/>
      <c r="P345" s="938"/>
      <c r="Q345" s="72"/>
      <c r="R345" s="73"/>
      <c r="T345" s="940"/>
    </row>
    <row r="346" spans="1:20">
      <c r="D346" s="72">
        <v>7010</v>
      </c>
      <c r="E346" s="73" t="s">
        <v>356</v>
      </c>
      <c r="F346" s="935" t="s">
        <v>1090</v>
      </c>
      <c r="G346" s="935" t="s">
        <v>1072</v>
      </c>
      <c r="H346" s="935" t="s">
        <v>1091</v>
      </c>
      <c r="I346" s="72">
        <v>3910</v>
      </c>
      <c r="L346" s="96" t="s">
        <v>354</v>
      </c>
      <c r="M346" s="934" t="s">
        <v>1073</v>
      </c>
      <c r="N346" s="937"/>
      <c r="P346" s="938"/>
      <c r="Q346" s="72"/>
      <c r="R346" s="73"/>
      <c r="T346" s="940"/>
    </row>
    <row r="347" spans="1:20" hidden="1">
      <c r="C347" s="947">
        <v>2020</v>
      </c>
      <c r="D347" s="86">
        <v>7015</v>
      </c>
      <c r="E347" s="87" t="s">
        <v>357</v>
      </c>
      <c r="F347" s="948" t="s">
        <v>1090</v>
      </c>
      <c r="G347" s="948" t="s">
        <v>1072</v>
      </c>
      <c r="H347" s="948" t="s">
        <v>1091</v>
      </c>
      <c r="I347" s="86">
        <v>3910</v>
      </c>
      <c r="J347" s="949"/>
      <c r="K347" s="949"/>
      <c r="L347" s="949" t="s">
        <v>354</v>
      </c>
      <c r="M347" s="978" t="s">
        <v>1073</v>
      </c>
      <c r="N347" s="979"/>
      <c r="O347" s="949"/>
      <c r="P347" s="950" t="s">
        <v>1092</v>
      </c>
      <c r="Q347" s="72"/>
      <c r="R347" s="73"/>
      <c r="T347" s="940"/>
    </row>
    <row r="348" spans="1:20">
      <c r="D348" s="72">
        <v>7017</v>
      </c>
      <c r="E348" s="73" t="s">
        <v>358</v>
      </c>
      <c r="F348" s="935"/>
      <c r="G348" s="935"/>
      <c r="H348" s="935"/>
      <c r="I348" s="72"/>
      <c r="L348" s="96" t="s">
        <v>354</v>
      </c>
      <c r="M348" s="953"/>
      <c r="N348" s="971"/>
      <c r="O348" s="97"/>
      <c r="P348" s="938"/>
      <c r="Q348" s="72"/>
      <c r="R348" s="73"/>
      <c r="T348" s="940"/>
    </row>
    <row r="349" spans="1:20">
      <c r="C349" s="941" t="s">
        <v>1107</v>
      </c>
      <c r="D349" s="80">
        <v>7017.1</v>
      </c>
      <c r="E349" s="81" t="s">
        <v>711</v>
      </c>
      <c r="F349" s="942"/>
      <c r="G349" s="942"/>
      <c r="H349" s="942"/>
      <c r="I349" s="80"/>
      <c r="J349" s="944"/>
      <c r="K349" s="944"/>
      <c r="L349" s="944" t="s">
        <v>354</v>
      </c>
      <c r="M349" s="953"/>
      <c r="N349" s="971"/>
      <c r="O349" s="97"/>
      <c r="P349" s="938"/>
      <c r="Q349" s="72"/>
      <c r="R349" s="73"/>
      <c r="T349" s="940"/>
    </row>
    <row r="350" spans="1:20">
      <c r="D350" s="72">
        <v>7020</v>
      </c>
      <c r="E350" s="73" t="s">
        <v>359</v>
      </c>
      <c r="F350" s="935" t="s">
        <v>1090</v>
      </c>
      <c r="G350" s="935" t="s">
        <v>1072</v>
      </c>
      <c r="H350" s="935" t="s">
        <v>1091</v>
      </c>
      <c r="I350" s="72">
        <v>3910</v>
      </c>
      <c r="L350" s="96" t="s">
        <v>354</v>
      </c>
      <c r="M350" s="934" t="s">
        <v>1073</v>
      </c>
      <c r="N350" s="937"/>
      <c r="P350" s="938"/>
      <c r="Q350" s="72"/>
      <c r="R350" s="73"/>
      <c r="T350" s="940"/>
    </row>
    <row r="351" spans="1:20">
      <c r="D351" s="72">
        <v>7030</v>
      </c>
      <c r="E351" s="73" t="s">
        <v>360</v>
      </c>
      <c r="F351" s="935" t="s">
        <v>1090</v>
      </c>
      <c r="G351" s="935" t="s">
        <v>1072</v>
      </c>
      <c r="H351" s="935" t="s">
        <v>1091</v>
      </c>
      <c r="I351" s="72">
        <v>3910</v>
      </c>
      <c r="L351" s="96" t="s">
        <v>354</v>
      </c>
      <c r="M351" s="934" t="s">
        <v>1073</v>
      </c>
      <c r="N351" s="937"/>
      <c r="P351" s="938"/>
      <c r="Q351" s="72"/>
      <c r="R351" s="73"/>
      <c r="T351" s="940"/>
    </row>
    <row r="352" spans="1:20" hidden="1">
      <c r="A352" s="949"/>
      <c r="B352" s="949"/>
      <c r="C352" s="947" t="s">
        <v>1108</v>
      </c>
      <c r="D352" s="86">
        <v>7040</v>
      </c>
      <c r="E352" s="87" t="s">
        <v>361</v>
      </c>
      <c r="F352" s="948" t="s">
        <v>1090</v>
      </c>
      <c r="G352" s="948" t="s">
        <v>1072</v>
      </c>
      <c r="H352" s="948" t="s">
        <v>1091</v>
      </c>
      <c r="I352" s="86">
        <v>3910</v>
      </c>
      <c r="J352" s="949"/>
      <c r="K352" s="949"/>
      <c r="L352" s="949" t="s">
        <v>354</v>
      </c>
      <c r="M352" s="978" t="s">
        <v>1073</v>
      </c>
      <c r="N352" s="979"/>
      <c r="O352" s="949"/>
      <c r="P352" s="950"/>
      <c r="Q352" s="980" t="s">
        <v>1109</v>
      </c>
      <c r="R352" s="77" t="s">
        <v>1110</v>
      </c>
      <c r="T352" s="940"/>
    </row>
    <row r="353" spans="1:20">
      <c r="A353" s="949"/>
      <c r="B353" s="949"/>
      <c r="D353" s="72">
        <v>7050</v>
      </c>
      <c r="E353" s="73" t="s">
        <v>712</v>
      </c>
      <c r="F353" s="935" t="s">
        <v>1090</v>
      </c>
      <c r="G353" s="935" t="s">
        <v>1072</v>
      </c>
      <c r="H353" s="935" t="s">
        <v>1091</v>
      </c>
      <c r="I353" s="72">
        <v>3910</v>
      </c>
      <c r="L353" s="96" t="s">
        <v>354</v>
      </c>
      <c r="M353" s="978"/>
      <c r="N353" s="979"/>
      <c r="O353" s="949"/>
      <c r="P353" s="938"/>
      <c r="Q353" s="938"/>
      <c r="R353" s="938"/>
      <c r="T353" s="940"/>
    </row>
    <row r="354" spans="1:20">
      <c r="D354" s="72">
        <v>7060</v>
      </c>
      <c r="E354" s="73" t="s">
        <v>362</v>
      </c>
      <c r="F354" s="935" t="s">
        <v>1090</v>
      </c>
      <c r="G354" s="935" t="s">
        <v>1072</v>
      </c>
      <c r="H354" s="935" t="s">
        <v>1091</v>
      </c>
      <c r="I354" s="72">
        <v>3910</v>
      </c>
      <c r="L354" s="96" t="s">
        <v>354</v>
      </c>
      <c r="M354" s="934" t="s">
        <v>1073</v>
      </c>
      <c r="N354" s="937"/>
      <c r="P354" s="938"/>
      <c r="Q354" s="72"/>
      <c r="R354" s="73"/>
      <c r="T354" s="940"/>
    </row>
    <row r="355" spans="1:20">
      <c r="C355" s="941" t="s">
        <v>1107</v>
      </c>
      <c r="D355" s="80">
        <v>7060.1</v>
      </c>
      <c r="E355" s="81" t="s">
        <v>713</v>
      </c>
      <c r="F355" s="942" t="s">
        <v>1090</v>
      </c>
      <c r="G355" s="942" t="s">
        <v>1072</v>
      </c>
      <c r="H355" s="942" t="s">
        <v>1091</v>
      </c>
      <c r="I355" s="80">
        <v>3910</v>
      </c>
      <c r="J355" s="944"/>
      <c r="K355" s="944"/>
      <c r="L355" s="944" t="s">
        <v>354</v>
      </c>
      <c r="M355" s="934"/>
      <c r="N355" s="937"/>
      <c r="P355" s="938"/>
      <c r="Q355" s="72"/>
      <c r="R355" s="73"/>
      <c r="T355" s="940"/>
    </row>
    <row r="356" spans="1:20">
      <c r="C356" s="941" t="s">
        <v>1096</v>
      </c>
      <c r="D356" s="80">
        <v>7099</v>
      </c>
      <c r="E356" s="81" t="s">
        <v>714</v>
      </c>
      <c r="F356" s="942"/>
      <c r="G356" s="942"/>
      <c r="H356" s="942"/>
      <c r="I356" s="80"/>
      <c r="J356" s="944"/>
      <c r="K356" s="944"/>
      <c r="L356" s="944" t="s">
        <v>354</v>
      </c>
      <c r="M356" s="934"/>
      <c r="N356" s="937"/>
      <c r="P356" s="938"/>
      <c r="Q356" s="72"/>
      <c r="R356" s="73"/>
      <c r="T356" s="940"/>
    </row>
    <row r="357" spans="1:20">
      <c r="B357" s="72"/>
      <c r="D357" s="72">
        <v>7200</v>
      </c>
      <c r="E357" s="73" t="s">
        <v>363</v>
      </c>
      <c r="F357" s="935" t="s">
        <v>1090</v>
      </c>
      <c r="G357" s="935" t="s">
        <v>1072</v>
      </c>
      <c r="H357" s="935" t="s">
        <v>1091</v>
      </c>
      <c r="I357" s="72">
        <v>3910</v>
      </c>
      <c r="L357" s="96" t="s">
        <v>364</v>
      </c>
      <c r="M357" s="934" t="s">
        <v>1073</v>
      </c>
      <c r="N357" s="937"/>
      <c r="P357" s="938"/>
      <c r="Q357" s="72"/>
      <c r="R357" s="73"/>
      <c r="T357" s="940"/>
    </row>
    <row r="358" spans="1:20">
      <c r="B358" s="72"/>
      <c r="D358" s="72">
        <v>7210</v>
      </c>
      <c r="E358" s="73" t="s">
        <v>365</v>
      </c>
      <c r="F358" s="935" t="s">
        <v>1090</v>
      </c>
      <c r="G358" s="935" t="s">
        <v>1072</v>
      </c>
      <c r="H358" s="935" t="s">
        <v>1091</v>
      </c>
      <c r="I358" s="72">
        <v>3910</v>
      </c>
      <c r="L358" s="96" t="s">
        <v>364</v>
      </c>
      <c r="M358" s="934" t="s">
        <v>1073</v>
      </c>
      <c r="N358" s="937"/>
      <c r="P358" s="938"/>
      <c r="Q358" s="72"/>
      <c r="R358" s="73"/>
      <c r="T358" s="940"/>
    </row>
    <row r="359" spans="1:20">
      <c r="B359" s="72"/>
      <c r="D359" s="72">
        <v>7220</v>
      </c>
      <c r="E359" s="73" t="s">
        <v>12</v>
      </c>
      <c r="F359" s="935" t="s">
        <v>1090</v>
      </c>
      <c r="G359" s="935" t="s">
        <v>1072</v>
      </c>
      <c r="H359" s="935" t="s">
        <v>1091</v>
      </c>
      <c r="I359" s="72">
        <v>3910</v>
      </c>
      <c r="L359" s="96" t="s">
        <v>364</v>
      </c>
      <c r="M359" s="934" t="s">
        <v>1073</v>
      </c>
      <c r="N359" s="937"/>
      <c r="P359" s="938"/>
      <c r="Q359" s="72"/>
      <c r="R359" s="73"/>
      <c r="T359" s="940"/>
    </row>
    <row r="360" spans="1:20">
      <c r="B360" s="72"/>
      <c r="D360" s="72">
        <v>7230</v>
      </c>
      <c r="E360" s="73" t="s">
        <v>366</v>
      </c>
      <c r="F360" s="935" t="s">
        <v>1090</v>
      </c>
      <c r="G360" s="935" t="s">
        <v>1072</v>
      </c>
      <c r="H360" s="935" t="s">
        <v>1091</v>
      </c>
      <c r="I360" s="72">
        <v>3910</v>
      </c>
      <c r="L360" s="96" t="s">
        <v>364</v>
      </c>
      <c r="M360" s="934" t="s">
        <v>1073</v>
      </c>
      <c r="N360" s="937"/>
      <c r="P360" s="938"/>
      <c r="Q360" s="72"/>
      <c r="R360" s="73"/>
      <c r="T360" s="940"/>
    </row>
    <row r="361" spans="1:20">
      <c r="B361" s="72"/>
      <c r="D361" s="72">
        <v>7235</v>
      </c>
      <c r="E361" s="73" t="s">
        <v>367</v>
      </c>
      <c r="F361" s="935" t="s">
        <v>1090</v>
      </c>
      <c r="G361" s="935" t="s">
        <v>1072</v>
      </c>
      <c r="H361" s="935" t="s">
        <v>1091</v>
      </c>
      <c r="I361" s="72">
        <v>3910</v>
      </c>
      <c r="L361" s="96" t="s">
        <v>364</v>
      </c>
      <c r="M361" s="934" t="s">
        <v>1073</v>
      </c>
      <c r="N361" s="937"/>
      <c r="P361" s="938"/>
      <c r="Q361" s="72"/>
      <c r="R361" s="73"/>
      <c r="T361" s="940"/>
    </row>
    <row r="362" spans="1:20">
      <c r="B362" s="72"/>
      <c r="D362" s="72">
        <v>7237</v>
      </c>
      <c r="E362" s="73" t="s">
        <v>136</v>
      </c>
      <c r="F362" s="935" t="s">
        <v>1090</v>
      </c>
      <c r="G362" s="935" t="s">
        <v>1072</v>
      </c>
      <c r="H362" s="935" t="s">
        <v>1091</v>
      </c>
      <c r="I362" s="72">
        <v>3910</v>
      </c>
      <c r="L362" s="96" t="s">
        <v>364</v>
      </c>
      <c r="M362" s="934" t="s">
        <v>1073</v>
      </c>
      <c r="N362" s="937"/>
      <c r="P362" s="938"/>
      <c r="Q362" s="72"/>
      <c r="R362" s="73"/>
      <c r="T362" s="940"/>
    </row>
    <row r="363" spans="1:20">
      <c r="B363" s="72"/>
      <c r="D363" s="72">
        <v>7240</v>
      </c>
      <c r="E363" s="73" t="s">
        <v>368</v>
      </c>
      <c r="F363" s="935" t="s">
        <v>1090</v>
      </c>
      <c r="G363" s="935" t="s">
        <v>1072</v>
      </c>
      <c r="H363" s="935" t="s">
        <v>1091</v>
      </c>
      <c r="I363" s="72">
        <v>3910</v>
      </c>
      <c r="L363" s="96" t="s">
        <v>364</v>
      </c>
      <c r="M363" s="934" t="s">
        <v>1073</v>
      </c>
      <c r="N363" s="937"/>
      <c r="P363" s="938"/>
      <c r="Q363" s="72"/>
      <c r="R363" s="73"/>
      <c r="T363" s="940"/>
    </row>
    <row r="364" spans="1:20">
      <c r="B364" s="72"/>
      <c r="D364" s="72">
        <v>7251</v>
      </c>
      <c r="E364" s="73" t="s">
        <v>369</v>
      </c>
      <c r="F364" s="935"/>
      <c r="G364" s="935"/>
      <c r="H364" s="935"/>
      <c r="I364" s="72"/>
      <c r="L364" s="96" t="s">
        <v>364</v>
      </c>
      <c r="M364" s="934"/>
      <c r="N364" s="937"/>
      <c r="P364" s="938"/>
      <c r="Q364" s="72"/>
      <c r="R364" s="73"/>
      <c r="T364" s="940"/>
    </row>
    <row r="365" spans="1:20">
      <c r="B365" s="72"/>
      <c r="D365" s="72">
        <v>7260</v>
      </c>
      <c r="E365" s="73" t="s">
        <v>59</v>
      </c>
      <c r="F365" s="935" t="s">
        <v>1090</v>
      </c>
      <c r="G365" s="935" t="s">
        <v>1072</v>
      </c>
      <c r="H365" s="935" t="s">
        <v>1091</v>
      </c>
      <c r="I365" s="72">
        <v>3910</v>
      </c>
      <c r="L365" s="96" t="s">
        <v>364</v>
      </c>
      <c r="M365" s="934" t="s">
        <v>1073</v>
      </c>
      <c r="N365" s="937"/>
      <c r="P365" s="938"/>
      <c r="Q365" s="72"/>
      <c r="R365" s="73"/>
      <c r="T365" s="940"/>
    </row>
    <row r="366" spans="1:20">
      <c r="B366" s="72"/>
      <c r="D366" s="72">
        <v>7270</v>
      </c>
      <c r="E366" s="73" t="s">
        <v>60</v>
      </c>
      <c r="F366" s="935" t="s">
        <v>1090</v>
      </c>
      <c r="G366" s="935" t="s">
        <v>1072</v>
      </c>
      <c r="H366" s="935" t="s">
        <v>1091</v>
      </c>
      <c r="I366" s="72">
        <v>3910</v>
      </c>
      <c r="L366" s="96" t="s">
        <v>364</v>
      </c>
      <c r="M366" s="934" t="s">
        <v>1073</v>
      </c>
      <c r="N366" s="937"/>
      <c r="P366" s="938"/>
      <c r="Q366" s="72"/>
      <c r="R366" s="73"/>
      <c r="T366" s="940"/>
    </row>
    <row r="367" spans="1:20">
      <c r="B367" s="72"/>
      <c r="D367" s="72">
        <v>7280</v>
      </c>
      <c r="E367" s="73" t="s">
        <v>370</v>
      </c>
      <c r="F367" s="935" t="s">
        <v>1090</v>
      </c>
      <c r="G367" s="935" t="s">
        <v>1072</v>
      </c>
      <c r="H367" s="935" t="s">
        <v>1091</v>
      </c>
      <c r="I367" s="72">
        <v>3910</v>
      </c>
      <c r="L367" s="96" t="s">
        <v>364</v>
      </c>
      <c r="M367" s="934" t="s">
        <v>1073</v>
      </c>
      <c r="N367" s="937"/>
      <c r="P367" s="938"/>
      <c r="Q367" s="72"/>
      <c r="R367" s="73"/>
      <c r="T367" s="940"/>
    </row>
    <row r="368" spans="1:20">
      <c r="B368" s="72"/>
      <c r="D368" s="72">
        <v>7290</v>
      </c>
      <c r="E368" s="73" t="s">
        <v>134</v>
      </c>
      <c r="F368" s="935" t="s">
        <v>1090</v>
      </c>
      <c r="G368" s="935" t="s">
        <v>1072</v>
      </c>
      <c r="H368" s="935" t="s">
        <v>1091</v>
      </c>
      <c r="I368" s="72">
        <v>3910</v>
      </c>
      <c r="L368" s="96" t="s">
        <v>364</v>
      </c>
      <c r="M368" s="934" t="s">
        <v>1073</v>
      </c>
      <c r="N368" s="937"/>
      <c r="P368" s="938"/>
      <c r="Q368" s="72"/>
      <c r="R368" s="73"/>
      <c r="T368" s="940"/>
    </row>
    <row r="369" spans="1:20">
      <c r="B369" s="72"/>
      <c r="D369" s="72">
        <v>7300</v>
      </c>
      <c r="E369" s="73" t="s">
        <v>133</v>
      </c>
      <c r="F369" s="935" t="s">
        <v>1090</v>
      </c>
      <c r="G369" s="935" t="s">
        <v>1072</v>
      </c>
      <c r="H369" s="935" t="s">
        <v>1091</v>
      </c>
      <c r="I369" s="72">
        <v>3910</v>
      </c>
      <c r="L369" s="96" t="s">
        <v>364</v>
      </c>
      <c r="M369" s="934" t="s">
        <v>1073</v>
      </c>
      <c r="N369" s="937"/>
      <c r="P369" s="938"/>
      <c r="Q369" s="72"/>
      <c r="R369" s="73"/>
      <c r="T369" s="940"/>
    </row>
    <row r="370" spans="1:20">
      <c r="B370" s="72"/>
      <c r="D370" s="72">
        <v>7320</v>
      </c>
      <c r="E370" s="73" t="s">
        <v>371</v>
      </c>
      <c r="F370" s="935" t="s">
        <v>1090</v>
      </c>
      <c r="G370" s="935" t="s">
        <v>1072</v>
      </c>
      <c r="H370" s="935" t="s">
        <v>1091</v>
      </c>
      <c r="I370" s="72">
        <v>3910</v>
      </c>
      <c r="L370" s="96" t="s">
        <v>364</v>
      </c>
      <c r="M370" s="934" t="s">
        <v>1073</v>
      </c>
      <c r="N370" s="937"/>
      <c r="P370" s="938"/>
      <c r="Q370" s="72"/>
      <c r="R370" s="73"/>
      <c r="T370" s="940"/>
    </row>
    <row r="371" spans="1:20">
      <c r="A371" s="977"/>
      <c r="B371" s="72"/>
      <c r="D371" s="72">
        <v>7330</v>
      </c>
      <c r="E371" s="73" t="s">
        <v>372</v>
      </c>
      <c r="F371" s="935" t="s">
        <v>1090</v>
      </c>
      <c r="G371" s="935" t="s">
        <v>1072</v>
      </c>
      <c r="H371" s="935" t="s">
        <v>1091</v>
      </c>
      <c r="I371" s="72">
        <v>3910</v>
      </c>
      <c r="L371" s="96" t="s">
        <v>364</v>
      </c>
      <c r="M371" s="934" t="s">
        <v>1073</v>
      </c>
      <c r="N371" s="937"/>
      <c r="P371" s="938"/>
      <c r="Q371" s="72"/>
      <c r="R371" s="73"/>
      <c r="T371" s="940"/>
    </row>
    <row r="372" spans="1:20">
      <c r="A372" s="977"/>
      <c r="B372" s="72"/>
      <c r="D372" s="72">
        <v>7331</v>
      </c>
      <c r="E372" s="73" t="s">
        <v>1111</v>
      </c>
      <c r="F372" s="935"/>
      <c r="G372" s="935"/>
      <c r="H372" s="935"/>
      <c r="I372" s="72"/>
      <c r="L372" s="96" t="s">
        <v>364</v>
      </c>
      <c r="M372" s="934"/>
      <c r="N372" s="937"/>
      <c r="P372" s="938"/>
      <c r="Q372" s="72"/>
      <c r="R372" s="73"/>
      <c r="T372" s="940"/>
    </row>
    <row r="373" spans="1:20">
      <c r="A373" s="977"/>
      <c r="B373" s="72"/>
      <c r="C373" s="939" t="s">
        <v>1112</v>
      </c>
      <c r="D373" s="76">
        <v>7332</v>
      </c>
      <c r="E373" s="77" t="s">
        <v>1113</v>
      </c>
      <c r="F373" s="954"/>
      <c r="G373" s="954"/>
      <c r="H373" s="954"/>
      <c r="I373" s="76"/>
      <c r="J373" s="97"/>
      <c r="K373" s="97"/>
      <c r="L373" s="97" t="s">
        <v>364</v>
      </c>
      <c r="M373" s="934"/>
      <c r="N373" s="937"/>
      <c r="P373" s="938"/>
      <c r="Q373" s="72"/>
      <c r="R373" s="73"/>
      <c r="T373" s="940"/>
    </row>
    <row r="374" spans="1:20">
      <c r="B374" s="72"/>
      <c r="D374" s="72">
        <v>7340</v>
      </c>
      <c r="E374" s="73" t="s">
        <v>373</v>
      </c>
      <c r="F374" s="935" t="s">
        <v>1090</v>
      </c>
      <c r="G374" s="935" t="s">
        <v>1072</v>
      </c>
      <c r="H374" s="935" t="s">
        <v>1091</v>
      </c>
      <c r="I374" s="72">
        <v>3910</v>
      </c>
      <c r="L374" s="96" t="s">
        <v>364</v>
      </c>
      <c r="M374" s="934" t="s">
        <v>1073</v>
      </c>
      <c r="N374" s="937"/>
      <c r="P374" s="938"/>
      <c r="Q374" s="72"/>
      <c r="R374" s="73"/>
      <c r="T374" s="940"/>
    </row>
    <row r="375" spans="1:20">
      <c r="B375" s="72"/>
      <c r="D375" s="72">
        <v>7350</v>
      </c>
      <c r="E375" s="73" t="s">
        <v>374</v>
      </c>
      <c r="F375" s="935" t="s">
        <v>1090</v>
      </c>
      <c r="G375" s="935" t="s">
        <v>1072</v>
      </c>
      <c r="H375" s="935" t="s">
        <v>1091</v>
      </c>
      <c r="I375" s="72">
        <v>3910</v>
      </c>
      <c r="L375" s="96" t="s">
        <v>364</v>
      </c>
      <c r="M375" s="934" t="s">
        <v>1073</v>
      </c>
      <c r="N375" s="937"/>
      <c r="P375" s="938"/>
      <c r="Q375" s="72"/>
      <c r="R375" s="73"/>
      <c r="T375" s="940"/>
    </row>
    <row r="376" spans="1:20">
      <c r="B376" s="72"/>
      <c r="D376" s="72">
        <v>7355</v>
      </c>
      <c r="E376" s="73" t="s">
        <v>375</v>
      </c>
      <c r="F376" s="935"/>
      <c r="G376" s="935"/>
      <c r="H376" s="935"/>
      <c r="I376" s="72"/>
      <c r="L376" s="96" t="s">
        <v>364</v>
      </c>
      <c r="M376" s="934"/>
      <c r="N376" s="937"/>
      <c r="P376" s="938"/>
      <c r="Q376" s="72"/>
      <c r="R376" s="73"/>
      <c r="T376" s="940"/>
    </row>
    <row r="377" spans="1:20">
      <c r="B377" s="72"/>
      <c r="D377" s="72">
        <v>7360</v>
      </c>
      <c r="E377" s="73" t="s">
        <v>376</v>
      </c>
      <c r="F377" s="935" t="s">
        <v>1090</v>
      </c>
      <c r="G377" s="935" t="s">
        <v>1072</v>
      </c>
      <c r="H377" s="935" t="s">
        <v>1091</v>
      </c>
      <c r="I377" s="72">
        <v>3910</v>
      </c>
      <c r="L377" s="96" t="s">
        <v>364</v>
      </c>
      <c r="M377" s="934" t="s">
        <v>1073</v>
      </c>
      <c r="N377" s="937"/>
      <c r="P377" s="938"/>
      <c r="Q377" s="72"/>
      <c r="R377" s="73"/>
      <c r="T377" s="940"/>
    </row>
    <row r="378" spans="1:20">
      <c r="B378" s="72"/>
      <c r="D378" s="72">
        <v>7370</v>
      </c>
      <c r="E378" s="73" t="s">
        <v>135</v>
      </c>
      <c r="F378" s="935" t="s">
        <v>1090</v>
      </c>
      <c r="G378" s="935" t="s">
        <v>1072</v>
      </c>
      <c r="H378" s="935" t="s">
        <v>1091</v>
      </c>
      <c r="I378" s="72">
        <v>3910</v>
      </c>
      <c r="L378" s="96" t="s">
        <v>364</v>
      </c>
      <c r="M378" s="934" t="s">
        <v>1073</v>
      </c>
      <c r="N378" s="937"/>
      <c r="P378" s="938"/>
      <c r="Q378" s="72"/>
      <c r="R378" s="73"/>
      <c r="T378" s="940"/>
    </row>
    <row r="379" spans="1:20">
      <c r="B379" s="72"/>
      <c r="D379" s="72">
        <v>7380</v>
      </c>
      <c r="E379" s="73" t="s">
        <v>377</v>
      </c>
      <c r="F379" s="935" t="s">
        <v>1090</v>
      </c>
      <c r="G379" s="935" t="s">
        <v>1072</v>
      </c>
      <c r="H379" s="935" t="s">
        <v>1091</v>
      </c>
      <c r="I379" s="72">
        <v>3910</v>
      </c>
      <c r="L379" s="96" t="s">
        <v>364</v>
      </c>
      <c r="M379" s="934" t="s">
        <v>1073</v>
      </c>
      <c r="N379" s="937"/>
      <c r="P379" s="938"/>
      <c r="Q379" s="72"/>
      <c r="R379" s="73"/>
      <c r="T379" s="940"/>
    </row>
    <row r="380" spans="1:20">
      <c r="B380" s="72"/>
      <c r="D380" s="72">
        <v>7390</v>
      </c>
      <c r="E380" s="73" t="s">
        <v>378</v>
      </c>
      <c r="F380" s="935" t="s">
        <v>1090</v>
      </c>
      <c r="G380" s="935" t="s">
        <v>1072</v>
      </c>
      <c r="H380" s="935" t="s">
        <v>1091</v>
      </c>
      <c r="I380" s="72">
        <v>3910</v>
      </c>
      <c r="L380" s="96" t="s">
        <v>364</v>
      </c>
      <c r="M380" s="934" t="s">
        <v>1073</v>
      </c>
      <c r="N380" s="937"/>
      <c r="P380" s="938"/>
      <c r="Q380" s="72"/>
      <c r="R380" s="73"/>
      <c r="T380" s="940"/>
    </row>
    <row r="381" spans="1:20">
      <c r="B381" s="72"/>
      <c r="D381" s="72">
        <v>7400</v>
      </c>
      <c r="E381" s="73" t="s">
        <v>379</v>
      </c>
      <c r="F381" s="935" t="s">
        <v>1090</v>
      </c>
      <c r="G381" s="935" t="s">
        <v>1072</v>
      </c>
      <c r="H381" s="935" t="s">
        <v>1091</v>
      </c>
      <c r="I381" s="72">
        <v>3910</v>
      </c>
      <c r="L381" s="96" t="s">
        <v>364</v>
      </c>
      <c r="M381" s="934" t="s">
        <v>1073</v>
      </c>
      <c r="N381" s="937"/>
      <c r="P381" s="938"/>
      <c r="Q381" s="72"/>
      <c r="R381" s="73"/>
      <c r="T381" s="940"/>
    </row>
    <row r="382" spans="1:20">
      <c r="B382" s="72"/>
      <c r="D382" s="72">
        <v>7410</v>
      </c>
      <c r="E382" s="73" t="s">
        <v>380</v>
      </c>
      <c r="F382" s="935" t="s">
        <v>1090</v>
      </c>
      <c r="G382" s="935" t="s">
        <v>1072</v>
      </c>
      <c r="H382" s="935" t="s">
        <v>1091</v>
      </c>
      <c r="I382" s="72">
        <v>3910</v>
      </c>
      <c r="L382" s="96" t="s">
        <v>364</v>
      </c>
      <c r="M382" s="934" t="s">
        <v>1073</v>
      </c>
      <c r="N382" s="937"/>
      <c r="P382" s="938"/>
      <c r="Q382" s="72"/>
      <c r="R382" s="73"/>
      <c r="T382" s="940"/>
    </row>
    <row r="383" spans="1:20">
      <c r="B383" s="72"/>
      <c r="D383" s="72">
        <v>7420</v>
      </c>
      <c r="E383" s="73" t="s">
        <v>381</v>
      </c>
      <c r="F383" s="935" t="s">
        <v>1090</v>
      </c>
      <c r="G383" s="935" t="s">
        <v>1072</v>
      </c>
      <c r="H383" s="935" t="s">
        <v>1091</v>
      </c>
      <c r="I383" s="72">
        <v>3910</v>
      </c>
      <c r="L383" s="96" t="s">
        <v>364</v>
      </c>
      <c r="M383" s="934" t="s">
        <v>1073</v>
      </c>
      <c r="N383" s="937"/>
      <c r="P383" s="938"/>
      <c r="Q383" s="72"/>
      <c r="R383" s="73"/>
      <c r="T383" s="940"/>
    </row>
    <row r="384" spans="1:20">
      <c r="B384" s="72"/>
      <c r="D384" s="72">
        <v>7430</v>
      </c>
      <c r="E384" s="73" t="s">
        <v>382</v>
      </c>
      <c r="F384" s="935" t="s">
        <v>1090</v>
      </c>
      <c r="G384" s="935" t="s">
        <v>1072</v>
      </c>
      <c r="H384" s="935" t="s">
        <v>1091</v>
      </c>
      <c r="I384" s="72">
        <v>3910</v>
      </c>
      <c r="L384" s="96" t="s">
        <v>364</v>
      </c>
      <c r="M384" s="934" t="s">
        <v>1073</v>
      </c>
      <c r="N384" s="937"/>
      <c r="P384" s="938"/>
      <c r="Q384" s="72"/>
      <c r="R384" s="73"/>
      <c r="T384" s="940"/>
    </row>
    <row r="385" spans="2:20">
      <c r="B385" s="72"/>
      <c r="D385" s="72">
        <v>7440</v>
      </c>
      <c r="E385" s="73" t="s">
        <v>383</v>
      </c>
      <c r="F385" s="935" t="s">
        <v>1090</v>
      </c>
      <c r="G385" s="935" t="s">
        <v>1072</v>
      </c>
      <c r="H385" s="935" t="s">
        <v>1091</v>
      </c>
      <c r="I385" s="72">
        <v>3910</v>
      </c>
      <c r="L385" s="96" t="s">
        <v>364</v>
      </c>
      <c r="M385" s="934" t="s">
        <v>1073</v>
      </c>
      <c r="N385" s="937"/>
      <c r="P385" s="938"/>
      <c r="Q385" s="72"/>
      <c r="R385" s="73"/>
      <c r="T385" s="940"/>
    </row>
    <row r="386" spans="2:20">
      <c r="B386" s="72"/>
      <c r="D386" s="72">
        <v>7450</v>
      </c>
      <c r="E386" s="73" t="s">
        <v>384</v>
      </c>
      <c r="F386" s="935" t="s">
        <v>1090</v>
      </c>
      <c r="G386" s="935" t="s">
        <v>1072</v>
      </c>
      <c r="H386" s="935" t="s">
        <v>1091</v>
      </c>
      <c r="I386" s="72">
        <v>3910</v>
      </c>
      <c r="L386" s="96" t="s">
        <v>364</v>
      </c>
      <c r="M386" s="934" t="s">
        <v>1073</v>
      </c>
      <c r="N386" s="937"/>
      <c r="P386" s="938"/>
      <c r="Q386" s="72"/>
      <c r="R386" s="73"/>
      <c r="T386" s="940"/>
    </row>
    <row r="387" spans="2:20">
      <c r="B387" s="72"/>
      <c r="D387" s="72">
        <v>7460</v>
      </c>
      <c r="E387" s="73" t="s">
        <v>385</v>
      </c>
      <c r="F387" s="935" t="s">
        <v>1090</v>
      </c>
      <c r="G387" s="935" t="s">
        <v>1072</v>
      </c>
      <c r="H387" s="935" t="s">
        <v>1091</v>
      </c>
      <c r="I387" s="72">
        <v>3910</v>
      </c>
      <c r="L387" s="96" t="s">
        <v>364</v>
      </c>
      <c r="M387" s="934" t="s">
        <v>1073</v>
      </c>
      <c r="N387" s="937"/>
      <c r="P387" s="938"/>
      <c r="Q387" s="72"/>
      <c r="R387" s="73"/>
      <c r="T387" s="940"/>
    </row>
    <row r="388" spans="2:20">
      <c r="B388" s="72"/>
      <c r="C388" s="941" t="s">
        <v>1081</v>
      </c>
      <c r="D388" s="80">
        <v>7465</v>
      </c>
      <c r="E388" s="81" t="s">
        <v>1049</v>
      </c>
      <c r="F388" s="942"/>
      <c r="G388" s="942"/>
      <c r="H388" s="942"/>
      <c r="I388" s="80"/>
      <c r="J388" s="944"/>
      <c r="K388" s="944"/>
      <c r="L388" s="944" t="s">
        <v>364</v>
      </c>
      <c r="M388" s="934"/>
      <c r="N388" s="937"/>
      <c r="P388" s="938"/>
      <c r="Q388" s="72"/>
      <c r="R388" s="73"/>
      <c r="T388" s="940"/>
    </row>
    <row r="389" spans="2:20">
      <c r="B389" s="72"/>
      <c r="D389" s="72">
        <v>7470</v>
      </c>
      <c r="E389" s="73" t="s">
        <v>386</v>
      </c>
      <c r="F389" s="935" t="s">
        <v>1090</v>
      </c>
      <c r="G389" s="935" t="s">
        <v>1072</v>
      </c>
      <c r="H389" s="935" t="s">
        <v>1091</v>
      </c>
      <c r="I389" s="72">
        <v>3910</v>
      </c>
      <c r="L389" s="96" t="s">
        <v>364</v>
      </c>
      <c r="M389" s="934" t="s">
        <v>1073</v>
      </c>
      <c r="N389" s="937"/>
      <c r="P389" s="938"/>
      <c r="Q389" s="72"/>
      <c r="R389" s="73"/>
      <c r="T389" s="940"/>
    </row>
    <row r="390" spans="2:20">
      <c r="B390" s="72"/>
      <c r="C390" s="941" t="s">
        <v>1081</v>
      </c>
      <c r="D390" s="80">
        <v>7470.1</v>
      </c>
      <c r="E390" s="81" t="s">
        <v>1114</v>
      </c>
      <c r="F390" s="942" t="s">
        <v>1090</v>
      </c>
      <c r="G390" s="942" t="s">
        <v>1072</v>
      </c>
      <c r="H390" s="942" t="s">
        <v>1091</v>
      </c>
      <c r="I390" s="80">
        <v>3910</v>
      </c>
      <c r="J390" s="944"/>
      <c r="K390" s="944"/>
      <c r="L390" s="944" t="s">
        <v>364</v>
      </c>
      <c r="M390" s="934"/>
      <c r="N390" s="937"/>
      <c r="P390" s="938"/>
      <c r="Q390" s="72"/>
      <c r="R390" s="73"/>
      <c r="T390" s="940"/>
    </row>
    <row r="391" spans="2:20">
      <c r="B391" s="72"/>
      <c r="D391" s="72">
        <v>7472</v>
      </c>
      <c r="E391" s="73" t="s">
        <v>277</v>
      </c>
      <c r="F391" s="935" t="s">
        <v>1090</v>
      </c>
      <c r="G391" s="935" t="s">
        <v>1072</v>
      </c>
      <c r="H391" s="935" t="s">
        <v>1091</v>
      </c>
      <c r="I391" s="72">
        <v>3910</v>
      </c>
      <c r="L391" s="96" t="s">
        <v>364</v>
      </c>
      <c r="M391" s="934" t="s">
        <v>1073</v>
      </c>
      <c r="N391" s="937"/>
      <c r="P391" s="938"/>
      <c r="Q391" s="72"/>
      <c r="R391" s="73"/>
      <c r="T391" s="940"/>
    </row>
    <row r="392" spans="2:20">
      <c r="B392" s="72"/>
      <c r="D392" s="72">
        <v>7480</v>
      </c>
      <c r="E392" s="73" t="s">
        <v>387</v>
      </c>
      <c r="F392" s="935" t="s">
        <v>1090</v>
      </c>
      <c r="G392" s="935" t="s">
        <v>1072</v>
      </c>
      <c r="H392" s="935" t="s">
        <v>1091</v>
      </c>
      <c r="I392" s="72">
        <v>3910</v>
      </c>
      <c r="L392" s="96" t="s">
        <v>364</v>
      </c>
      <c r="M392" s="934" t="s">
        <v>1073</v>
      </c>
      <c r="N392" s="937"/>
      <c r="P392" s="938"/>
      <c r="Q392" s="72"/>
      <c r="R392" s="73"/>
      <c r="T392" s="940"/>
    </row>
    <row r="393" spans="2:20">
      <c r="B393" s="72"/>
      <c r="D393" s="72">
        <v>7485</v>
      </c>
      <c r="E393" s="73" t="s">
        <v>388</v>
      </c>
      <c r="F393" s="935"/>
      <c r="G393" s="935"/>
      <c r="H393" s="935"/>
      <c r="I393" s="72"/>
      <c r="L393" s="96" t="s">
        <v>364</v>
      </c>
      <c r="M393" s="934"/>
      <c r="N393" s="937"/>
      <c r="P393" s="938"/>
      <c r="Q393" s="72"/>
      <c r="R393" s="73"/>
      <c r="T393" s="940"/>
    </row>
    <row r="394" spans="2:20">
      <c r="B394" s="72"/>
      <c r="D394" s="72">
        <v>7490</v>
      </c>
      <c r="E394" s="73" t="s">
        <v>389</v>
      </c>
      <c r="F394" s="935" t="s">
        <v>1090</v>
      </c>
      <c r="G394" s="935" t="s">
        <v>1072</v>
      </c>
      <c r="H394" s="935" t="s">
        <v>1091</v>
      </c>
      <c r="I394" s="72">
        <v>3910</v>
      </c>
      <c r="L394" s="96" t="s">
        <v>364</v>
      </c>
      <c r="M394" s="934" t="s">
        <v>1073</v>
      </c>
      <c r="N394" s="937"/>
      <c r="P394" s="938"/>
      <c r="Q394" s="72"/>
      <c r="R394" s="73"/>
      <c r="T394" s="940"/>
    </row>
    <row r="395" spans="2:20">
      <c r="B395" s="72"/>
      <c r="D395" s="72">
        <v>7500</v>
      </c>
      <c r="E395" s="73" t="s">
        <v>390</v>
      </c>
      <c r="F395" s="935" t="s">
        <v>1090</v>
      </c>
      <c r="G395" s="935" t="s">
        <v>1072</v>
      </c>
      <c r="H395" s="935" t="s">
        <v>1091</v>
      </c>
      <c r="I395" s="72">
        <v>3910</v>
      </c>
      <c r="L395" s="96" t="s">
        <v>364</v>
      </c>
      <c r="M395" s="934" t="s">
        <v>1073</v>
      </c>
      <c r="N395" s="937"/>
      <c r="P395" s="938"/>
      <c r="Q395" s="72"/>
      <c r="R395" s="73"/>
      <c r="T395" s="940"/>
    </row>
    <row r="396" spans="2:20">
      <c r="B396" s="72"/>
      <c r="D396" s="72">
        <v>7510</v>
      </c>
      <c r="E396" s="73" t="s">
        <v>391</v>
      </c>
      <c r="F396" s="935" t="s">
        <v>1090</v>
      </c>
      <c r="G396" s="935" t="s">
        <v>1072</v>
      </c>
      <c r="H396" s="935" t="s">
        <v>1091</v>
      </c>
      <c r="I396" s="72">
        <v>3910</v>
      </c>
      <c r="L396" s="96" t="s">
        <v>364</v>
      </c>
      <c r="M396" s="934" t="s">
        <v>1073</v>
      </c>
      <c r="N396" s="937"/>
      <c r="P396" s="938"/>
      <c r="Q396" s="72"/>
      <c r="R396" s="73"/>
      <c r="T396" s="940"/>
    </row>
    <row r="397" spans="2:20">
      <c r="B397" s="72"/>
      <c r="C397" s="941" t="s">
        <v>1096</v>
      </c>
      <c r="D397" s="80">
        <v>7599</v>
      </c>
      <c r="E397" s="81" t="s">
        <v>715</v>
      </c>
      <c r="F397" s="942"/>
      <c r="G397" s="942"/>
      <c r="H397" s="942"/>
      <c r="I397" s="80"/>
      <c r="J397" s="944"/>
      <c r="K397" s="944"/>
      <c r="L397" s="944" t="s">
        <v>364</v>
      </c>
      <c r="M397" s="934"/>
      <c r="N397" s="937"/>
      <c r="P397" s="938"/>
      <c r="Q397" s="72"/>
      <c r="R397" s="73"/>
      <c r="T397" s="940"/>
    </row>
    <row r="398" spans="2:20" hidden="1" outlineLevel="1">
      <c r="B398" s="72"/>
      <c r="C398" s="947" t="s">
        <v>1108</v>
      </c>
      <c r="D398" s="86">
        <v>7601</v>
      </c>
      <c r="E398" s="87" t="s">
        <v>716</v>
      </c>
      <c r="F398" s="948"/>
      <c r="G398" s="948"/>
      <c r="H398" s="948"/>
      <c r="I398" s="86"/>
      <c r="J398" s="949"/>
      <c r="K398" s="949"/>
      <c r="L398" s="949" t="s">
        <v>364</v>
      </c>
      <c r="M398" s="978"/>
      <c r="N398" s="979"/>
      <c r="O398" s="949"/>
      <c r="P398" s="950" t="s">
        <v>1115</v>
      </c>
      <c r="Q398" s="72"/>
      <c r="R398" s="73"/>
      <c r="T398" s="940"/>
    </row>
    <row r="399" spans="2:20" hidden="1" outlineLevel="1">
      <c r="B399" s="72"/>
      <c r="C399" s="947" t="s">
        <v>1108</v>
      </c>
      <c r="D399" s="86">
        <v>7602</v>
      </c>
      <c r="E399" s="87" t="s">
        <v>717</v>
      </c>
      <c r="F399" s="948"/>
      <c r="G399" s="948"/>
      <c r="H399" s="948"/>
      <c r="I399" s="86"/>
      <c r="J399" s="949"/>
      <c r="K399" s="949"/>
      <c r="L399" s="949" t="s">
        <v>364</v>
      </c>
      <c r="M399" s="978"/>
      <c r="N399" s="979"/>
      <c r="O399" s="949"/>
      <c r="P399" s="950" t="s">
        <v>1115</v>
      </c>
      <c r="Q399" s="72"/>
      <c r="R399" s="73"/>
      <c r="T399" s="940"/>
    </row>
    <row r="400" spans="2:20" hidden="1" outlineLevel="1">
      <c r="B400" s="72"/>
      <c r="C400" s="947" t="s">
        <v>1108</v>
      </c>
      <c r="D400" s="86">
        <v>7603</v>
      </c>
      <c r="E400" s="87" t="s">
        <v>718</v>
      </c>
      <c r="F400" s="948"/>
      <c r="G400" s="948"/>
      <c r="H400" s="948"/>
      <c r="I400" s="86"/>
      <c r="J400" s="949"/>
      <c r="K400" s="949"/>
      <c r="L400" s="949" t="s">
        <v>364</v>
      </c>
      <c r="M400" s="978"/>
      <c r="N400" s="979"/>
      <c r="O400" s="949"/>
      <c r="P400" s="950" t="s">
        <v>1115</v>
      </c>
      <c r="Q400" s="72"/>
      <c r="R400" s="73"/>
      <c r="T400" s="940"/>
    </row>
    <row r="401" spans="2:20" hidden="1" outlineLevel="1">
      <c r="B401" s="72"/>
      <c r="C401" s="947" t="s">
        <v>1108</v>
      </c>
      <c r="D401" s="86">
        <v>7604</v>
      </c>
      <c r="E401" s="87" t="s">
        <v>719</v>
      </c>
      <c r="F401" s="948"/>
      <c r="G401" s="948"/>
      <c r="H401" s="948"/>
      <c r="I401" s="86"/>
      <c r="J401" s="949"/>
      <c r="K401" s="949"/>
      <c r="L401" s="949" t="s">
        <v>364</v>
      </c>
      <c r="M401" s="978"/>
      <c r="N401" s="979"/>
      <c r="O401" s="949"/>
      <c r="P401" s="950" t="s">
        <v>1115</v>
      </c>
      <c r="Q401" s="72"/>
      <c r="R401" s="73"/>
      <c r="T401" s="940"/>
    </row>
    <row r="402" spans="2:20" hidden="1" outlineLevel="1">
      <c r="B402" s="72"/>
      <c r="C402" s="947" t="s">
        <v>1108</v>
      </c>
      <c r="D402" s="86">
        <v>7605</v>
      </c>
      <c r="E402" s="87" t="s">
        <v>720</v>
      </c>
      <c r="F402" s="948"/>
      <c r="G402" s="948"/>
      <c r="H402" s="948"/>
      <c r="I402" s="86"/>
      <c r="J402" s="949"/>
      <c r="K402" s="949"/>
      <c r="L402" s="949" t="s">
        <v>364</v>
      </c>
      <c r="M402" s="978"/>
      <c r="N402" s="979"/>
      <c r="O402" s="949"/>
      <c r="P402" s="950" t="s">
        <v>1115</v>
      </c>
      <c r="Q402" s="72"/>
      <c r="R402" s="73"/>
      <c r="T402" s="940"/>
    </row>
    <row r="403" spans="2:20" hidden="1" outlineLevel="1">
      <c r="B403" s="72"/>
      <c r="C403" s="947" t="s">
        <v>1108</v>
      </c>
      <c r="D403" s="86">
        <v>7606</v>
      </c>
      <c r="E403" s="87" t="s">
        <v>721</v>
      </c>
      <c r="F403" s="948"/>
      <c r="G403" s="948"/>
      <c r="H403" s="948"/>
      <c r="I403" s="86"/>
      <c r="J403" s="949"/>
      <c r="K403" s="949"/>
      <c r="L403" s="949" t="s">
        <v>364</v>
      </c>
      <c r="M403" s="978"/>
      <c r="N403" s="979"/>
      <c r="O403" s="949"/>
      <c r="P403" s="950" t="s">
        <v>1115</v>
      </c>
      <c r="Q403" s="72"/>
      <c r="R403" s="73"/>
      <c r="T403" s="940"/>
    </row>
    <row r="404" spans="2:20" hidden="1" outlineLevel="1">
      <c r="B404" s="72"/>
      <c r="C404" s="947" t="s">
        <v>1108</v>
      </c>
      <c r="D404" s="86">
        <v>7607</v>
      </c>
      <c r="E404" s="87" t="s">
        <v>722</v>
      </c>
      <c r="F404" s="948"/>
      <c r="G404" s="948"/>
      <c r="H404" s="948"/>
      <c r="I404" s="86"/>
      <c r="J404" s="949"/>
      <c r="K404" s="949"/>
      <c r="L404" s="949" t="s">
        <v>364</v>
      </c>
      <c r="M404" s="978"/>
      <c r="N404" s="979"/>
      <c r="O404" s="949"/>
      <c r="P404" s="950" t="s">
        <v>1115</v>
      </c>
      <c r="Q404" s="72"/>
      <c r="R404" s="73"/>
      <c r="T404" s="940"/>
    </row>
    <row r="405" spans="2:20" hidden="1" outlineLevel="1">
      <c r="B405" s="72"/>
      <c r="C405" s="947" t="s">
        <v>1108</v>
      </c>
      <c r="D405" s="86">
        <v>7608</v>
      </c>
      <c r="E405" s="87" t="s">
        <v>723</v>
      </c>
      <c r="F405" s="948"/>
      <c r="G405" s="948"/>
      <c r="H405" s="948"/>
      <c r="I405" s="86"/>
      <c r="J405" s="949"/>
      <c r="K405" s="949"/>
      <c r="L405" s="949" t="s">
        <v>364</v>
      </c>
      <c r="M405" s="978"/>
      <c r="N405" s="979"/>
      <c r="O405" s="949"/>
      <c r="P405" s="950" t="s">
        <v>1115</v>
      </c>
      <c r="Q405" s="72"/>
      <c r="R405" s="73"/>
      <c r="T405" s="940"/>
    </row>
    <row r="406" spans="2:20" hidden="1" outlineLevel="1">
      <c r="B406" s="72"/>
      <c r="C406" s="947" t="s">
        <v>1108</v>
      </c>
      <c r="D406" s="86">
        <v>7609</v>
      </c>
      <c r="E406" s="87" t="s">
        <v>724</v>
      </c>
      <c r="F406" s="948"/>
      <c r="G406" s="948"/>
      <c r="H406" s="948"/>
      <c r="I406" s="86"/>
      <c r="J406" s="949"/>
      <c r="K406" s="949"/>
      <c r="L406" s="949" t="s">
        <v>364</v>
      </c>
      <c r="M406" s="978"/>
      <c r="N406" s="979"/>
      <c r="O406" s="949"/>
      <c r="P406" s="950" t="s">
        <v>1115</v>
      </c>
      <c r="Q406" s="72"/>
      <c r="R406" s="73"/>
      <c r="T406" s="940"/>
    </row>
    <row r="407" spans="2:20" hidden="1" outlineLevel="1">
      <c r="B407" s="72"/>
      <c r="C407" s="947" t="s">
        <v>1108</v>
      </c>
      <c r="D407" s="86">
        <v>7610</v>
      </c>
      <c r="E407" s="87" t="s">
        <v>725</v>
      </c>
      <c r="F407" s="948"/>
      <c r="G407" s="948"/>
      <c r="H407" s="948"/>
      <c r="I407" s="86"/>
      <c r="J407" s="949"/>
      <c r="K407" s="949"/>
      <c r="L407" s="949" t="s">
        <v>364</v>
      </c>
      <c r="M407" s="978"/>
      <c r="N407" s="979"/>
      <c r="O407" s="949"/>
      <c r="P407" s="950" t="s">
        <v>1115</v>
      </c>
      <c r="Q407" s="72"/>
      <c r="R407" s="73"/>
      <c r="T407" s="940"/>
    </row>
    <row r="408" spans="2:20" hidden="1" outlineLevel="1">
      <c r="B408" s="72"/>
      <c r="C408" s="947" t="s">
        <v>1108</v>
      </c>
      <c r="D408" s="86">
        <v>7611</v>
      </c>
      <c r="E408" s="87" t="s">
        <v>726</v>
      </c>
      <c r="F408" s="948"/>
      <c r="G408" s="948"/>
      <c r="H408" s="948"/>
      <c r="I408" s="86"/>
      <c r="J408" s="949"/>
      <c r="K408" s="949"/>
      <c r="L408" s="949" t="s">
        <v>364</v>
      </c>
      <c r="M408" s="978"/>
      <c r="N408" s="979"/>
      <c r="O408" s="949"/>
      <c r="P408" s="950" t="s">
        <v>1115</v>
      </c>
      <c r="Q408" s="72"/>
      <c r="R408" s="73"/>
      <c r="T408" s="940"/>
    </row>
    <row r="409" spans="2:20" hidden="1" outlineLevel="1">
      <c r="B409" s="72"/>
      <c r="C409" s="947" t="s">
        <v>1108</v>
      </c>
      <c r="D409" s="86">
        <v>7612</v>
      </c>
      <c r="E409" s="87" t="s">
        <v>727</v>
      </c>
      <c r="F409" s="948"/>
      <c r="G409" s="948"/>
      <c r="H409" s="948"/>
      <c r="I409" s="86"/>
      <c r="J409" s="949"/>
      <c r="K409" s="949"/>
      <c r="L409" s="949" t="s">
        <v>364</v>
      </c>
      <c r="M409" s="978"/>
      <c r="N409" s="979"/>
      <c r="O409" s="949"/>
      <c r="P409" s="950" t="s">
        <v>1115</v>
      </c>
      <c r="Q409" s="72"/>
      <c r="R409" s="73"/>
      <c r="T409" s="940"/>
    </row>
    <row r="410" spans="2:20" hidden="1" outlineLevel="1">
      <c r="B410" s="72"/>
      <c r="C410" s="947" t="s">
        <v>1108</v>
      </c>
      <c r="D410" s="86">
        <v>7613</v>
      </c>
      <c r="E410" s="87" t="s">
        <v>728</v>
      </c>
      <c r="F410" s="948"/>
      <c r="G410" s="948"/>
      <c r="H410" s="948"/>
      <c r="I410" s="86"/>
      <c r="J410" s="949"/>
      <c r="K410" s="949"/>
      <c r="L410" s="949" t="s">
        <v>364</v>
      </c>
      <c r="M410" s="978"/>
      <c r="N410" s="979"/>
      <c r="O410" s="949"/>
      <c r="P410" s="950" t="s">
        <v>1115</v>
      </c>
      <c r="Q410" s="72"/>
      <c r="R410" s="73"/>
      <c r="T410" s="940"/>
    </row>
    <row r="411" spans="2:20" hidden="1" outlineLevel="1">
      <c r="B411" s="72"/>
      <c r="C411" s="947" t="s">
        <v>1108</v>
      </c>
      <c r="D411" s="86">
        <v>7614</v>
      </c>
      <c r="E411" s="87" t="s">
        <v>729</v>
      </c>
      <c r="F411" s="948"/>
      <c r="G411" s="948"/>
      <c r="H411" s="948"/>
      <c r="I411" s="86"/>
      <c r="J411" s="949"/>
      <c r="K411" s="949"/>
      <c r="L411" s="949" t="s">
        <v>364</v>
      </c>
      <c r="M411" s="978"/>
      <c r="N411" s="979"/>
      <c r="O411" s="949"/>
      <c r="P411" s="950" t="s">
        <v>1115</v>
      </c>
      <c r="Q411" s="72"/>
      <c r="R411" s="73"/>
      <c r="T411" s="940"/>
    </row>
    <row r="412" spans="2:20" hidden="1" outlineLevel="1">
      <c r="B412" s="72"/>
      <c r="C412" s="947" t="s">
        <v>1108</v>
      </c>
      <c r="D412" s="86">
        <v>7615</v>
      </c>
      <c r="E412" s="87" t="s">
        <v>730</v>
      </c>
      <c r="F412" s="948"/>
      <c r="G412" s="948"/>
      <c r="H412" s="948"/>
      <c r="I412" s="86"/>
      <c r="J412" s="949"/>
      <c r="K412" s="949"/>
      <c r="L412" s="949" t="s">
        <v>364</v>
      </c>
      <c r="M412" s="978"/>
      <c r="N412" s="979"/>
      <c r="O412" s="949"/>
      <c r="P412" s="950" t="s">
        <v>1115</v>
      </c>
      <c r="Q412" s="72"/>
      <c r="R412" s="73"/>
      <c r="T412" s="940"/>
    </row>
    <row r="413" spans="2:20" hidden="1" outlineLevel="1">
      <c r="B413" s="72"/>
      <c r="C413" s="947" t="s">
        <v>1108</v>
      </c>
      <c r="D413" s="86">
        <v>7616</v>
      </c>
      <c r="E413" s="87" t="s">
        <v>731</v>
      </c>
      <c r="F413" s="948"/>
      <c r="G413" s="948"/>
      <c r="H413" s="948"/>
      <c r="I413" s="86"/>
      <c r="J413" s="949"/>
      <c r="K413" s="949"/>
      <c r="L413" s="949" t="s">
        <v>364</v>
      </c>
      <c r="M413" s="978"/>
      <c r="N413" s="979"/>
      <c r="O413" s="949"/>
      <c r="P413" s="950" t="s">
        <v>1115</v>
      </c>
      <c r="Q413" s="72"/>
      <c r="R413" s="73"/>
      <c r="T413" s="940"/>
    </row>
    <row r="414" spans="2:20" hidden="1" outlineLevel="1">
      <c r="B414" s="72"/>
      <c r="C414" s="947" t="s">
        <v>1108</v>
      </c>
      <c r="D414" s="86">
        <v>7617</v>
      </c>
      <c r="E414" s="87" t="s">
        <v>732</v>
      </c>
      <c r="F414" s="948"/>
      <c r="G414" s="948"/>
      <c r="H414" s="948"/>
      <c r="I414" s="86"/>
      <c r="J414" s="949"/>
      <c r="K414" s="949"/>
      <c r="L414" s="949" t="s">
        <v>364</v>
      </c>
      <c r="M414" s="978"/>
      <c r="N414" s="979"/>
      <c r="O414" s="949"/>
      <c r="P414" s="950" t="s">
        <v>1115</v>
      </c>
      <c r="Q414" s="72"/>
      <c r="R414" s="73"/>
      <c r="T414" s="940"/>
    </row>
    <row r="415" spans="2:20" hidden="1" outlineLevel="1">
      <c r="B415" s="72"/>
      <c r="C415" s="947" t="s">
        <v>1108</v>
      </c>
      <c r="D415" s="86">
        <v>7618</v>
      </c>
      <c r="E415" s="87" t="s">
        <v>733</v>
      </c>
      <c r="F415" s="948"/>
      <c r="G415" s="948"/>
      <c r="H415" s="948"/>
      <c r="I415" s="86"/>
      <c r="J415" s="949"/>
      <c r="K415" s="949"/>
      <c r="L415" s="949" t="s">
        <v>364</v>
      </c>
      <c r="M415" s="978"/>
      <c r="N415" s="979"/>
      <c r="O415" s="949"/>
      <c r="P415" s="950" t="s">
        <v>1115</v>
      </c>
      <c r="Q415" s="72"/>
      <c r="R415" s="73"/>
      <c r="T415" s="940"/>
    </row>
    <row r="416" spans="2:20" hidden="1" outlineLevel="1">
      <c r="B416" s="72"/>
      <c r="C416" s="947" t="s">
        <v>1108</v>
      </c>
      <c r="D416" s="86">
        <v>7619</v>
      </c>
      <c r="E416" s="87" t="s">
        <v>734</v>
      </c>
      <c r="F416" s="948"/>
      <c r="G416" s="948"/>
      <c r="H416" s="948"/>
      <c r="I416" s="86"/>
      <c r="J416" s="949"/>
      <c r="K416" s="949"/>
      <c r="L416" s="949" t="s">
        <v>364</v>
      </c>
      <c r="M416" s="978"/>
      <c r="N416" s="979"/>
      <c r="O416" s="949"/>
      <c r="P416" s="950" t="s">
        <v>1115</v>
      </c>
      <c r="Q416" s="72"/>
      <c r="R416" s="73"/>
      <c r="T416" s="940"/>
    </row>
    <row r="417" spans="2:20" hidden="1" outlineLevel="1">
      <c r="B417" s="72"/>
      <c r="C417" s="947" t="s">
        <v>1108</v>
      </c>
      <c r="D417" s="86">
        <v>7620</v>
      </c>
      <c r="E417" s="87" t="s">
        <v>735</v>
      </c>
      <c r="F417" s="948"/>
      <c r="G417" s="948"/>
      <c r="H417" s="948"/>
      <c r="I417" s="86"/>
      <c r="J417" s="949"/>
      <c r="K417" s="949"/>
      <c r="L417" s="949" t="s">
        <v>364</v>
      </c>
      <c r="M417" s="978"/>
      <c r="N417" s="979"/>
      <c r="O417" s="949"/>
      <c r="P417" s="950" t="s">
        <v>1115</v>
      </c>
      <c r="Q417" s="72"/>
      <c r="R417" s="73"/>
      <c r="T417" s="940"/>
    </row>
    <row r="418" spans="2:20" hidden="1" outlineLevel="1">
      <c r="B418" s="72"/>
      <c r="C418" s="947" t="s">
        <v>1108</v>
      </c>
      <c r="D418" s="86">
        <v>7621</v>
      </c>
      <c r="E418" s="87" t="s">
        <v>736</v>
      </c>
      <c r="F418" s="948"/>
      <c r="G418" s="948"/>
      <c r="H418" s="948"/>
      <c r="I418" s="86"/>
      <c r="J418" s="949"/>
      <c r="K418" s="949"/>
      <c r="L418" s="949" t="s">
        <v>364</v>
      </c>
      <c r="M418" s="978"/>
      <c r="N418" s="979"/>
      <c r="O418" s="949"/>
      <c r="P418" s="950" t="s">
        <v>1115</v>
      </c>
      <c r="Q418" s="72"/>
      <c r="R418" s="73"/>
      <c r="T418" s="940"/>
    </row>
    <row r="419" spans="2:20" hidden="1" outlineLevel="1">
      <c r="B419" s="72"/>
      <c r="C419" s="947" t="s">
        <v>1108</v>
      </c>
      <c r="D419" s="86">
        <v>7622</v>
      </c>
      <c r="E419" s="87" t="s">
        <v>737</v>
      </c>
      <c r="F419" s="948"/>
      <c r="G419" s="948"/>
      <c r="H419" s="948"/>
      <c r="I419" s="86"/>
      <c r="J419" s="949"/>
      <c r="K419" s="949"/>
      <c r="L419" s="949" t="s">
        <v>364</v>
      </c>
      <c r="M419" s="978"/>
      <c r="N419" s="979"/>
      <c r="O419" s="949"/>
      <c r="P419" s="950" t="s">
        <v>1115</v>
      </c>
      <c r="Q419" s="72"/>
      <c r="R419" s="73"/>
      <c r="T419" s="940"/>
    </row>
    <row r="420" spans="2:20" hidden="1" outlineLevel="1">
      <c r="B420" s="72"/>
      <c r="C420" s="947" t="s">
        <v>1108</v>
      </c>
      <c r="D420" s="86">
        <v>7623</v>
      </c>
      <c r="E420" s="87" t="s">
        <v>738</v>
      </c>
      <c r="F420" s="948"/>
      <c r="G420" s="948"/>
      <c r="H420" s="948"/>
      <c r="I420" s="86"/>
      <c r="J420" s="949"/>
      <c r="K420" s="949"/>
      <c r="L420" s="949" t="s">
        <v>364</v>
      </c>
      <c r="M420" s="978"/>
      <c r="N420" s="979"/>
      <c r="O420" s="949"/>
      <c r="P420" s="950" t="s">
        <v>1115</v>
      </c>
      <c r="Q420" s="72"/>
      <c r="R420" s="73"/>
      <c r="T420" s="940"/>
    </row>
    <row r="421" spans="2:20" hidden="1" outlineLevel="1">
      <c r="B421" s="72"/>
      <c r="C421" s="947" t="s">
        <v>1108</v>
      </c>
      <c r="D421" s="86">
        <v>7624</v>
      </c>
      <c r="E421" s="87" t="s">
        <v>739</v>
      </c>
      <c r="F421" s="948"/>
      <c r="G421" s="948"/>
      <c r="H421" s="948"/>
      <c r="I421" s="86"/>
      <c r="J421" s="949"/>
      <c r="K421" s="949"/>
      <c r="L421" s="949" t="s">
        <v>364</v>
      </c>
      <c r="M421" s="978"/>
      <c r="N421" s="979"/>
      <c r="O421" s="949"/>
      <c r="P421" s="950" t="s">
        <v>1115</v>
      </c>
      <c r="Q421" s="72"/>
      <c r="R421" s="73"/>
      <c r="T421" s="940"/>
    </row>
    <row r="422" spans="2:20" hidden="1" outlineLevel="1">
      <c r="B422" s="72"/>
      <c r="C422" s="947" t="s">
        <v>1108</v>
      </c>
      <c r="D422" s="86">
        <v>7625</v>
      </c>
      <c r="E422" s="87" t="s">
        <v>740</v>
      </c>
      <c r="F422" s="948"/>
      <c r="G422" s="948"/>
      <c r="H422" s="948"/>
      <c r="I422" s="86"/>
      <c r="J422" s="949"/>
      <c r="K422" s="949"/>
      <c r="L422" s="949" t="s">
        <v>364</v>
      </c>
      <c r="M422" s="978"/>
      <c r="N422" s="979"/>
      <c r="O422" s="949"/>
      <c r="P422" s="950" t="s">
        <v>1115</v>
      </c>
      <c r="Q422" s="72"/>
      <c r="R422" s="73"/>
      <c r="T422" s="940"/>
    </row>
    <row r="423" spans="2:20" hidden="1" outlineLevel="1">
      <c r="B423" s="72"/>
      <c r="C423" s="947" t="s">
        <v>1108</v>
      </c>
      <c r="D423" s="86">
        <v>7626</v>
      </c>
      <c r="E423" s="87" t="s">
        <v>741</v>
      </c>
      <c r="F423" s="948"/>
      <c r="G423" s="948"/>
      <c r="H423" s="948"/>
      <c r="I423" s="86"/>
      <c r="J423" s="949"/>
      <c r="K423" s="949"/>
      <c r="L423" s="949" t="s">
        <v>364</v>
      </c>
      <c r="M423" s="978"/>
      <c r="N423" s="979"/>
      <c r="O423" s="949"/>
      <c r="P423" s="950" t="s">
        <v>1115</v>
      </c>
      <c r="Q423" s="72"/>
      <c r="R423" s="73"/>
      <c r="T423" s="940"/>
    </row>
    <row r="424" spans="2:20" hidden="1" outlineLevel="1">
      <c r="B424" s="72"/>
      <c r="C424" s="947" t="s">
        <v>1108</v>
      </c>
      <c r="D424" s="86">
        <v>7627</v>
      </c>
      <c r="E424" s="87" t="s">
        <v>742</v>
      </c>
      <c r="F424" s="948"/>
      <c r="G424" s="948"/>
      <c r="H424" s="948"/>
      <c r="I424" s="86"/>
      <c r="J424" s="949"/>
      <c r="K424" s="949"/>
      <c r="L424" s="949" t="s">
        <v>364</v>
      </c>
      <c r="M424" s="978"/>
      <c r="N424" s="979"/>
      <c r="O424" s="949"/>
      <c r="P424" s="950" t="s">
        <v>1115</v>
      </c>
      <c r="Q424" s="72"/>
      <c r="R424" s="73"/>
      <c r="T424" s="940"/>
    </row>
    <row r="425" spans="2:20" hidden="1" outlineLevel="1">
      <c r="B425" s="72"/>
      <c r="C425" s="947" t="s">
        <v>1108</v>
      </c>
      <c r="D425" s="86">
        <v>7628</v>
      </c>
      <c r="E425" s="87" t="s">
        <v>743</v>
      </c>
      <c r="F425" s="948"/>
      <c r="G425" s="948"/>
      <c r="H425" s="948"/>
      <c r="I425" s="86"/>
      <c r="J425" s="949"/>
      <c r="K425" s="949"/>
      <c r="L425" s="949" t="s">
        <v>364</v>
      </c>
      <c r="M425" s="978"/>
      <c r="N425" s="979"/>
      <c r="O425" s="949"/>
      <c r="P425" s="950" t="s">
        <v>1115</v>
      </c>
      <c r="Q425" s="72"/>
      <c r="R425" s="73"/>
      <c r="T425" s="940"/>
    </row>
    <row r="426" spans="2:20" hidden="1" outlineLevel="1">
      <c r="B426" s="72"/>
      <c r="C426" s="947" t="s">
        <v>1108</v>
      </c>
      <c r="D426" s="86">
        <v>7629</v>
      </c>
      <c r="E426" s="87" t="s">
        <v>744</v>
      </c>
      <c r="F426" s="948"/>
      <c r="G426" s="948"/>
      <c r="H426" s="948"/>
      <c r="I426" s="86"/>
      <c r="J426" s="949"/>
      <c r="K426" s="949"/>
      <c r="L426" s="949" t="s">
        <v>364</v>
      </c>
      <c r="M426" s="978"/>
      <c r="N426" s="979"/>
      <c r="O426" s="949"/>
      <c r="P426" s="950" t="s">
        <v>1115</v>
      </c>
      <c r="Q426" s="72"/>
      <c r="R426" s="73"/>
      <c r="T426" s="940"/>
    </row>
    <row r="427" spans="2:20" hidden="1" outlineLevel="1">
      <c r="B427" s="72"/>
      <c r="C427" s="947" t="s">
        <v>1108</v>
      </c>
      <c r="D427" s="86">
        <v>7630</v>
      </c>
      <c r="E427" s="87" t="s">
        <v>745</v>
      </c>
      <c r="F427" s="948"/>
      <c r="G427" s="948"/>
      <c r="H427" s="948"/>
      <c r="I427" s="86"/>
      <c r="J427" s="949"/>
      <c r="K427" s="949"/>
      <c r="L427" s="949" t="s">
        <v>364</v>
      </c>
      <c r="M427" s="978"/>
      <c r="N427" s="979"/>
      <c r="O427" s="949"/>
      <c r="P427" s="950" t="s">
        <v>1115</v>
      </c>
      <c r="Q427" s="72"/>
      <c r="R427" s="73"/>
      <c r="T427" s="940"/>
    </row>
    <row r="428" spans="2:20" hidden="1" outlineLevel="1">
      <c r="B428" s="72"/>
      <c r="C428" s="947" t="s">
        <v>1108</v>
      </c>
      <c r="D428" s="86">
        <v>7631</v>
      </c>
      <c r="E428" s="87" t="s">
        <v>746</v>
      </c>
      <c r="F428" s="948"/>
      <c r="G428" s="948"/>
      <c r="H428" s="948"/>
      <c r="I428" s="86"/>
      <c r="J428" s="949"/>
      <c r="K428" s="949"/>
      <c r="L428" s="949" t="s">
        <v>364</v>
      </c>
      <c r="M428" s="978"/>
      <c r="N428" s="979"/>
      <c r="O428" s="949"/>
      <c r="P428" s="950" t="s">
        <v>1115</v>
      </c>
      <c r="Q428" s="72"/>
      <c r="R428" s="73"/>
      <c r="T428" s="940"/>
    </row>
    <row r="429" spans="2:20" hidden="1" outlineLevel="1">
      <c r="B429" s="72"/>
      <c r="C429" s="947" t="s">
        <v>1108</v>
      </c>
      <c r="D429" s="86">
        <v>7632</v>
      </c>
      <c r="E429" s="87" t="s">
        <v>747</v>
      </c>
      <c r="F429" s="948"/>
      <c r="G429" s="948"/>
      <c r="H429" s="948"/>
      <c r="I429" s="86"/>
      <c r="J429" s="949"/>
      <c r="K429" s="949"/>
      <c r="L429" s="949" t="s">
        <v>364</v>
      </c>
      <c r="M429" s="978"/>
      <c r="N429" s="979"/>
      <c r="O429" s="949"/>
      <c r="P429" s="950" t="s">
        <v>1115</v>
      </c>
      <c r="Q429" s="72"/>
      <c r="R429" s="73"/>
      <c r="T429" s="940"/>
    </row>
    <row r="430" spans="2:20" collapsed="1">
      <c r="D430" s="72">
        <v>7700</v>
      </c>
      <c r="E430" s="73" t="s">
        <v>475</v>
      </c>
      <c r="F430" s="935" t="s">
        <v>1090</v>
      </c>
      <c r="G430" s="935" t="s">
        <v>1072</v>
      </c>
      <c r="H430" s="935" t="s">
        <v>1091</v>
      </c>
      <c r="I430" s="72">
        <v>3910</v>
      </c>
      <c r="L430" s="96" t="s">
        <v>392</v>
      </c>
      <c r="M430" s="934" t="s">
        <v>1073</v>
      </c>
      <c r="N430" s="937"/>
      <c r="P430" s="938"/>
      <c r="Q430" s="72"/>
      <c r="R430" s="73"/>
      <c r="T430" s="940"/>
    </row>
    <row r="431" spans="2:20">
      <c r="D431" s="72">
        <v>7710</v>
      </c>
      <c r="E431" s="73" t="s">
        <v>393</v>
      </c>
      <c r="F431" s="935" t="s">
        <v>1090</v>
      </c>
      <c r="G431" s="935" t="s">
        <v>1072</v>
      </c>
      <c r="H431" s="935" t="s">
        <v>1091</v>
      </c>
      <c r="I431" s="72">
        <v>3910</v>
      </c>
      <c r="L431" s="96" t="s">
        <v>392</v>
      </c>
      <c r="M431" s="934" t="s">
        <v>1073</v>
      </c>
      <c r="N431" s="937"/>
      <c r="P431" s="938"/>
      <c r="Q431" s="72"/>
      <c r="R431" s="73"/>
      <c r="T431" s="940"/>
    </row>
    <row r="432" spans="2:20">
      <c r="D432" s="72">
        <v>7715</v>
      </c>
      <c r="E432" s="73" t="s">
        <v>748</v>
      </c>
      <c r="F432" s="935"/>
      <c r="G432" s="935"/>
      <c r="H432" s="935"/>
      <c r="I432" s="72"/>
      <c r="L432" s="96" t="s">
        <v>392</v>
      </c>
      <c r="M432" s="934"/>
      <c r="N432" s="937"/>
      <c r="P432" s="938"/>
      <c r="Q432" s="72"/>
      <c r="R432" s="73"/>
      <c r="T432" s="940"/>
    </row>
    <row r="433" spans="3:20">
      <c r="D433" s="72">
        <v>7720</v>
      </c>
      <c r="E433" s="73" t="s">
        <v>394</v>
      </c>
      <c r="F433" s="981" t="s">
        <v>1090</v>
      </c>
      <c r="G433" s="981" t="s">
        <v>1072</v>
      </c>
      <c r="H433" s="981" t="s">
        <v>1091</v>
      </c>
      <c r="I433" s="982">
        <v>3910</v>
      </c>
      <c r="J433" s="983"/>
      <c r="K433" s="983"/>
      <c r="L433" s="96" t="s">
        <v>364</v>
      </c>
      <c r="M433" s="984" t="s">
        <v>1073</v>
      </c>
      <c r="N433" s="985"/>
      <c r="O433" s="983"/>
      <c r="P433" s="938" t="s">
        <v>1116</v>
      </c>
      <c r="Q433" s="72"/>
      <c r="R433" s="73"/>
      <c r="T433" s="940"/>
    </row>
    <row r="434" spans="3:20">
      <c r="D434" s="72">
        <v>7730</v>
      </c>
      <c r="E434" s="73" t="s">
        <v>749</v>
      </c>
      <c r="F434" s="935" t="s">
        <v>1090</v>
      </c>
      <c r="G434" s="935" t="s">
        <v>1072</v>
      </c>
      <c r="H434" s="935" t="s">
        <v>1091</v>
      </c>
      <c r="I434" s="72">
        <v>3910</v>
      </c>
      <c r="L434" s="96" t="s">
        <v>392</v>
      </c>
      <c r="M434" s="934" t="s">
        <v>1073</v>
      </c>
      <c r="N434" s="937"/>
      <c r="P434" s="938"/>
      <c r="Q434" s="72"/>
      <c r="R434" s="73"/>
      <c r="T434" s="940"/>
    </row>
    <row r="435" spans="3:20">
      <c r="D435" s="72">
        <v>7740</v>
      </c>
      <c r="E435" s="73" t="s">
        <v>477</v>
      </c>
      <c r="F435" s="935" t="s">
        <v>1090</v>
      </c>
      <c r="G435" s="935" t="s">
        <v>1072</v>
      </c>
      <c r="H435" s="935" t="s">
        <v>1091</v>
      </c>
      <c r="I435" s="72">
        <v>3910</v>
      </c>
      <c r="L435" s="96" t="s">
        <v>392</v>
      </c>
      <c r="M435" s="934" t="s">
        <v>1073</v>
      </c>
      <c r="N435" s="937"/>
      <c r="P435" s="938"/>
      <c r="Q435" s="72"/>
      <c r="R435" s="73"/>
      <c r="T435" s="940"/>
    </row>
    <row r="436" spans="3:20">
      <c r="D436" s="72">
        <v>7750</v>
      </c>
      <c r="E436" s="73" t="s">
        <v>476</v>
      </c>
      <c r="F436" s="935" t="s">
        <v>1090</v>
      </c>
      <c r="G436" s="935" t="s">
        <v>1072</v>
      </c>
      <c r="H436" s="935" t="s">
        <v>1091</v>
      </c>
      <c r="I436" s="72">
        <v>3910</v>
      </c>
      <c r="L436" s="96" t="s">
        <v>392</v>
      </c>
      <c r="M436" s="934" t="s">
        <v>1073</v>
      </c>
      <c r="N436" s="937"/>
      <c r="P436" s="938"/>
      <c r="Q436" s="72"/>
      <c r="R436" s="73"/>
      <c r="T436" s="940"/>
    </row>
    <row r="437" spans="3:20">
      <c r="D437" s="72">
        <v>7760</v>
      </c>
      <c r="E437" s="73" t="s">
        <v>750</v>
      </c>
      <c r="F437" s="935" t="s">
        <v>1090</v>
      </c>
      <c r="G437" s="935" t="s">
        <v>1072</v>
      </c>
      <c r="H437" s="935" t="s">
        <v>1091</v>
      </c>
      <c r="I437" s="72">
        <v>3910</v>
      </c>
      <c r="L437" s="96" t="s">
        <v>392</v>
      </c>
      <c r="M437" s="934" t="s">
        <v>1073</v>
      </c>
      <c r="N437" s="937"/>
      <c r="P437" s="938"/>
      <c r="Q437" s="72"/>
      <c r="R437" s="73"/>
      <c r="T437" s="940"/>
    </row>
    <row r="438" spans="3:20">
      <c r="D438" s="72">
        <v>7765</v>
      </c>
      <c r="E438" s="73" t="s">
        <v>751</v>
      </c>
      <c r="F438" s="935"/>
      <c r="G438" s="935"/>
      <c r="H438" s="935"/>
      <c r="I438" s="72"/>
      <c r="L438" s="96" t="s">
        <v>392</v>
      </c>
      <c r="M438" s="934"/>
      <c r="N438" s="937"/>
      <c r="P438" s="938"/>
      <c r="Q438" s="72"/>
      <c r="R438" s="73"/>
      <c r="T438" s="940"/>
    </row>
    <row r="439" spans="3:20">
      <c r="D439" s="72">
        <v>7770</v>
      </c>
      <c r="E439" s="73" t="s">
        <v>752</v>
      </c>
      <c r="F439" s="935" t="s">
        <v>1090</v>
      </c>
      <c r="G439" s="935" t="s">
        <v>1072</v>
      </c>
      <c r="H439" s="935" t="s">
        <v>1091</v>
      </c>
      <c r="I439" s="72">
        <v>3910</v>
      </c>
      <c r="L439" s="96" t="s">
        <v>392</v>
      </c>
      <c r="M439" s="934" t="s">
        <v>1073</v>
      </c>
      <c r="N439" s="937"/>
      <c r="P439" s="938"/>
      <c r="Q439" s="72"/>
      <c r="R439" s="73"/>
      <c r="T439" s="940"/>
    </row>
    <row r="440" spans="3:20" s="986" customFormat="1">
      <c r="C440" s="934"/>
      <c r="D440" s="72">
        <v>7780</v>
      </c>
      <c r="E440" s="73" t="s">
        <v>753</v>
      </c>
      <c r="F440" s="935" t="s">
        <v>1090</v>
      </c>
      <c r="G440" s="935" t="s">
        <v>1072</v>
      </c>
      <c r="H440" s="935" t="s">
        <v>1091</v>
      </c>
      <c r="I440" s="72">
        <v>3910</v>
      </c>
      <c r="L440" s="96" t="s">
        <v>392</v>
      </c>
      <c r="M440" s="934" t="s">
        <v>1073</v>
      </c>
      <c r="N440" s="987"/>
      <c r="P440" s="938"/>
      <c r="Q440" s="72"/>
      <c r="R440" s="73"/>
      <c r="T440" s="988"/>
    </row>
    <row r="441" spans="3:20">
      <c r="D441" s="72">
        <v>7790</v>
      </c>
      <c r="E441" s="73" t="s">
        <v>754</v>
      </c>
      <c r="F441" s="935" t="s">
        <v>1090</v>
      </c>
      <c r="G441" s="935" t="s">
        <v>1072</v>
      </c>
      <c r="H441" s="935" t="s">
        <v>1091</v>
      </c>
      <c r="I441" s="72">
        <v>3910</v>
      </c>
      <c r="L441" s="96" t="s">
        <v>392</v>
      </c>
      <c r="M441" s="934" t="s">
        <v>1073</v>
      </c>
      <c r="N441" s="937"/>
      <c r="P441" s="938"/>
      <c r="Q441" s="72"/>
      <c r="R441" s="73"/>
      <c r="T441" s="940"/>
    </row>
    <row r="442" spans="3:20">
      <c r="D442" s="72">
        <v>7800</v>
      </c>
      <c r="E442" s="73" t="s">
        <v>137</v>
      </c>
      <c r="F442" s="935" t="s">
        <v>1090</v>
      </c>
      <c r="G442" s="935" t="s">
        <v>1072</v>
      </c>
      <c r="H442" s="935" t="s">
        <v>1091</v>
      </c>
      <c r="I442" s="72">
        <v>3910</v>
      </c>
      <c r="L442" s="96" t="s">
        <v>392</v>
      </c>
      <c r="M442" s="934" t="s">
        <v>1073</v>
      </c>
      <c r="N442" s="937"/>
      <c r="P442" s="938"/>
      <c r="Q442" s="72"/>
      <c r="R442" s="73"/>
      <c r="T442" s="940"/>
    </row>
    <row r="443" spans="3:20">
      <c r="D443" s="72">
        <v>7810</v>
      </c>
      <c r="E443" s="73" t="s">
        <v>755</v>
      </c>
      <c r="F443" s="935" t="s">
        <v>1090</v>
      </c>
      <c r="G443" s="935" t="s">
        <v>1072</v>
      </c>
      <c r="H443" s="935" t="s">
        <v>1091</v>
      </c>
      <c r="I443" s="72">
        <v>3910</v>
      </c>
      <c r="L443" s="96" t="s">
        <v>392</v>
      </c>
      <c r="M443" s="934" t="s">
        <v>1073</v>
      </c>
      <c r="N443" s="937"/>
      <c r="P443" s="938"/>
      <c r="Q443" s="72"/>
      <c r="R443" s="73"/>
      <c r="T443" s="940"/>
    </row>
    <row r="444" spans="3:20">
      <c r="D444" s="72">
        <v>7820</v>
      </c>
      <c r="E444" s="73" t="s">
        <v>756</v>
      </c>
      <c r="F444" s="935"/>
      <c r="G444" s="935"/>
      <c r="H444" s="935"/>
      <c r="I444" s="72"/>
      <c r="L444" s="96" t="s">
        <v>392</v>
      </c>
      <c r="M444" s="934"/>
      <c r="N444" s="937"/>
      <c r="P444" s="938"/>
      <c r="Q444" s="72"/>
      <c r="R444" s="73"/>
      <c r="T444" s="940"/>
    </row>
    <row r="445" spans="3:20">
      <c r="C445" s="941" t="s">
        <v>1096</v>
      </c>
      <c r="D445" s="80">
        <v>7899</v>
      </c>
      <c r="E445" s="81" t="s">
        <v>757</v>
      </c>
      <c r="F445" s="942"/>
      <c r="G445" s="942"/>
      <c r="H445" s="942"/>
      <c r="I445" s="80"/>
      <c r="J445" s="944"/>
      <c r="K445" s="944"/>
      <c r="L445" s="944" t="s">
        <v>392</v>
      </c>
      <c r="M445" s="934"/>
      <c r="N445" s="937"/>
      <c r="P445" s="938"/>
      <c r="Q445" s="72"/>
      <c r="R445" s="73"/>
      <c r="T445" s="940"/>
    </row>
    <row r="446" spans="3:20">
      <c r="D446" s="72">
        <v>7900</v>
      </c>
      <c r="E446" s="73" t="s">
        <v>7</v>
      </c>
      <c r="F446" s="935" t="s">
        <v>1090</v>
      </c>
      <c r="G446" s="935" t="s">
        <v>1072</v>
      </c>
      <c r="H446" s="935" t="s">
        <v>1091</v>
      </c>
      <c r="I446" s="72">
        <v>3910</v>
      </c>
      <c r="L446" s="96" t="s">
        <v>395</v>
      </c>
      <c r="M446" s="934" t="s">
        <v>1073</v>
      </c>
      <c r="N446" s="937"/>
      <c r="P446" s="938"/>
      <c r="Q446" s="72"/>
      <c r="R446" s="73"/>
      <c r="T446" s="940"/>
    </row>
    <row r="447" spans="3:20">
      <c r="D447" s="72">
        <v>7901</v>
      </c>
      <c r="E447" s="73" t="s">
        <v>1117</v>
      </c>
      <c r="F447" s="935" t="s">
        <v>1090</v>
      </c>
      <c r="G447" s="935" t="s">
        <v>1072</v>
      </c>
      <c r="H447" s="935" t="s">
        <v>1091</v>
      </c>
      <c r="I447" s="72">
        <v>3910</v>
      </c>
      <c r="L447" s="96" t="s">
        <v>395</v>
      </c>
      <c r="M447" s="934"/>
      <c r="N447" s="937"/>
      <c r="P447" s="938"/>
      <c r="Q447" s="72"/>
      <c r="R447" s="73"/>
      <c r="T447" s="940"/>
    </row>
    <row r="448" spans="3:20">
      <c r="D448" s="72">
        <v>7910</v>
      </c>
      <c r="E448" s="73" t="s">
        <v>396</v>
      </c>
      <c r="F448" s="935" t="s">
        <v>1090</v>
      </c>
      <c r="G448" s="935" t="s">
        <v>1072</v>
      </c>
      <c r="H448" s="935" t="s">
        <v>1091</v>
      </c>
      <c r="I448" s="72">
        <v>3910</v>
      </c>
      <c r="L448" s="96" t="s">
        <v>395</v>
      </c>
      <c r="M448" s="934" t="s">
        <v>1073</v>
      </c>
      <c r="N448" s="937"/>
      <c r="P448" s="938"/>
      <c r="Q448" s="72"/>
      <c r="R448" s="73"/>
      <c r="T448" s="940"/>
    </row>
    <row r="449" spans="3:20">
      <c r="D449" s="72">
        <v>8010</v>
      </c>
      <c r="E449" s="73" t="s">
        <v>397</v>
      </c>
      <c r="F449" s="935" t="s">
        <v>1090</v>
      </c>
      <c r="G449" s="935" t="s">
        <v>1072</v>
      </c>
      <c r="H449" s="935" t="s">
        <v>1091</v>
      </c>
      <c r="I449" s="72">
        <v>3910</v>
      </c>
      <c r="L449" s="96" t="s">
        <v>398</v>
      </c>
      <c r="M449" s="934" t="s">
        <v>1073</v>
      </c>
      <c r="N449" s="937"/>
      <c r="P449" s="938"/>
      <c r="Q449" s="72"/>
      <c r="R449" s="73"/>
      <c r="T449" s="940"/>
    </row>
    <row r="450" spans="3:20">
      <c r="D450" s="72">
        <v>8015</v>
      </c>
      <c r="E450" s="73" t="s">
        <v>399</v>
      </c>
      <c r="F450" s="935" t="s">
        <v>1090</v>
      </c>
      <c r="G450" s="935" t="s">
        <v>1072</v>
      </c>
      <c r="H450" s="935" t="s">
        <v>1091</v>
      </c>
      <c r="I450" s="72">
        <v>3910</v>
      </c>
      <c r="L450" s="96" t="s">
        <v>398</v>
      </c>
      <c r="M450" s="934" t="s">
        <v>1073</v>
      </c>
      <c r="N450" s="937"/>
      <c r="P450" s="938"/>
      <c r="Q450" s="72"/>
      <c r="R450" s="73"/>
      <c r="T450" s="940"/>
    </row>
    <row r="451" spans="3:20">
      <c r="D451" s="72">
        <v>8020</v>
      </c>
      <c r="E451" s="73" t="s">
        <v>758</v>
      </c>
      <c r="F451" s="935" t="s">
        <v>1090</v>
      </c>
      <c r="G451" s="935" t="s">
        <v>1072</v>
      </c>
      <c r="H451" s="935" t="s">
        <v>1091</v>
      </c>
      <c r="I451" s="72">
        <v>3910</v>
      </c>
      <c r="L451" s="96" t="s">
        <v>398</v>
      </c>
      <c r="M451" s="934" t="s">
        <v>1073</v>
      </c>
      <c r="N451" s="937"/>
      <c r="P451" s="938"/>
      <c r="Q451" s="72"/>
      <c r="R451" s="73"/>
      <c r="T451" s="940"/>
    </row>
    <row r="452" spans="3:20">
      <c r="D452" s="72">
        <v>8025</v>
      </c>
      <c r="E452" s="73" t="s">
        <v>400</v>
      </c>
      <c r="F452" s="935" t="s">
        <v>1090</v>
      </c>
      <c r="G452" s="935" t="s">
        <v>1072</v>
      </c>
      <c r="H452" s="935" t="s">
        <v>1091</v>
      </c>
      <c r="I452" s="72">
        <v>3910</v>
      </c>
      <c r="L452" s="96" t="s">
        <v>398</v>
      </c>
      <c r="M452" s="934" t="s">
        <v>1073</v>
      </c>
      <c r="N452" s="937"/>
      <c r="P452" s="938"/>
      <c r="Q452" s="72"/>
      <c r="R452" s="73"/>
      <c r="T452" s="940"/>
    </row>
    <row r="453" spans="3:20">
      <c r="D453" s="72">
        <v>8080</v>
      </c>
      <c r="E453" s="73" t="s">
        <v>402</v>
      </c>
      <c r="F453" s="935" t="s">
        <v>1090</v>
      </c>
      <c r="G453" s="935" t="s">
        <v>1072</v>
      </c>
      <c r="H453" s="935" t="s">
        <v>1091</v>
      </c>
      <c r="I453" s="72">
        <v>3910</v>
      </c>
      <c r="L453" s="96" t="s">
        <v>401</v>
      </c>
      <c r="M453" s="934" t="s">
        <v>1073</v>
      </c>
      <c r="N453" s="937"/>
      <c r="P453" s="938"/>
      <c r="Q453" s="72"/>
      <c r="R453" s="73"/>
      <c r="T453" s="940"/>
    </row>
    <row r="454" spans="3:20">
      <c r="D454" s="72">
        <v>8080.1</v>
      </c>
      <c r="E454" s="73" t="s">
        <v>493</v>
      </c>
      <c r="F454" s="935"/>
      <c r="G454" s="935"/>
      <c r="H454" s="935"/>
      <c r="I454" s="72"/>
      <c r="L454" s="96" t="s">
        <v>401</v>
      </c>
      <c r="M454" s="934"/>
      <c r="N454" s="937"/>
      <c r="P454" s="938"/>
      <c r="Q454" s="72"/>
      <c r="R454" s="73"/>
      <c r="T454" s="940"/>
    </row>
    <row r="455" spans="3:20">
      <c r="D455" s="72">
        <v>8081</v>
      </c>
      <c r="E455" s="73" t="s">
        <v>403</v>
      </c>
      <c r="F455" s="935"/>
      <c r="G455" s="935"/>
      <c r="H455" s="935"/>
      <c r="I455" s="72"/>
      <c r="L455" s="96" t="s">
        <v>401</v>
      </c>
      <c r="M455" s="934"/>
      <c r="N455" s="937"/>
      <c r="P455" s="938"/>
      <c r="Q455" s="72"/>
      <c r="R455" s="73"/>
      <c r="T455" s="940"/>
    </row>
    <row r="456" spans="3:20">
      <c r="C456" s="934" t="s">
        <v>1112</v>
      </c>
      <c r="D456" s="72">
        <v>8082</v>
      </c>
      <c r="E456" s="73" t="s">
        <v>759</v>
      </c>
      <c r="F456" s="935"/>
      <c r="G456" s="935"/>
      <c r="H456" s="935"/>
      <c r="I456" s="72"/>
      <c r="L456" s="96" t="s">
        <v>401</v>
      </c>
      <c r="M456" s="934"/>
      <c r="N456" s="937"/>
      <c r="P456" s="938"/>
      <c r="Q456" s="72"/>
      <c r="R456" s="73"/>
      <c r="T456" s="940"/>
    </row>
    <row r="457" spans="3:20">
      <c r="C457" s="941" t="s">
        <v>1081</v>
      </c>
      <c r="D457" s="80">
        <v>8083</v>
      </c>
      <c r="E457" s="81" t="s">
        <v>760</v>
      </c>
      <c r="F457" s="942"/>
      <c r="G457" s="942"/>
      <c r="H457" s="942"/>
      <c r="I457" s="80"/>
      <c r="J457" s="944"/>
      <c r="K457" s="944"/>
      <c r="L457" s="944" t="s">
        <v>401</v>
      </c>
      <c r="M457" s="934"/>
      <c r="N457" s="937"/>
      <c r="P457" s="938"/>
      <c r="Q457" s="72"/>
      <c r="R457" s="73"/>
      <c r="T457" s="940"/>
    </row>
    <row r="458" spans="3:20">
      <c r="C458" s="941" t="s">
        <v>1081</v>
      </c>
      <c r="D458" s="80">
        <v>8084</v>
      </c>
      <c r="E458" s="81" t="s">
        <v>761</v>
      </c>
      <c r="F458" s="942"/>
      <c r="G458" s="942"/>
      <c r="H458" s="942"/>
      <c r="I458" s="80"/>
      <c r="J458" s="944"/>
      <c r="K458" s="944"/>
      <c r="L458" s="944" t="s">
        <v>401</v>
      </c>
      <c r="M458" s="934"/>
      <c r="N458" s="937"/>
      <c r="P458" s="938"/>
      <c r="Q458" s="72"/>
      <c r="R458" s="73"/>
      <c r="T458" s="940"/>
    </row>
    <row r="459" spans="3:20">
      <c r="C459" s="941" t="s">
        <v>1083</v>
      </c>
      <c r="D459" s="80">
        <v>8085</v>
      </c>
      <c r="E459" s="81" t="s">
        <v>404</v>
      </c>
      <c r="F459" s="942" t="s">
        <v>1090</v>
      </c>
      <c r="G459" s="942" t="s">
        <v>1072</v>
      </c>
      <c r="H459" s="942" t="s">
        <v>1091</v>
      </c>
      <c r="I459" s="80">
        <v>3910</v>
      </c>
      <c r="J459" s="944"/>
      <c r="K459" s="944"/>
      <c r="L459" s="944" t="s">
        <v>401</v>
      </c>
      <c r="M459" s="934" t="s">
        <v>1073</v>
      </c>
      <c r="N459" s="937"/>
      <c r="P459" s="938"/>
      <c r="Q459" s="72"/>
      <c r="R459" s="73"/>
      <c r="T459" s="940"/>
    </row>
    <row r="460" spans="3:20">
      <c r="D460" s="72">
        <v>8090</v>
      </c>
      <c r="E460" s="73" t="s">
        <v>762</v>
      </c>
      <c r="F460" s="935"/>
      <c r="G460" s="935"/>
      <c r="H460" s="935"/>
      <c r="I460" s="72"/>
      <c r="L460" s="96" t="s">
        <v>401</v>
      </c>
      <c r="M460" s="934"/>
      <c r="N460" s="937"/>
      <c r="P460" s="938"/>
      <c r="Q460" s="72"/>
      <c r="R460" s="73"/>
      <c r="T460" s="940"/>
    </row>
    <row r="461" spans="3:20">
      <c r="D461" s="72">
        <v>8090.1</v>
      </c>
      <c r="E461" s="73" t="s">
        <v>496</v>
      </c>
      <c r="F461" s="935"/>
      <c r="G461" s="935"/>
      <c r="H461" s="935"/>
      <c r="I461" s="72"/>
      <c r="L461" s="96" t="s">
        <v>401</v>
      </c>
      <c r="M461" s="934"/>
      <c r="N461" s="937"/>
      <c r="P461" s="938"/>
      <c r="Q461" s="72"/>
      <c r="R461" s="73"/>
      <c r="T461" s="940"/>
    </row>
    <row r="462" spans="3:20">
      <c r="D462" s="72">
        <v>8091</v>
      </c>
      <c r="E462" s="73" t="s">
        <v>763</v>
      </c>
      <c r="F462" s="935"/>
      <c r="G462" s="935"/>
      <c r="H462" s="935"/>
      <c r="I462" s="72"/>
      <c r="L462" s="96" t="s">
        <v>401</v>
      </c>
      <c r="M462" s="934"/>
      <c r="N462" s="937"/>
      <c r="P462" s="938"/>
      <c r="Q462" s="72"/>
      <c r="R462" s="73"/>
      <c r="T462" s="940"/>
    </row>
    <row r="463" spans="3:20">
      <c r="D463" s="72">
        <v>8095</v>
      </c>
      <c r="E463" s="73" t="s">
        <v>764</v>
      </c>
      <c r="F463" s="935"/>
      <c r="G463" s="935"/>
      <c r="H463" s="935"/>
      <c r="I463" s="72"/>
      <c r="L463" s="96" t="s">
        <v>401</v>
      </c>
      <c r="M463" s="934"/>
      <c r="N463" s="937"/>
      <c r="P463" s="938"/>
      <c r="Q463" s="72"/>
      <c r="R463" s="73"/>
      <c r="T463" s="940"/>
    </row>
    <row r="464" spans="3:20">
      <c r="D464" s="72">
        <v>8100</v>
      </c>
      <c r="E464" s="73" t="s">
        <v>21</v>
      </c>
      <c r="F464" s="935" t="s">
        <v>1090</v>
      </c>
      <c r="G464" s="935" t="s">
        <v>1072</v>
      </c>
      <c r="H464" s="935" t="s">
        <v>1091</v>
      </c>
      <c r="I464" s="72">
        <v>3910</v>
      </c>
      <c r="L464" s="96" t="s">
        <v>398</v>
      </c>
      <c r="M464" s="934" t="s">
        <v>1073</v>
      </c>
      <c r="N464" s="937"/>
      <c r="P464" s="938"/>
      <c r="Q464" s="72"/>
      <c r="R464" s="73"/>
      <c r="T464" s="940"/>
    </row>
    <row r="465" spans="3:20">
      <c r="D465" s="72">
        <v>8111</v>
      </c>
      <c r="E465" s="73" t="s">
        <v>405</v>
      </c>
      <c r="F465" s="935"/>
      <c r="G465" s="935"/>
      <c r="H465" s="935"/>
      <c r="I465" s="72"/>
      <c r="L465" s="96" t="s">
        <v>364</v>
      </c>
      <c r="M465" s="934"/>
      <c r="N465" s="937"/>
      <c r="P465" s="938" t="s">
        <v>1116</v>
      </c>
      <c r="Q465" s="72"/>
      <c r="R465" s="73"/>
      <c r="T465" s="940"/>
    </row>
    <row r="466" spans="3:20">
      <c r="D466" s="72">
        <v>8145</v>
      </c>
      <c r="E466" s="73" t="s">
        <v>406</v>
      </c>
      <c r="F466" s="935"/>
      <c r="G466" s="935"/>
      <c r="H466" s="935"/>
      <c r="I466" s="72"/>
      <c r="L466" s="96" t="s">
        <v>398</v>
      </c>
      <c r="M466" s="934"/>
      <c r="N466" s="937"/>
      <c r="P466" s="938"/>
      <c r="Q466" s="72"/>
      <c r="R466" s="73"/>
      <c r="T466" s="940"/>
    </row>
    <row r="467" spans="3:20">
      <c r="D467" s="72">
        <v>8150</v>
      </c>
      <c r="E467" s="73" t="s">
        <v>407</v>
      </c>
      <c r="F467" s="935" t="s">
        <v>1090</v>
      </c>
      <c r="G467" s="935" t="s">
        <v>1072</v>
      </c>
      <c r="H467" s="935" t="s">
        <v>1091</v>
      </c>
      <c r="I467" s="72">
        <v>3910</v>
      </c>
      <c r="L467" s="96" t="s">
        <v>398</v>
      </c>
      <c r="M467" s="934" t="s">
        <v>1073</v>
      </c>
      <c r="N467" s="937"/>
      <c r="P467" s="938"/>
      <c r="Q467" s="72"/>
      <c r="R467" s="73"/>
      <c r="T467" s="940"/>
    </row>
    <row r="468" spans="3:20">
      <c r="D468" s="72">
        <v>8155</v>
      </c>
      <c r="E468" s="73" t="s">
        <v>408</v>
      </c>
      <c r="F468" s="935"/>
      <c r="G468" s="935"/>
      <c r="H468" s="935"/>
      <c r="I468" s="72"/>
      <c r="L468" s="96" t="s">
        <v>398</v>
      </c>
      <c r="M468" s="934"/>
      <c r="N468" s="937"/>
      <c r="P468" s="938"/>
      <c r="Q468" s="72"/>
      <c r="R468" s="73"/>
      <c r="T468" s="940"/>
    </row>
    <row r="469" spans="3:20">
      <c r="C469" s="941" t="s">
        <v>1096</v>
      </c>
      <c r="D469" s="80">
        <v>8160</v>
      </c>
      <c r="E469" s="81" t="s">
        <v>765</v>
      </c>
      <c r="F469" s="942"/>
      <c r="G469" s="942"/>
      <c r="H469" s="942"/>
      <c r="I469" s="80"/>
      <c r="J469" s="944"/>
      <c r="K469" s="944"/>
      <c r="L469" s="944" t="s">
        <v>398</v>
      </c>
      <c r="M469" s="934"/>
      <c r="N469" s="937"/>
      <c r="P469" s="938"/>
      <c r="Q469" s="72"/>
      <c r="R469" s="73"/>
      <c r="T469" s="940"/>
    </row>
    <row r="470" spans="3:20">
      <c r="D470" s="72">
        <v>8510</v>
      </c>
      <c r="E470" s="73" t="s">
        <v>409</v>
      </c>
      <c r="F470" s="935" t="s">
        <v>1090</v>
      </c>
      <c r="G470" s="935" t="s">
        <v>1072</v>
      </c>
      <c r="H470" s="935" t="s">
        <v>1091</v>
      </c>
      <c r="I470" s="72">
        <v>3910</v>
      </c>
      <c r="L470" s="96" t="s">
        <v>410</v>
      </c>
      <c r="M470" s="934" t="s">
        <v>1073</v>
      </c>
      <c r="N470" s="937"/>
      <c r="P470" s="938"/>
      <c r="Q470" s="72"/>
      <c r="R470" s="73"/>
      <c r="T470" s="940"/>
    </row>
    <row r="471" spans="3:20">
      <c r="D471" s="72">
        <v>8512</v>
      </c>
      <c r="E471" s="73" t="s">
        <v>411</v>
      </c>
      <c r="F471" s="935"/>
      <c r="G471" s="935"/>
      <c r="H471" s="935"/>
      <c r="I471" s="72"/>
      <c r="L471" s="96" t="s">
        <v>410</v>
      </c>
      <c r="M471" s="934"/>
      <c r="N471" s="937"/>
      <c r="P471" s="938"/>
      <c r="Q471" s="72"/>
      <c r="R471" s="73"/>
      <c r="T471" s="940"/>
    </row>
    <row r="472" spans="3:20">
      <c r="D472" s="72">
        <v>8513</v>
      </c>
      <c r="E472" s="73" t="s">
        <v>412</v>
      </c>
      <c r="F472" s="935"/>
      <c r="G472" s="935"/>
      <c r="H472" s="935"/>
      <c r="I472" s="72"/>
      <c r="L472" s="96" t="s">
        <v>410</v>
      </c>
      <c r="M472" s="934"/>
      <c r="N472" s="937"/>
      <c r="P472" s="938"/>
      <c r="Q472" s="72"/>
      <c r="R472" s="73"/>
      <c r="T472" s="940"/>
    </row>
    <row r="473" spans="3:20">
      <c r="D473" s="72">
        <v>8514</v>
      </c>
      <c r="E473" s="73" t="s">
        <v>413</v>
      </c>
      <c r="F473" s="935"/>
      <c r="G473" s="935"/>
      <c r="H473" s="935"/>
      <c r="I473" s="72"/>
      <c r="L473" s="96" t="s">
        <v>410</v>
      </c>
      <c r="M473" s="934"/>
      <c r="N473" s="937"/>
      <c r="P473" s="938"/>
      <c r="Q473" s="72"/>
      <c r="R473" s="73"/>
      <c r="T473" s="940"/>
    </row>
    <row r="474" spans="3:20">
      <c r="D474" s="72">
        <v>8515</v>
      </c>
      <c r="E474" s="73" t="s">
        <v>414</v>
      </c>
      <c r="F474" s="935"/>
      <c r="G474" s="935"/>
      <c r="H474" s="935"/>
      <c r="I474" s="72"/>
      <c r="L474" s="96" t="s">
        <v>410</v>
      </c>
      <c r="M474" s="934"/>
      <c r="N474" s="937"/>
      <c r="P474" s="938"/>
      <c r="Q474" s="72"/>
      <c r="R474" s="73"/>
      <c r="T474" s="940"/>
    </row>
    <row r="475" spans="3:20">
      <c r="D475" s="72">
        <v>8516</v>
      </c>
      <c r="E475" s="73" t="s">
        <v>415</v>
      </c>
      <c r="F475" s="935"/>
      <c r="G475" s="935"/>
      <c r="H475" s="935"/>
      <c r="I475" s="72"/>
      <c r="L475" s="96" t="s">
        <v>410</v>
      </c>
      <c r="M475" s="934"/>
      <c r="N475" s="937"/>
      <c r="P475" s="938"/>
      <c r="Q475" s="72"/>
      <c r="R475" s="73"/>
      <c r="T475" s="940"/>
    </row>
    <row r="476" spans="3:20">
      <c r="D476" s="72">
        <v>8520</v>
      </c>
      <c r="E476" s="73" t="s">
        <v>416</v>
      </c>
      <c r="F476" s="935"/>
      <c r="G476" s="935"/>
      <c r="H476" s="935"/>
      <c r="I476" s="72"/>
      <c r="L476" s="96" t="s">
        <v>410</v>
      </c>
      <c r="M476" s="934"/>
      <c r="N476" s="937"/>
      <c r="P476" s="938"/>
      <c r="Q476" s="72"/>
      <c r="R476" s="73"/>
      <c r="T476" s="940"/>
    </row>
    <row r="477" spans="3:20">
      <c r="D477" s="72">
        <v>8525</v>
      </c>
      <c r="E477" s="73" t="s">
        <v>417</v>
      </c>
      <c r="F477" s="935"/>
      <c r="G477" s="935"/>
      <c r="H477" s="935"/>
      <c r="I477" s="72"/>
      <c r="L477" s="96" t="s">
        <v>410</v>
      </c>
      <c r="M477" s="934"/>
      <c r="N477" s="937"/>
      <c r="P477" s="938"/>
      <c r="Q477" s="72"/>
      <c r="R477" s="73"/>
      <c r="T477" s="940"/>
    </row>
    <row r="478" spans="3:20">
      <c r="D478" s="72">
        <v>9001</v>
      </c>
      <c r="E478" s="73" t="s">
        <v>418</v>
      </c>
      <c r="F478" s="935" t="s">
        <v>1090</v>
      </c>
      <c r="G478" s="935" t="s">
        <v>1072</v>
      </c>
      <c r="H478" s="935" t="s">
        <v>1091</v>
      </c>
      <c r="I478" s="72">
        <v>3910</v>
      </c>
      <c r="L478" s="96" t="s">
        <v>401</v>
      </c>
      <c r="M478" s="934" t="s">
        <v>1073</v>
      </c>
      <c r="N478" s="937"/>
      <c r="P478" s="938"/>
      <c r="Q478" s="72"/>
      <c r="R478" s="73"/>
      <c r="T478" s="940"/>
    </row>
    <row r="479" spans="3:20">
      <c r="D479" s="72">
        <v>9002</v>
      </c>
      <c r="E479" s="73" t="s">
        <v>419</v>
      </c>
      <c r="F479" s="935" t="s">
        <v>1090</v>
      </c>
      <c r="G479" s="935" t="s">
        <v>1072</v>
      </c>
      <c r="H479" s="935" t="s">
        <v>1091</v>
      </c>
      <c r="I479" s="72">
        <v>3910</v>
      </c>
      <c r="L479" s="96" t="s">
        <v>401</v>
      </c>
      <c r="M479" s="934" t="s">
        <v>1073</v>
      </c>
      <c r="N479" s="937"/>
      <c r="P479" s="938"/>
      <c r="Q479" s="72"/>
      <c r="R479" s="73"/>
      <c r="T479" s="940"/>
    </row>
    <row r="480" spans="3:20">
      <c r="D480" s="72">
        <v>9003</v>
      </c>
      <c r="E480" s="73" t="s">
        <v>420</v>
      </c>
      <c r="F480" s="935" t="s">
        <v>1090</v>
      </c>
      <c r="G480" s="935" t="s">
        <v>1072</v>
      </c>
      <c r="H480" s="935" t="s">
        <v>1091</v>
      </c>
      <c r="I480" s="72">
        <v>3910</v>
      </c>
      <c r="L480" s="96" t="s">
        <v>401</v>
      </c>
      <c r="M480" s="934" t="s">
        <v>1073</v>
      </c>
      <c r="N480" s="937"/>
      <c r="P480" s="938"/>
      <c r="Q480" s="72"/>
      <c r="R480" s="73"/>
      <c r="T480" s="940"/>
    </row>
    <row r="481" spans="3:20">
      <c r="D481" s="72">
        <v>9004</v>
      </c>
      <c r="E481" s="73" t="s">
        <v>421</v>
      </c>
      <c r="F481" s="935" t="s">
        <v>1090</v>
      </c>
      <c r="G481" s="935" t="s">
        <v>1072</v>
      </c>
      <c r="H481" s="935" t="s">
        <v>1091</v>
      </c>
      <c r="I481" s="72">
        <v>3910</v>
      </c>
      <c r="L481" s="96" t="s">
        <v>401</v>
      </c>
      <c r="M481" s="934" t="s">
        <v>1073</v>
      </c>
      <c r="N481" s="937"/>
      <c r="P481" s="938"/>
      <c r="Q481" s="72"/>
      <c r="R481" s="73"/>
      <c r="T481" s="940"/>
    </row>
    <row r="482" spans="3:20">
      <c r="D482" s="72">
        <v>9005</v>
      </c>
      <c r="E482" s="73" t="s">
        <v>422</v>
      </c>
      <c r="F482" s="935" t="s">
        <v>1090</v>
      </c>
      <c r="G482" s="935" t="s">
        <v>1072</v>
      </c>
      <c r="H482" s="935" t="s">
        <v>1091</v>
      </c>
      <c r="I482" s="72">
        <v>3910</v>
      </c>
      <c r="L482" s="96" t="s">
        <v>401</v>
      </c>
      <c r="M482" s="934" t="s">
        <v>1073</v>
      </c>
      <c r="N482" s="937"/>
      <c r="P482" s="938"/>
      <c r="Q482" s="72"/>
      <c r="R482" s="73"/>
      <c r="T482" s="940"/>
    </row>
    <row r="483" spans="3:20">
      <c r="D483" s="72">
        <v>9020</v>
      </c>
      <c r="E483" s="73" t="s">
        <v>423</v>
      </c>
      <c r="F483" s="935" t="s">
        <v>1090</v>
      </c>
      <c r="G483" s="935" t="s">
        <v>1072</v>
      </c>
      <c r="H483" s="935" t="s">
        <v>1091</v>
      </c>
      <c r="I483" s="72">
        <v>3910</v>
      </c>
      <c r="L483" s="96" t="s">
        <v>401</v>
      </c>
      <c r="M483" s="934" t="s">
        <v>1073</v>
      </c>
      <c r="N483" s="937"/>
      <c r="P483" s="938"/>
      <c r="Q483" s="72"/>
      <c r="R483" s="73"/>
      <c r="T483" s="940"/>
    </row>
    <row r="484" spans="3:20">
      <c r="D484" s="72">
        <v>9030</v>
      </c>
      <c r="E484" s="73" t="s">
        <v>424</v>
      </c>
      <c r="F484" s="935" t="s">
        <v>1090</v>
      </c>
      <c r="G484" s="935" t="s">
        <v>1072</v>
      </c>
      <c r="H484" s="935" t="s">
        <v>1091</v>
      </c>
      <c r="I484" s="72">
        <v>3910</v>
      </c>
      <c r="L484" s="96" t="s">
        <v>425</v>
      </c>
      <c r="M484" s="934" t="s">
        <v>1073</v>
      </c>
      <c r="N484" s="937"/>
      <c r="P484" s="938"/>
      <c r="Q484" s="72"/>
      <c r="R484" s="73"/>
      <c r="T484" s="940"/>
    </row>
    <row r="485" spans="3:20">
      <c r="D485" s="72">
        <v>9031</v>
      </c>
      <c r="E485" s="73" t="s">
        <v>426</v>
      </c>
      <c r="F485" s="935"/>
      <c r="G485" s="935"/>
      <c r="H485" s="935"/>
      <c r="I485" s="72"/>
      <c r="L485" s="96" t="s">
        <v>425</v>
      </c>
      <c r="M485" s="934"/>
      <c r="N485" s="937"/>
      <c r="P485" s="938"/>
      <c r="Q485" s="72"/>
      <c r="R485" s="73"/>
      <c r="T485" s="940"/>
    </row>
    <row r="486" spans="3:20">
      <c r="D486" s="72">
        <v>9032</v>
      </c>
      <c r="E486" s="73" t="s">
        <v>427</v>
      </c>
      <c r="F486" s="935"/>
      <c r="G486" s="935"/>
      <c r="H486" s="935"/>
      <c r="I486" s="72"/>
      <c r="L486" s="96" t="s">
        <v>425</v>
      </c>
      <c r="M486" s="934"/>
      <c r="N486" s="937"/>
      <c r="P486" s="938"/>
      <c r="Q486" s="72"/>
      <c r="R486" s="73"/>
      <c r="T486" s="940"/>
    </row>
    <row r="487" spans="3:20">
      <c r="D487" s="72">
        <v>9033</v>
      </c>
      <c r="E487" s="73" t="s">
        <v>428</v>
      </c>
      <c r="F487" s="935"/>
      <c r="G487" s="935"/>
      <c r="H487" s="935"/>
      <c r="I487" s="72"/>
      <c r="L487" s="96" t="s">
        <v>425</v>
      </c>
      <c r="M487" s="934"/>
      <c r="N487" s="937"/>
      <c r="P487" s="938"/>
      <c r="Q487" s="72"/>
      <c r="R487" s="73"/>
      <c r="T487" s="940"/>
    </row>
    <row r="488" spans="3:20">
      <c r="D488" s="72">
        <v>9033.1</v>
      </c>
      <c r="E488" s="73" t="s">
        <v>1118</v>
      </c>
      <c r="F488" s="935"/>
      <c r="G488" s="935"/>
      <c r="H488" s="935"/>
      <c r="I488" s="72"/>
      <c r="L488" s="96" t="s">
        <v>425</v>
      </c>
      <c r="M488" s="934"/>
      <c r="N488" s="937"/>
      <c r="P488" s="938"/>
      <c r="Q488" s="72"/>
      <c r="R488" s="73"/>
      <c r="T488" s="940"/>
    </row>
    <row r="489" spans="3:20">
      <c r="D489" s="72">
        <v>9034</v>
      </c>
      <c r="E489" s="73" t="s">
        <v>766</v>
      </c>
      <c r="F489" s="935"/>
      <c r="G489" s="935"/>
      <c r="H489" s="935"/>
      <c r="I489" s="72"/>
      <c r="L489" s="96" t="s">
        <v>425</v>
      </c>
      <c r="M489" s="934"/>
      <c r="N489" s="937"/>
      <c r="P489" s="938"/>
      <c r="Q489" s="72"/>
      <c r="R489" s="73"/>
      <c r="T489" s="940"/>
    </row>
    <row r="490" spans="3:20">
      <c r="D490" s="72">
        <v>9041</v>
      </c>
      <c r="E490" s="73" t="s">
        <v>429</v>
      </c>
      <c r="F490" s="935"/>
      <c r="G490" s="935"/>
      <c r="H490" s="935"/>
      <c r="I490" s="72"/>
      <c r="L490" s="96" t="s">
        <v>425</v>
      </c>
      <c r="M490" s="934"/>
      <c r="N490" s="937"/>
      <c r="P490" s="938"/>
      <c r="Q490" s="72"/>
      <c r="R490" s="73"/>
      <c r="T490" s="940"/>
    </row>
    <row r="491" spans="3:20">
      <c r="D491" s="72">
        <v>9042</v>
      </c>
      <c r="E491" s="73" t="s">
        <v>430</v>
      </c>
      <c r="F491" s="935"/>
      <c r="G491" s="935"/>
      <c r="H491" s="935"/>
      <c r="I491" s="72"/>
      <c r="L491" s="96" t="s">
        <v>425</v>
      </c>
      <c r="M491" s="934"/>
      <c r="N491" s="937"/>
      <c r="P491" s="938"/>
      <c r="Q491" s="72"/>
      <c r="R491" s="73"/>
      <c r="T491" s="940"/>
    </row>
    <row r="492" spans="3:20">
      <c r="C492" s="941" t="s">
        <v>1081</v>
      </c>
      <c r="D492" s="80">
        <v>9043</v>
      </c>
      <c r="E492" s="81" t="s">
        <v>767</v>
      </c>
      <c r="F492" s="942"/>
      <c r="G492" s="942"/>
      <c r="H492" s="942"/>
      <c r="I492" s="80"/>
      <c r="J492" s="944"/>
      <c r="K492" s="944"/>
      <c r="L492" s="944" t="s">
        <v>425</v>
      </c>
      <c r="M492" s="934"/>
      <c r="N492" s="937"/>
      <c r="P492" s="989" t="s">
        <v>1119</v>
      </c>
      <c r="Q492" s="72"/>
      <c r="R492" s="73"/>
      <c r="T492" s="940"/>
    </row>
    <row r="493" spans="3:20">
      <c r="D493" s="79" t="s">
        <v>768</v>
      </c>
      <c r="E493" s="73" t="s">
        <v>769</v>
      </c>
      <c r="F493" s="935"/>
      <c r="G493" s="935"/>
      <c r="H493" s="935"/>
      <c r="I493" s="72"/>
      <c r="L493" s="96" t="s">
        <v>425</v>
      </c>
      <c r="M493" s="934"/>
      <c r="N493" s="937"/>
      <c r="P493" s="938"/>
      <c r="Q493" s="72"/>
      <c r="R493" s="73"/>
      <c r="T493" s="940"/>
    </row>
    <row r="494" spans="3:20">
      <c r="D494" s="72">
        <v>9044</v>
      </c>
      <c r="E494" s="73" t="s">
        <v>770</v>
      </c>
      <c r="F494" s="935"/>
      <c r="G494" s="935"/>
      <c r="H494" s="935"/>
      <c r="I494" s="72"/>
      <c r="L494" s="96" t="s">
        <v>425</v>
      </c>
      <c r="M494" s="934"/>
      <c r="N494" s="937"/>
      <c r="P494" s="938"/>
      <c r="Q494" s="72"/>
      <c r="R494" s="73"/>
      <c r="T494" s="940"/>
    </row>
    <row r="495" spans="3:20">
      <c r="C495" s="941" t="s">
        <v>1096</v>
      </c>
      <c r="D495" s="80">
        <v>9045</v>
      </c>
      <c r="E495" s="81" t="s">
        <v>771</v>
      </c>
      <c r="F495" s="942"/>
      <c r="G495" s="942"/>
      <c r="H495" s="942"/>
      <c r="I495" s="80"/>
      <c r="J495" s="944"/>
      <c r="K495" s="944"/>
      <c r="L495" s="944" t="s">
        <v>425</v>
      </c>
      <c r="M495" s="934"/>
      <c r="N495" s="937"/>
      <c r="P495" s="938"/>
      <c r="Q495" s="72"/>
      <c r="R495" s="73"/>
      <c r="T495" s="940"/>
    </row>
    <row r="496" spans="3:20">
      <c r="C496" s="941" t="s">
        <v>1120</v>
      </c>
      <c r="D496" s="80">
        <v>9046</v>
      </c>
      <c r="E496" s="81" t="s">
        <v>1121</v>
      </c>
      <c r="F496" s="942"/>
      <c r="G496" s="942"/>
      <c r="H496" s="942"/>
      <c r="I496" s="80"/>
      <c r="J496" s="944"/>
      <c r="K496" s="944"/>
      <c r="L496" s="944" t="s">
        <v>425</v>
      </c>
      <c r="M496" s="934"/>
      <c r="N496" s="937"/>
      <c r="P496" s="938"/>
      <c r="Q496" s="72"/>
      <c r="R496" s="73"/>
      <c r="T496" s="940"/>
    </row>
    <row r="497" spans="3:20">
      <c r="C497" s="941" t="s">
        <v>1083</v>
      </c>
      <c r="D497" s="80">
        <v>9050</v>
      </c>
      <c r="E497" s="81" t="s">
        <v>1122</v>
      </c>
      <c r="F497" s="942"/>
      <c r="G497" s="942"/>
      <c r="H497" s="942"/>
      <c r="I497" s="80"/>
      <c r="J497" s="944"/>
      <c r="K497" s="944"/>
      <c r="L497" s="944" t="s">
        <v>425</v>
      </c>
      <c r="M497" s="934"/>
      <c r="N497" s="937"/>
      <c r="P497" s="938"/>
      <c r="Q497" s="72"/>
      <c r="R497" s="73"/>
      <c r="T497" s="940"/>
    </row>
    <row r="498" spans="3:20">
      <c r="D498" s="72">
        <v>9085</v>
      </c>
      <c r="E498" s="73" t="s">
        <v>431</v>
      </c>
      <c r="F498" s="935"/>
      <c r="G498" s="935"/>
      <c r="H498" s="935"/>
      <c r="I498" s="72"/>
      <c r="L498" s="96" t="s">
        <v>432</v>
      </c>
      <c r="M498" s="934"/>
      <c r="N498" s="937"/>
      <c r="P498" s="938"/>
      <c r="Q498" s="72"/>
      <c r="R498" s="73"/>
      <c r="T498" s="940"/>
    </row>
    <row r="499" spans="3:20">
      <c r="D499" s="72">
        <v>9087</v>
      </c>
      <c r="E499" s="73" t="s">
        <v>433</v>
      </c>
      <c r="F499" s="935"/>
      <c r="G499" s="935"/>
      <c r="H499" s="935"/>
      <c r="I499" s="72"/>
      <c r="L499" s="96" t="s">
        <v>432</v>
      </c>
      <c r="M499" s="934"/>
      <c r="N499" s="937"/>
      <c r="P499" s="938"/>
      <c r="Q499" s="72"/>
      <c r="R499" s="73"/>
      <c r="T499" s="940"/>
    </row>
    <row r="500" spans="3:20">
      <c r="D500" s="72">
        <v>9100</v>
      </c>
      <c r="E500" s="96" t="s">
        <v>434</v>
      </c>
      <c r="F500" s="935" t="s">
        <v>1090</v>
      </c>
      <c r="G500" s="935" t="s">
        <v>1072</v>
      </c>
      <c r="H500" s="935" t="s">
        <v>1091</v>
      </c>
      <c r="I500" s="72">
        <v>3910</v>
      </c>
      <c r="L500" s="96" t="s">
        <v>432</v>
      </c>
      <c r="M500" s="934" t="s">
        <v>1073</v>
      </c>
      <c r="P500" s="938"/>
      <c r="Q500" s="72"/>
      <c r="T500" s="940"/>
    </row>
    <row r="501" spans="3:20">
      <c r="D501" s="72">
        <v>9102</v>
      </c>
      <c r="E501" s="96" t="s">
        <v>435</v>
      </c>
      <c r="F501" s="935"/>
      <c r="G501" s="935"/>
      <c r="H501" s="935"/>
      <c r="I501" s="72"/>
      <c r="L501" s="96" t="s">
        <v>432</v>
      </c>
      <c r="M501" s="934"/>
      <c r="P501" s="938"/>
      <c r="Q501" s="72"/>
      <c r="T501" s="940"/>
    </row>
    <row r="502" spans="3:20">
      <c r="D502" s="72">
        <v>9103</v>
      </c>
      <c r="E502" s="96" t="s">
        <v>436</v>
      </c>
      <c r="F502" s="935"/>
      <c r="G502" s="935"/>
      <c r="H502" s="935"/>
      <c r="I502" s="72"/>
      <c r="L502" s="96" t="s">
        <v>432</v>
      </c>
      <c r="M502" s="934"/>
      <c r="P502" s="938"/>
      <c r="Q502" s="72"/>
      <c r="T502" s="940"/>
    </row>
    <row r="503" spans="3:20">
      <c r="D503" s="72">
        <v>9105</v>
      </c>
      <c r="E503" s="96" t="s">
        <v>437</v>
      </c>
      <c r="F503" s="935" t="s">
        <v>1090</v>
      </c>
      <c r="G503" s="935" t="s">
        <v>1072</v>
      </c>
      <c r="H503" s="935" t="s">
        <v>1091</v>
      </c>
      <c r="I503" s="72">
        <v>3910</v>
      </c>
      <c r="L503" s="96" t="s">
        <v>432</v>
      </c>
      <c r="M503" s="934" t="s">
        <v>1073</v>
      </c>
      <c r="P503" s="938"/>
      <c r="Q503" s="72"/>
      <c r="T503" s="940"/>
    </row>
    <row r="504" spans="3:20">
      <c r="D504" s="72">
        <v>9110</v>
      </c>
      <c r="E504" s="96" t="s">
        <v>438</v>
      </c>
      <c r="F504" s="935" t="s">
        <v>1090</v>
      </c>
      <c r="G504" s="935" t="s">
        <v>1072</v>
      </c>
      <c r="H504" s="935" t="s">
        <v>1091</v>
      </c>
      <c r="I504" s="72">
        <v>3910</v>
      </c>
      <c r="L504" s="96" t="s">
        <v>432</v>
      </c>
      <c r="M504" s="934" t="s">
        <v>1073</v>
      </c>
      <c r="P504" s="938"/>
      <c r="Q504" s="72"/>
      <c r="T504" s="940"/>
    </row>
    <row r="505" spans="3:20">
      <c r="D505" s="72">
        <v>9111</v>
      </c>
      <c r="E505" s="96" t="s">
        <v>439</v>
      </c>
      <c r="F505" s="935" t="s">
        <v>1090</v>
      </c>
      <c r="G505" s="935" t="s">
        <v>1072</v>
      </c>
      <c r="H505" s="935" t="s">
        <v>1091</v>
      </c>
      <c r="I505" s="72">
        <v>3910</v>
      </c>
      <c r="L505" s="96" t="s">
        <v>432</v>
      </c>
      <c r="M505" s="934"/>
      <c r="P505" s="938"/>
      <c r="Q505" s="72"/>
      <c r="T505" s="940"/>
    </row>
    <row r="506" spans="3:20">
      <c r="D506" s="72">
        <v>9112</v>
      </c>
      <c r="E506" s="96" t="s">
        <v>440</v>
      </c>
      <c r="F506" s="935"/>
      <c r="G506" s="935"/>
      <c r="H506" s="935"/>
      <c r="I506" s="72"/>
      <c r="L506" s="96" t="s">
        <v>432</v>
      </c>
      <c r="M506" s="934"/>
      <c r="P506" s="938"/>
      <c r="Q506" s="72"/>
      <c r="T506" s="940"/>
    </row>
    <row r="507" spans="3:20">
      <c r="D507" s="72">
        <v>9115</v>
      </c>
      <c r="E507" s="96" t="s">
        <v>441</v>
      </c>
      <c r="F507" s="935" t="s">
        <v>1090</v>
      </c>
      <c r="G507" s="935" t="s">
        <v>1072</v>
      </c>
      <c r="H507" s="935" t="s">
        <v>1091</v>
      </c>
      <c r="I507" s="72">
        <v>3910</v>
      </c>
      <c r="L507" s="96" t="s">
        <v>432</v>
      </c>
      <c r="M507" s="934" t="s">
        <v>1073</v>
      </c>
      <c r="P507" s="938"/>
      <c r="Q507" s="72"/>
      <c r="T507" s="940"/>
    </row>
    <row r="508" spans="3:20">
      <c r="D508" s="72">
        <v>9120</v>
      </c>
      <c r="E508" s="96" t="s">
        <v>442</v>
      </c>
      <c r="F508" s="935" t="s">
        <v>1090</v>
      </c>
      <c r="G508" s="935" t="s">
        <v>1072</v>
      </c>
      <c r="H508" s="935" t="s">
        <v>1091</v>
      </c>
      <c r="I508" s="72">
        <v>3910</v>
      </c>
      <c r="L508" s="96" t="s">
        <v>432</v>
      </c>
      <c r="M508" s="934" t="s">
        <v>1073</v>
      </c>
      <c r="P508" s="938"/>
      <c r="Q508" s="72"/>
      <c r="T508" s="940"/>
    </row>
    <row r="509" spans="3:20">
      <c r="D509" s="72">
        <v>9123</v>
      </c>
      <c r="E509" s="96" t="s">
        <v>443</v>
      </c>
      <c r="F509" s="935"/>
      <c r="G509" s="935"/>
      <c r="H509" s="935"/>
      <c r="I509" s="72"/>
      <c r="L509" s="96" t="s">
        <v>432</v>
      </c>
      <c r="M509" s="934"/>
      <c r="P509" s="938"/>
      <c r="Q509" s="72"/>
      <c r="T509" s="940"/>
    </row>
    <row r="510" spans="3:20">
      <c r="D510" s="72">
        <v>9125</v>
      </c>
      <c r="E510" s="96" t="s">
        <v>444</v>
      </c>
      <c r="F510" s="935" t="s">
        <v>1090</v>
      </c>
      <c r="G510" s="935" t="s">
        <v>1072</v>
      </c>
      <c r="H510" s="935" t="s">
        <v>1091</v>
      </c>
      <c r="I510" s="72">
        <v>3910</v>
      </c>
      <c r="L510" s="96" t="s">
        <v>432</v>
      </c>
      <c r="M510" s="934" t="s">
        <v>1073</v>
      </c>
      <c r="P510" s="938"/>
      <c r="Q510" s="72"/>
      <c r="T510" s="940"/>
    </row>
    <row r="511" spans="3:20">
      <c r="D511" s="72">
        <v>9126</v>
      </c>
      <c r="E511" s="96" t="s">
        <v>445</v>
      </c>
      <c r="F511" s="935"/>
      <c r="G511" s="935"/>
      <c r="H511" s="935"/>
      <c r="I511" s="72"/>
      <c r="L511" s="96" t="s">
        <v>432</v>
      </c>
      <c r="M511" s="934"/>
      <c r="P511" s="938"/>
      <c r="Q511" s="72"/>
      <c r="T511" s="940"/>
    </row>
    <row r="512" spans="3:20">
      <c r="D512" s="72">
        <v>9127</v>
      </c>
      <c r="E512" s="96" t="s">
        <v>446</v>
      </c>
      <c r="F512" s="935"/>
      <c r="G512" s="935"/>
      <c r="H512" s="935"/>
      <c r="I512" s="72"/>
      <c r="L512" s="96" t="s">
        <v>432</v>
      </c>
      <c r="M512" s="934"/>
      <c r="P512" s="938"/>
      <c r="Q512" s="72"/>
      <c r="T512" s="940"/>
    </row>
    <row r="513" spans="3:20">
      <c r="D513" s="72">
        <v>9128</v>
      </c>
      <c r="E513" s="96" t="s">
        <v>447</v>
      </c>
      <c r="F513" s="935"/>
      <c r="G513" s="935"/>
      <c r="H513" s="935"/>
      <c r="I513" s="72"/>
      <c r="L513" s="96" t="s">
        <v>432</v>
      </c>
      <c r="M513" s="934"/>
      <c r="P513" s="938"/>
      <c r="Q513" s="72"/>
      <c r="T513" s="940"/>
    </row>
    <row r="514" spans="3:20">
      <c r="D514" s="72">
        <v>9129</v>
      </c>
      <c r="E514" s="96" t="s">
        <v>448</v>
      </c>
      <c r="F514" s="935"/>
      <c r="G514" s="935"/>
      <c r="H514" s="935"/>
      <c r="I514" s="72"/>
      <c r="L514" s="96" t="s">
        <v>432</v>
      </c>
      <c r="M514" s="934"/>
      <c r="P514" s="938"/>
      <c r="Q514" s="72"/>
      <c r="T514" s="940"/>
    </row>
    <row r="515" spans="3:20">
      <c r="D515" s="72">
        <v>9130</v>
      </c>
      <c r="E515" s="96" t="s">
        <v>449</v>
      </c>
      <c r="F515" s="935" t="s">
        <v>1090</v>
      </c>
      <c r="G515" s="935" t="s">
        <v>1072</v>
      </c>
      <c r="H515" s="935" t="s">
        <v>1091</v>
      </c>
      <c r="I515" s="72">
        <v>3910</v>
      </c>
      <c r="L515" s="96" t="s">
        <v>432</v>
      </c>
      <c r="M515" s="934" t="s">
        <v>1073</v>
      </c>
      <c r="P515" s="938"/>
      <c r="Q515" s="72"/>
      <c r="T515" s="940"/>
    </row>
    <row r="516" spans="3:20">
      <c r="D516" s="72">
        <v>9131</v>
      </c>
      <c r="E516" s="96" t="s">
        <v>772</v>
      </c>
      <c r="F516" s="935"/>
      <c r="G516" s="935"/>
      <c r="H516" s="935"/>
      <c r="I516" s="72"/>
      <c r="L516" s="96" t="s">
        <v>432</v>
      </c>
      <c r="M516" s="934"/>
      <c r="P516" s="938"/>
      <c r="Q516" s="72"/>
      <c r="T516" s="940"/>
    </row>
    <row r="517" spans="3:20">
      <c r="C517" s="953" t="s">
        <v>1112</v>
      </c>
      <c r="D517" s="76">
        <v>9132</v>
      </c>
      <c r="E517" s="97" t="s">
        <v>773</v>
      </c>
      <c r="F517" s="954"/>
      <c r="G517" s="954"/>
      <c r="H517" s="954"/>
      <c r="I517" s="76"/>
      <c r="J517" s="97"/>
      <c r="K517" s="97"/>
      <c r="L517" s="97" t="s">
        <v>432</v>
      </c>
      <c r="M517" s="934"/>
      <c r="P517" s="938"/>
      <c r="Q517" s="72"/>
      <c r="T517" s="940"/>
    </row>
    <row r="518" spans="3:20">
      <c r="D518" s="72">
        <v>9135</v>
      </c>
      <c r="E518" s="96" t="s">
        <v>450</v>
      </c>
      <c r="F518" s="935" t="s">
        <v>1090</v>
      </c>
      <c r="G518" s="935" t="s">
        <v>1072</v>
      </c>
      <c r="H518" s="935" t="s">
        <v>1091</v>
      </c>
      <c r="I518" s="72">
        <v>3910</v>
      </c>
      <c r="L518" s="96" t="s">
        <v>432</v>
      </c>
      <c r="M518" s="934" t="s">
        <v>1073</v>
      </c>
      <c r="P518" s="938"/>
      <c r="Q518" s="72"/>
      <c r="T518" s="940"/>
    </row>
    <row r="519" spans="3:20">
      <c r="D519" s="72">
        <v>9136</v>
      </c>
      <c r="E519" s="96" t="s">
        <v>451</v>
      </c>
      <c r="F519" s="935"/>
      <c r="G519" s="935"/>
      <c r="H519" s="935"/>
      <c r="I519" s="72"/>
      <c r="L519" s="96" t="s">
        <v>432</v>
      </c>
      <c r="M519" s="934"/>
      <c r="P519" s="938"/>
      <c r="Q519" s="72"/>
      <c r="T519" s="940"/>
    </row>
    <row r="520" spans="3:20">
      <c r="D520" s="72">
        <v>9137</v>
      </c>
      <c r="E520" s="96" t="s">
        <v>452</v>
      </c>
      <c r="F520" s="935"/>
      <c r="G520" s="935"/>
      <c r="H520" s="935"/>
      <c r="I520" s="72"/>
      <c r="L520" s="96" t="s">
        <v>432</v>
      </c>
      <c r="M520" s="934"/>
      <c r="P520" s="938"/>
      <c r="Q520" s="72"/>
      <c r="T520" s="940"/>
    </row>
    <row r="521" spans="3:20">
      <c r="D521" s="72">
        <v>9140</v>
      </c>
      <c r="E521" s="96" t="s">
        <v>453</v>
      </c>
      <c r="F521" s="935" t="s">
        <v>1090</v>
      </c>
      <c r="G521" s="935" t="s">
        <v>1072</v>
      </c>
      <c r="H521" s="935" t="s">
        <v>1091</v>
      </c>
      <c r="I521" s="72">
        <v>3910</v>
      </c>
      <c r="L521" s="96" t="s">
        <v>432</v>
      </c>
      <c r="M521" s="934" t="s">
        <v>1073</v>
      </c>
      <c r="P521" s="938"/>
      <c r="Q521" s="72"/>
      <c r="T521" s="940"/>
    </row>
    <row r="522" spans="3:20">
      <c r="D522" s="72">
        <v>9145</v>
      </c>
      <c r="E522" s="96" t="s">
        <v>454</v>
      </c>
      <c r="F522" s="935" t="s">
        <v>1090</v>
      </c>
      <c r="G522" s="935" t="s">
        <v>1072</v>
      </c>
      <c r="H522" s="935" t="s">
        <v>1091</v>
      </c>
      <c r="I522" s="72">
        <v>3910</v>
      </c>
      <c r="L522" s="96" t="s">
        <v>432</v>
      </c>
      <c r="M522" s="934" t="s">
        <v>1073</v>
      </c>
      <c r="P522" s="938"/>
      <c r="Q522" s="72"/>
      <c r="T522" s="940"/>
    </row>
    <row r="523" spans="3:20">
      <c r="D523" s="72">
        <v>9150</v>
      </c>
      <c r="E523" s="96" t="s">
        <v>455</v>
      </c>
      <c r="F523" s="935" t="s">
        <v>1090</v>
      </c>
      <c r="G523" s="935" t="s">
        <v>1072</v>
      </c>
      <c r="H523" s="935" t="s">
        <v>1091</v>
      </c>
      <c r="I523" s="72">
        <v>3910</v>
      </c>
      <c r="L523" s="96" t="s">
        <v>432</v>
      </c>
      <c r="M523" s="934" t="s">
        <v>1073</v>
      </c>
      <c r="P523" s="938"/>
      <c r="Q523" s="72"/>
      <c r="T523" s="940"/>
    </row>
    <row r="524" spans="3:20">
      <c r="D524" s="72">
        <v>9155</v>
      </c>
      <c r="E524" s="96" t="s">
        <v>456</v>
      </c>
      <c r="F524" s="935" t="s">
        <v>1090</v>
      </c>
      <c r="G524" s="935" t="s">
        <v>1072</v>
      </c>
      <c r="H524" s="935" t="s">
        <v>1091</v>
      </c>
      <c r="I524" s="72">
        <v>3910</v>
      </c>
      <c r="L524" s="96" t="s">
        <v>432</v>
      </c>
      <c r="M524" s="934" t="s">
        <v>1073</v>
      </c>
      <c r="P524" s="938"/>
      <c r="Q524" s="72"/>
      <c r="T524" s="940"/>
    </row>
    <row r="525" spans="3:20">
      <c r="D525" s="72">
        <v>9160</v>
      </c>
      <c r="E525" s="96" t="s">
        <v>457</v>
      </c>
      <c r="F525" s="935" t="s">
        <v>1090</v>
      </c>
      <c r="G525" s="935" t="s">
        <v>1072</v>
      </c>
      <c r="H525" s="935" t="s">
        <v>1091</v>
      </c>
      <c r="I525" s="72">
        <v>3910</v>
      </c>
      <c r="L525" s="96" t="s">
        <v>432</v>
      </c>
      <c r="M525" s="934" t="s">
        <v>1073</v>
      </c>
      <c r="P525" s="938"/>
      <c r="Q525" s="72"/>
      <c r="T525" s="940"/>
    </row>
    <row r="526" spans="3:20">
      <c r="D526" s="72">
        <v>9165</v>
      </c>
      <c r="E526" s="96" t="s">
        <v>458</v>
      </c>
      <c r="F526" s="935" t="s">
        <v>1090</v>
      </c>
      <c r="G526" s="935" t="s">
        <v>1072</v>
      </c>
      <c r="H526" s="935" t="s">
        <v>1091</v>
      </c>
      <c r="I526" s="72">
        <v>3910</v>
      </c>
      <c r="L526" s="96" t="s">
        <v>432</v>
      </c>
      <c r="M526" s="934" t="s">
        <v>1073</v>
      </c>
      <c r="P526" s="938"/>
      <c r="Q526" s="72"/>
      <c r="T526" s="940"/>
    </row>
    <row r="527" spans="3:20">
      <c r="D527" s="72">
        <v>9166</v>
      </c>
      <c r="E527" s="96" t="s">
        <v>459</v>
      </c>
      <c r="F527" s="935"/>
      <c r="G527" s="935"/>
      <c r="H527" s="935"/>
      <c r="I527" s="72"/>
      <c r="L527" s="96" t="s">
        <v>432</v>
      </c>
      <c r="M527" s="934"/>
      <c r="P527" s="938"/>
      <c r="Q527" s="72"/>
      <c r="T527" s="940"/>
    </row>
    <row r="528" spans="3:20">
      <c r="D528" s="72">
        <v>9167</v>
      </c>
      <c r="E528" s="96" t="s">
        <v>460</v>
      </c>
      <c r="F528" s="935"/>
      <c r="G528" s="935"/>
      <c r="H528" s="935"/>
      <c r="I528" s="72"/>
      <c r="L528" s="96" t="s">
        <v>432</v>
      </c>
      <c r="M528" s="934"/>
      <c r="P528" s="938"/>
      <c r="Q528" s="72"/>
      <c r="T528" s="940"/>
    </row>
    <row r="529" spans="3:20">
      <c r="D529" s="72">
        <v>9167.1</v>
      </c>
      <c r="E529" s="73" t="s">
        <v>461</v>
      </c>
      <c r="F529" s="935"/>
      <c r="G529" s="935"/>
      <c r="H529" s="935"/>
      <c r="I529" s="72"/>
      <c r="L529" s="96" t="s">
        <v>432</v>
      </c>
      <c r="M529" s="934"/>
      <c r="P529" s="938"/>
      <c r="Q529" s="72"/>
      <c r="T529" s="940"/>
    </row>
    <row r="530" spans="3:20">
      <c r="D530" s="72">
        <v>9167.2000000000007</v>
      </c>
      <c r="E530" s="73" t="s">
        <v>462</v>
      </c>
      <c r="F530" s="935"/>
      <c r="G530" s="935"/>
      <c r="H530" s="935"/>
      <c r="I530" s="72"/>
      <c r="L530" s="96" t="s">
        <v>432</v>
      </c>
      <c r="M530" s="934"/>
      <c r="P530" s="938"/>
      <c r="Q530" s="72"/>
      <c r="T530" s="940"/>
    </row>
    <row r="531" spans="3:20">
      <c r="D531" s="72">
        <v>9167.2999999999993</v>
      </c>
      <c r="E531" s="73" t="s">
        <v>463</v>
      </c>
      <c r="F531" s="935"/>
      <c r="G531" s="935"/>
      <c r="H531" s="935"/>
      <c r="I531" s="72"/>
      <c r="L531" s="96" t="s">
        <v>432</v>
      </c>
      <c r="M531" s="934"/>
      <c r="P531" s="938"/>
      <c r="Q531" s="72"/>
      <c r="T531" s="940"/>
    </row>
    <row r="532" spans="3:20">
      <c r="C532" s="929" t="s">
        <v>1123</v>
      </c>
      <c r="D532" s="72">
        <v>9167.4</v>
      </c>
      <c r="E532" s="73" t="s">
        <v>1124</v>
      </c>
      <c r="F532" s="935"/>
      <c r="G532" s="935"/>
      <c r="H532" s="935"/>
      <c r="I532" s="72"/>
      <c r="L532" s="96" t="s">
        <v>432</v>
      </c>
      <c r="M532" s="934"/>
      <c r="P532" s="938"/>
      <c r="Q532" s="72"/>
      <c r="T532" s="940"/>
    </row>
    <row r="533" spans="3:20">
      <c r="C533" s="929" t="s">
        <v>1123</v>
      </c>
      <c r="D533" s="72">
        <v>9167.5</v>
      </c>
      <c r="E533" s="73" t="s">
        <v>1125</v>
      </c>
      <c r="F533" s="935"/>
      <c r="G533" s="935"/>
      <c r="H533" s="935"/>
      <c r="I533" s="72"/>
      <c r="L533" s="96" t="s">
        <v>432</v>
      </c>
      <c r="M533" s="934"/>
      <c r="P533" s="938"/>
      <c r="Q533" s="72"/>
      <c r="T533" s="940"/>
    </row>
    <row r="534" spans="3:20">
      <c r="D534" s="72">
        <v>9169</v>
      </c>
      <c r="E534" s="96" t="s">
        <v>464</v>
      </c>
      <c r="F534" s="935"/>
      <c r="G534" s="935"/>
      <c r="H534" s="935"/>
      <c r="I534" s="72"/>
      <c r="L534" s="96" t="s">
        <v>432</v>
      </c>
      <c r="M534" s="934"/>
      <c r="P534" s="938"/>
      <c r="Q534" s="72"/>
      <c r="T534" s="940"/>
    </row>
    <row r="535" spans="3:20">
      <c r="D535" s="72">
        <v>9170</v>
      </c>
      <c r="E535" s="96" t="s">
        <v>465</v>
      </c>
      <c r="F535" s="935" t="s">
        <v>1090</v>
      </c>
      <c r="G535" s="935" t="s">
        <v>1072</v>
      </c>
      <c r="H535" s="935" t="s">
        <v>1091</v>
      </c>
      <c r="I535" s="72">
        <v>3910</v>
      </c>
      <c r="L535" s="96" t="s">
        <v>432</v>
      </c>
      <c r="M535" s="934" t="s">
        <v>1073</v>
      </c>
      <c r="P535" s="938"/>
      <c r="Q535" s="72"/>
      <c r="T535" s="940"/>
    </row>
    <row r="536" spans="3:20">
      <c r="C536" s="941" t="s">
        <v>1096</v>
      </c>
      <c r="D536" s="80">
        <v>9199</v>
      </c>
      <c r="E536" s="944" t="s">
        <v>774</v>
      </c>
      <c r="F536" s="942"/>
      <c r="G536" s="942"/>
      <c r="H536" s="942"/>
      <c r="I536" s="80"/>
      <c r="J536" s="944"/>
      <c r="K536" s="944"/>
      <c r="L536" s="944" t="s">
        <v>432</v>
      </c>
      <c r="M536" s="934"/>
      <c r="P536" s="938"/>
      <c r="Q536" s="72"/>
      <c r="T536" s="940"/>
    </row>
    <row r="537" spans="3:20">
      <c r="D537" s="72">
        <v>9200</v>
      </c>
      <c r="E537" s="96" t="s">
        <v>466</v>
      </c>
      <c r="L537" s="96" t="s">
        <v>432</v>
      </c>
      <c r="Q537" s="72"/>
      <c r="T537" s="940"/>
    </row>
    <row r="538" spans="3:20">
      <c r="D538" s="72"/>
      <c r="Q538" s="72"/>
      <c r="T538" s="940"/>
    </row>
    <row r="539" spans="3:20">
      <c r="D539" s="72"/>
      <c r="Q539" s="72"/>
      <c r="T539" s="940"/>
    </row>
    <row r="540" spans="3:20">
      <c r="D540" s="72"/>
      <c r="Q540" s="72"/>
      <c r="T540" s="940"/>
    </row>
    <row r="541" spans="3:20">
      <c r="D541" s="72"/>
      <c r="Q541" s="72"/>
      <c r="T541" s="940"/>
    </row>
    <row r="542" spans="3:20">
      <c r="D542" s="72"/>
      <c r="T542" s="940"/>
    </row>
    <row r="543" spans="3:20">
      <c r="D543" s="72"/>
      <c r="T543" s="940"/>
    </row>
    <row r="544" spans="3:20">
      <c r="D544" s="72"/>
      <c r="T544" s="940"/>
    </row>
    <row r="545" spans="4:20">
      <c r="D545" s="72"/>
      <c r="T545" s="940"/>
    </row>
    <row r="546" spans="4:20">
      <c r="D546" s="72"/>
      <c r="T546" s="940"/>
    </row>
    <row r="547" spans="4:20">
      <c r="D547" s="72"/>
      <c r="T547" s="940"/>
    </row>
    <row r="548" spans="4:20">
      <c r="D548" s="72"/>
      <c r="T548" s="940"/>
    </row>
    <row r="549" spans="4:20">
      <c r="D549" s="72"/>
      <c r="T549" s="940"/>
    </row>
    <row r="550" spans="4:20">
      <c r="D550" s="72"/>
      <c r="T550" s="940"/>
    </row>
    <row r="551" spans="4:20">
      <c r="D551" s="72"/>
      <c r="T551" s="940"/>
    </row>
    <row r="552" spans="4:20">
      <c r="D552" s="72"/>
      <c r="T552" s="940"/>
    </row>
    <row r="553" spans="4:20">
      <c r="D553" s="72"/>
      <c r="T553" s="940"/>
    </row>
    <row r="554" spans="4:20">
      <c r="D554" s="72"/>
      <c r="T554" s="940"/>
    </row>
    <row r="555" spans="4:20">
      <c r="D555" s="72"/>
      <c r="T555" s="940"/>
    </row>
    <row r="556" spans="4:20">
      <c r="D556" s="72"/>
      <c r="T556" s="940"/>
    </row>
    <row r="557" spans="4:20">
      <c r="D557" s="72"/>
      <c r="T557" s="940"/>
    </row>
    <row r="558" spans="4:20">
      <c r="D558" s="72"/>
      <c r="T558" s="940"/>
    </row>
    <row r="559" spans="4:20">
      <c r="T559" s="940"/>
    </row>
    <row r="560" spans="4:20">
      <c r="T560" s="940"/>
    </row>
    <row r="561" spans="20:20">
      <c r="T561" s="940"/>
    </row>
    <row r="562" spans="20:20">
      <c r="T562" s="940"/>
    </row>
    <row r="563" spans="20:20">
      <c r="T563" s="940"/>
    </row>
    <row r="564" spans="20:20">
      <c r="T564" s="940"/>
    </row>
    <row r="565" spans="20:20">
      <c r="T565" s="940"/>
    </row>
    <row r="566" spans="20:20">
      <c r="T566" s="940"/>
    </row>
    <row r="567" spans="20:20">
      <c r="T567" s="940"/>
    </row>
    <row r="568" spans="20:20">
      <c r="T568" s="940"/>
    </row>
    <row r="569" spans="20:20">
      <c r="T569" s="940"/>
    </row>
    <row r="570" spans="20:20">
      <c r="T570" s="940"/>
    </row>
    <row r="571" spans="20:20">
      <c r="T571" s="940"/>
    </row>
    <row r="572" spans="20:20">
      <c r="T572" s="940"/>
    </row>
    <row r="573" spans="20:20">
      <c r="T573" s="940"/>
    </row>
    <row r="574" spans="20:20">
      <c r="T574" s="940"/>
    </row>
    <row r="575" spans="20:20">
      <c r="T575" s="940"/>
    </row>
    <row r="576" spans="20:20">
      <c r="T576" s="940"/>
    </row>
    <row r="577" spans="20:20">
      <c r="T577" s="940"/>
    </row>
    <row r="578" spans="20:20">
      <c r="T578" s="940"/>
    </row>
    <row r="579" spans="20:20">
      <c r="T579" s="940"/>
    </row>
    <row r="580" spans="20:20">
      <c r="T580" s="940"/>
    </row>
    <row r="581" spans="20:20">
      <c r="T581" s="940"/>
    </row>
    <row r="582" spans="20:20">
      <c r="T582" s="940"/>
    </row>
    <row r="583" spans="20:20">
      <c r="T583" s="940"/>
    </row>
    <row r="584" spans="20:20">
      <c r="T584" s="940"/>
    </row>
    <row r="585" spans="20:20">
      <c r="T585" s="940"/>
    </row>
    <row r="586" spans="20:20">
      <c r="T586" s="940"/>
    </row>
    <row r="587" spans="20:20">
      <c r="T587" s="940"/>
    </row>
    <row r="588" spans="20:20">
      <c r="T588" s="940"/>
    </row>
    <row r="589" spans="20:20">
      <c r="T589" s="940"/>
    </row>
    <row r="590" spans="20:20">
      <c r="T590" s="940"/>
    </row>
    <row r="591" spans="20:20">
      <c r="T591" s="940"/>
    </row>
    <row r="592" spans="20:20">
      <c r="T592" s="940"/>
    </row>
    <row r="593" spans="20:20">
      <c r="T593" s="940"/>
    </row>
    <row r="594" spans="20:20">
      <c r="T594" s="940"/>
    </row>
    <row r="595" spans="20:20">
      <c r="T595" s="940"/>
    </row>
    <row r="596" spans="20:20">
      <c r="T596" s="940"/>
    </row>
    <row r="597" spans="20:20">
      <c r="T597" s="940"/>
    </row>
    <row r="598" spans="20:20">
      <c r="T598" s="940"/>
    </row>
    <row r="599" spans="20:20">
      <c r="T599" s="940"/>
    </row>
    <row r="600" spans="20:20">
      <c r="T600" s="940"/>
    </row>
    <row r="601" spans="20:20">
      <c r="T601" s="940"/>
    </row>
    <row r="602" spans="20:20">
      <c r="T602" s="940"/>
    </row>
    <row r="603" spans="20:20">
      <c r="T603" s="940"/>
    </row>
    <row r="604" spans="20:20">
      <c r="T604" s="940"/>
    </row>
    <row r="605" spans="20:20">
      <c r="T605" s="940"/>
    </row>
    <row r="606" spans="20:20">
      <c r="T606" s="940"/>
    </row>
    <row r="607" spans="20:20">
      <c r="T607" s="940"/>
    </row>
    <row r="608" spans="20:20">
      <c r="T608" s="940"/>
    </row>
    <row r="609" spans="20:20">
      <c r="T609" s="940"/>
    </row>
    <row r="610" spans="20:20">
      <c r="T610" s="940"/>
    </row>
    <row r="611" spans="20:20">
      <c r="T611" s="940"/>
    </row>
    <row r="612" spans="20:20">
      <c r="T612" s="940"/>
    </row>
    <row r="613" spans="20:20">
      <c r="T613" s="940"/>
    </row>
    <row r="614" spans="20:20">
      <c r="T614" s="940"/>
    </row>
    <row r="615" spans="20:20">
      <c r="T615" s="940"/>
    </row>
    <row r="616" spans="20:20">
      <c r="T616" s="940"/>
    </row>
    <row r="617" spans="20:20">
      <c r="T617" s="940"/>
    </row>
    <row r="618" spans="20:20">
      <c r="T618" s="940"/>
    </row>
    <row r="619" spans="20:20">
      <c r="T619" s="940"/>
    </row>
    <row r="620" spans="20:20">
      <c r="T620" s="940"/>
    </row>
    <row r="621" spans="20:20">
      <c r="T621" s="940"/>
    </row>
    <row r="622" spans="20:20">
      <c r="T622" s="940"/>
    </row>
    <row r="623" spans="20:20">
      <c r="T623" s="940"/>
    </row>
    <row r="624" spans="20:20">
      <c r="T624" s="940"/>
    </row>
    <row r="625" spans="20:20">
      <c r="T625" s="940"/>
    </row>
    <row r="626" spans="20:20">
      <c r="T626" s="940"/>
    </row>
    <row r="627" spans="20:20">
      <c r="T627" s="940"/>
    </row>
    <row r="628" spans="20:20">
      <c r="T628" s="940"/>
    </row>
    <row r="629" spans="20:20">
      <c r="T629" s="940"/>
    </row>
    <row r="630" spans="20:20">
      <c r="T630" s="940"/>
    </row>
    <row r="631" spans="20:20">
      <c r="T631" s="940"/>
    </row>
    <row r="632" spans="20:20">
      <c r="T632" s="940"/>
    </row>
    <row r="633" spans="20:20">
      <c r="T633" s="940"/>
    </row>
    <row r="634" spans="20:20">
      <c r="T634" s="940"/>
    </row>
    <row r="635" spans="20:20">
      <c r="T635" s="940"/>
    </row>
    <row r="636" spans="20:20">
      <c r="T636" s="940"/>
    </row>
    <row r="637" spans="20:20">
      <c r="T637" s="940"/>
    </row>
    <row r="638" spans="20:20">
      <c r="T638" s="940"/>
    </row>
    <row r="639" spans="20:20">
      <c r="T639" s="940"/>
    </row>
    <row r="640" spans="20:20">
      <c r="T640" s="940"/>
    </row>
    <row r="641" spans="20:20">
      <c r="T641" s="940"/>
    </row>
    <row r="642" spans="20:20">
      <c r="T642" s="940"/>
    </row>
    <row r="643" spans="20:20">
      <c r="T643" s="940"/>
    </row>
    <row r="644" spans="20:20">
      <c r="T644" s="940"/>
    </row>
    <row r="645" spans="20:20">
      <c r="T645" s="940"/>
    </row>
    <row r="646" spans="20:20">
      <c r="T646" s="940"/>
    </row>
    <row r="647" spans="20:20">
      <c r="T647" s="940"/>
    </row>
    <row r="648" spans="20:20">
      <c r="T648" s="940"/>
    </row>
    <row r="649" spans="20:20">
      <c r="T649" s="940"/>
    </row>
    <row r="650" spans="20:20">
      <c r="T650" s="940"/>
    </row>
    <row r="651" spans="20:20">
      <c r="T651" s="940"/>
    </row>
    <row r="652" spans="20:20">
      <c r="T652" s="940"/>
    </row>
    <row r="653" spans="20:20">
      <c r="T653" s="940"/>
    </row>
    <row r="654" spans="20:20">
      <c r="T654" s="940"/>
    </row>
    <row r="655" spans="20:20">
      <c r="T655" s="940"/>
    </row>
    <row r="656" spans="20:20">
      <c r="T656" s="940"/>
    </row>
    <row r="657" spans="20:20">
      <c r="T657" s="940"/>
    </row>
    <row r="658" spans="20:20">
      <c r="T658" s="940"/>
    </row>
    <row r="659" spans="20:20">
      <c r="T659" s="940"/>
    </row>
    <row r="660" spans="20:20">
      <c r="T660" s="940"/>
    </row>
    <row r="661" spans="20:20">
      <c r="T661" s="940"/>
    </row>
    <row r="662" spans="20:20">
      <c r="T662" s="940"/>
    </row>
    <row r="663" spans="20:20">
      <c r="T663" s="940"/>
    </row>
    <row r="664" spans="20:20">
      <c r="T664" s="940"/>
    </row>
    <row r="665" spans="20:20">
      <c r="T665" s="940"/>
    </row>
    <row r="666" spans="20:20">
      <c r="T666" s="940"/>
    </row>
    <row r="667" spans="20:20">
      <c r="T667" s="940"/>
    </row>
    <row r="668" spans="20:20">
      <c r="T668" s="940"/>
    </row>
    <row r="669" spans="20:20">
      <c r="T669" s="940"/>
    </row>
    <row r="670" spans="20:20">
      <c r="T670" s="940"/>
    </row>
    <row r="671" spans="20:20">
      <c r="T671" s="940"/>
    </row>
    <row r="672" spans="20:20">
      <c r="T672" s="940"/>
    </row>
    <row r="673" spans="20:20">
      <c r="T673" s="940"/>
    </row>
    <row r="674" spans="20:20">
      <c r="T674" s="940"/>
    </row>
    <row r="675" spans="20:20">
      <c r="T675" s="940"/>
    </row>
    <row r="676" spans="20:20">
      <c r="T676" s="940"/>
    </row>
    <row r="677" spans="20:20">
      <c r="T677" s="940"/>
    </row>
    <row r="678" spans="20:20">
      <c r="T678" s="940"/>
    </row>
    <row r="679" spans="20:20">
      <c r="T679" s="940"/>
    </row>
    <row r="680" spans="20:20">
      <c r="T680" s="940"/>
    </row>
    <row r="681" spans="20:20">
      <c r="T681" s="940"/>
    </row>
    <row r="682" spans="20:20">
      <c r="T682" s="940"/>
    </row>
    <row r="683" spans="20:20">
      <c r="T683" s="940"/>
    </row>
    <row r="684" spans="20:20">
      <c r="T684" s="940"/>
    </row>
    <row r="685" spans="20:20">
      <c r="T685" s="940"/>
    </row>
    <row r="686" spans="20:20">
      <c r="T686" s="940"/>
    </row>
    <row r="687" spans="20:20">
      <c r="T687" s="940"/>
    </row>
    <row r="688" spans="20:20">
      <c r="T688" s="940"/>
    </row>
    <row r="689" spans="20:20">
      <c r="T689" s="940"/>
    </row>
    <row r="690" spans="20:20">
      <c r="T690" s="940"/>
    </row>
    <row r="691" spans="20:20">
      <c r="T691" s="940"/>
    </row>
    <row r="692" spans="20:20">
      <c r="T692" s="940"/>
    </row>
    <row r="693" spans="20:20">
      <c r="T693" s="940"/>
    </row>
    <row r="694" spans="20:20">
      <c r="T694" s="940"/>
    </row>
    <row r="695" spans="20:20">
      <c r="T695" s="940"/>
    </row>
    <row r="696" spans="20:20">
      <c r="T696" s="940"/>
    </row>
    <row r="697" spans="20:20">
      <c r="T697" s="940"/>
    </row>
    <row r="698" spans="20:20">
      <c r="T698" s="940"/>
    </row>
    <row r="699" spans="20:20">
      <c r="T699" s="940"/>
    </row>
    <row r="700" spans="20:20">
      <c r="T700" s="940"/>
    </row>
    <row r="701" spans="20:20">
      <c r="T701" s="940"/>
    </row>
    <row r="702" spans="20:20">
      <c r="T702" s="940"/>
    </row>
    <row r="703" spans="20:20">
      <c r="T703" s="940"/>
    </row>
    <row r="704" spans="20:20">
      <c r="T704" s="940"/>
    </row>
    <row r="705" spans="20:20">
      <c r="T705" s="940"/>
    </row>
    <row r="706" spans="20:20">
      <c r="T706" s="940"/>
    </row>
    <row r="707" spans="20:20">
      <c r="T707" s="940"/>
    </row>
    <row r="708" spans="20:20">
      <c r="T708" s="940"/>
    </row>
    <row r="709" spans="20:20">
      <c r="T709" s="940"/>
    </row>
    <row r="710" spans="20:20">
      <c r="T710" s="940"/>
    </row>
    <row r="711" spans="20:20">
      <c r="T711" s="940"/>
    </row>
    <row r="712" spans="20:20">
      <c r="T712" s="940"/>
    </row>
    <row r="713" spans="20:20">
      <c r="T713" s="940"/>
    </row>
    <row r="714" spans="20:20">
      <c r="T714" s="940"/>
    </row>
    <row r="715" spans="20:20">
      <c r="T715" s="940"/>
    </row>
    <row r="716" spans="20:20">
      <c r="T716" s="940"/>
    </row>
    <row r="717" spans="20:20">
      <c r="T717" s="940"/>
    </row>
    <row r="718" spans="20:20">
      <c r="T718" s="940"/>
    </row>
    <row r="719" spans="20:20">
      <c r="T719" s="940"/>
    </row>
    <row r="720" spans="20:20">
      <c r="T720" s="940"/>
    </row>
    <row r="721" spans="20:20">
      <c r="T721" s="940"/>
    </row>
    <row r="722" spans="20:20">
      <c r="T722" s="940"/>
    </row>
    <row r="723" spans="20:20">
      <c r="T723" s="940"/>
    </row>
    <row r="724" spans="20:20">
      <c r="T724" s="940"/>
    </row>
    <row r="725" spans="20:20">
      <c r="T725" s="940"/>
    </row>
    <row r="726" spans="20:20">
      <c r="T726" s="940"/>
    </row>
    <row r="727" spans="20:20">
      <c r="T727" s="940"/>
    </row>
    <row r="728" spans="20:20">
      <c r="T728" s="940"/>
    </row>
    <row r="729" spans="20:20">
      <c r="T729" s="940"/>
    </row>
  </sheetData>
  <dataValidations count="1">
    <dataValidation type="list" allowBlank="1" showInputMessage="1" showErrorMessage="1" sqref="L3:L299 L344:L65904" xr:uid="{72B97A6E-2E5A-455F-B97F-87FEDA55A6D5}">
      <formula1>MF_Categories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3" tint="0.79998168889431442"/>
  </sheetPr>
  <dimension ref="A1:C511"/>
  <sheetViews>
    <sheetView showGridLines="0" topLeftCell="A141" zoomScaleNormal="100" workbookViewId="0">
      <selection activeCell="B160" sqref="B160"/>
    </sheetView>
  </sheetViews>
  <sheetFormatPr baseColWidth="10" defaultColWidth="8.83203125" defaultRowHeight="14"/>
  <cols>
    <col min="1" max="1" width="21" style="9" bestFit="1" customWidth="1"/>
    <col min="2" max="2" width="51.83203125" style="9" customWidth="1"/>
    <col min="3" max="3" width="34.33203125" style="9" customWidth="1"/>
  </cols>
  <sheetData>
    <row r="1" spans="1:3">
      <c r="A1" s="66" t="s">
        <v>226</v>
      </c>
      <c r="B1" s="66" t="s">
        <v>227</v>
      </c>
      <c r="C1" s="67" t="s">
        <v>228</v>
      </c>
    </row>
    <row r="2" spans="1:3" ht="24" customHeight="1">
      <c r="A2" s="65" t="s">
        <v>229</v>
      </c>
      <c r="B2" s="65" t="s">
        <v>230</v>
      </c>
      <c r="C2" s="68" t="s">
        <v>231</v>
      </c>
    </row>
    <row r="3" spans="1:3">
      <c r="A3" s="69">
        <v>1010</v>
      </c>
      <c r="B3" s="70" t="s">
        <v>519</v>
      </c>
      <c r="C3" s="71" t="s">
        <v>520</v>
      </c>
    </row>
    <row r="4" spans="1:3">
      <c r="A4" s="72">
        <v>1011</v>
      </c>
      <c r="B4" s="73" t="s">
        <v>521</v>
      </c>
      <c r="C4" s="74" t="s">
        <v>520</v>
      </c>
    </row>
    <row r="5" spans="1:3">
      <c r="A5" s="72">
        <v>1011.001</v>
      </c>
      <c r="B5" s="73" t="s">
        <v>522</v>
      </c>
      <c r="C5" s="74" t="s">
        <v>520</v>
      </c>
    </row>
    <row r="6" spans="1:3">
      <c r="A6" s="72">
        <v>1012</v>
      </c>
      <c r="B6" s="73" t="s">
        <v>523</v>
      </c>
      <c r="C6" s="74" t="s">
        <v>520</v>
      </c>
    </row>
    <row r="7" spans="1:3">
      <c r="A7" s="72">
        <v>1012.001</v>
      </c>
      <c r="B7" s="73" t="s">
        <v>524</v>
      </c>
      <c r="C7" s="74" t="s">
        <v>520</v>
      </c>
    </row>
    <row r="8" spans="1:3">
      <c r="A8" s="72">
        <v>1013</v>
      </c>
      <c r="B8" s="73" t="s">
        <v>525</v>
      </c>
      <c r="C8" s="74" t="s">
        <v>520</v>
      </c>
    </row>
    <row r="9" spans="1:3">
      <c r="A9" s="72">
        <v>1014</v>
      </c>
      <c r="B9" s="73" t="s">
        <v>526</v>
      </c>
      <c r="C9" s="74" t="s">
        <v>520</v>
      </c>
    </row>
    <row r="10" spans="1:3">
      <c r="A10" s="72">
        <v>1014.001</v>
      </c>
      <c r="B10" s="73" t="s">
        <v>527</v>
      </c>
      <c r="C10" s="74" t="s">
        <v>520</v>
      </c>
    </row>
    <row r="11" spans="1:3">
      <c r="A11" s="72">
        <v>1015</v>
      </c>
      <c r="B11" s="73" t="s">
        <v>528</v>
      </c>
      <c r="C11" s="74" t="s">
        <v>520</v>
      </c>
    </row>
    <row r="12" spans="1:3">
      <c r="A12" s="72">
        <v>1016</v>
      </c>
      <c r="B12" s="73" t="s">
        <v>529</v>
      </c>
      <c r="C12" s="74" t="s">
        <v>520</v>
      </c>
    </row>
    <row r="13" spans="1:3">
      <c r="A13" s="72">
        <v>1020</v>
      </c>
      <c r="B13" s="73" t="s">
        <v>530</v>
      </c>
      <c r="C13" s="74" t="s">
        <v>520</v>
      </c>
    </row>
    <row r="14" spans="1:3">
      <c r="A14" s="72">
        <v>1023</v>
      </c>
      <c r="B14" s="73" t="s">
        <v>531</v>
      </c>
      <c r="C14" s="74" t="s">
        <v>520</v>
      </c>
    </row>
    <row r="15" spans="1:3">
      <c r="A15" s="72">
        <v>1024</v>
      </c>
      <c r="B15" s="73" t="s">
        <v>532</v>
      </c>
      <c r="C15" s="74" t="s">
        <v>520</v>
      </c>
    </row>
    <row r="16" spans="1:3">
      <c r="A16" s="72">
        <v>1025</v>
      </c>
      <c r="B16" s="73" t="s">
        <v>533</v>
      </c>
      <c r="C16" s="74" t="s">
        <v>520</v>
      </c>
    </row>
    <row r="17" spans="1:3">
      <c r="A17" s="72">
        <v>1025.0999999999999</v>
      </c>
      <c r="B17" s="73" t="s">
        <v>534</v>
      </c>
      <c r="C17" s="74" t="s">
        <v>520</v>
      </c>
    </row>
    <row r="18" spans="1:3">
      <c r="A18" s="72">
        <v>1026</v>
      </c>
      <c r="B18" s="73" t="s">
        <v>535</v>
      </c>
      <c r="C18" s="74" t="s">
        <v>520</v>
      </c>
    </row>
    <row r="19" spans="1:3">
      <c r="A19" s="72">
        <v>1030</v>
      </c>
      <c r="B19" s="73" t="s">
        <v>536</v>
      </c>
      <c r="C19" s="74" t="s">
        <v>520</v>
      </c>
    </row>
    <row r="20" spans="1:3">
      <c r="A20" s="72">
        <v>1040</v>
      </c>
      <c r="B20" s="73" t="s">
        <v>537</v>
      </c>
      <c r="C20" s="74" t="s">
        <v>520</v>
      </c>
    </row>
    <row r="21" spans="1:3">
      <c r="A21" s="72">
        <v>1050</v>
      </c>
      <c r="B21" s="73" t="s">
        <v>538</v>
      </c>
      <c r="C21" s="74" t="s">
        <v>520</v>
      </c>
    </row>
    <row r="22" spans="1:3">
      <c r="A22" s="72">
        <v>1060</v>
      </c>
      <c r="B22" s="73" t="s">
        <v>539</v>
      </c>
      <c r="C22" s="74" t="s">
        <v>520</v>
      </c>
    </row>
    <row r="23" spans="1:3">
      <c r="A23" s="72">
        <v>1100</v>
      </c>
      <c r="B23" s="73" t="s">
        <v>540</v>
      </c>
      <c r="C23" s="74" t="s">
        <v>520</v>
      </c>
    </row>
    <row r="24" spans="1:3">
      <c r="A24" s="72">
        <v>1105</v>
      </c>
      <c r="B24" s="73" t="s">
        <v>541</v>
      </c>
      <c r="C24" s="74" t="s">
        <v>520</v>
      </c>
    </row>
    <row r="25" spans="1:3">
      <c r="A25" s="72">
        <v>1110</v>
      </c>
      <c r="B25" s="73" t="s">
        <v>542</v>
      </c>
      <c r="C25" s="74" t="s">
        <v>520</v>
      </c>
    </row>
    <row r="26" spans="1:3">
      <c r="A26" s="72">
        <v>1115</v>
      </c>
      <c r="B26" s="75" t="s">
        <v>543</v>
      </c>
      <c r="C26" s="74" t="s">
        <v>520</v>
      </c>
    </row>
    <row r="27" spans="1:3">
      <c r="A27" s="72">
        <v>1120</v>
      </c>
      <c r="B27" s="75" t="s">
        <v>544</v>
      </c>
      <c r="C27" s="74" t="s">
        <v>520</v>
      </c>
    </row>
    <row r="28" spans="1:3">
      <c r="A28" s="72">
        <v>1125</v>
      </c>
      <c r="B28" s="75" t="s">
        <v>545</v>
      </c>
      <c r="C28" s="74" t="s">
        <v>520</v>
      </c>
    </row>
    <row r="29" spans="1:3">
      <c r="A29" s="72">
        <v>1200</v>
      </c>
      <c r="B29" s="73" t="s">
        <v>546</v>
      </c>
      <c r="C29" s="74" t="s">
        <v>547</v>
      </c>
    </row>
    <row r="30" spans="1:3">
      <c r="A30" s="72">
        <v>1202</v>
      </c>
      <c r="B30" s="73" t="s">
        <v>548</v>
      </c>
      <c r="C30" s="74" t="s">
        <v>547</v>
      </c>
    </row>
    <row r="31" spans="1:3">
      <c r="A31" s="72">
        <v>1205</v>
      </c>
      <c r="B31" s="73" t="s">
        <v>549</v>
      </c>
      <c r="C31" s="74" t="s">
        <v>547</v>
      </c>
    </row>
    <row r="32" spans="1:3">
      <c r="A32" s="72">
        <v>1225</v>
      </c>
      <c r="B32" s="73" t="s">
        <v>550</v>
      </c>
      <c r="C32" s="74" t="s">
        <v>547</v>
      </c>
    </row>
    <row r="33" spans="1:3">
      <c r="A33" s="72">
        <v>1275</v>
      </c>
      <c r="B33" s="73" t="s">
        <v>551</v>
      </c>
      <c r="C33" s="74" t="s">
        <v>547</v>
      </c>
    </row>
    <row r="34" spans="1:3">
      <c r="A34" s="72">
        <v>1300</v>
      </c>
      <c r="B34" s="73" t="s">
        <v>552</v>
      </c>
      <c r="C34" s="74" t="s">
        <v>553</v>
      </c>
    </row>
    <row r="35" spans="1:3">
      <c r="A35" s="72">
        <v>1305</v>
      </c>
      <c r="B35" s="73" t="s">
        <v>554</v>
      </c>
      <c r="C35" s="74" t="s">
        <v>553</v>
      </c>
    </row>
    <row r="36" spans="1:3">
      <c r="A36" s="72">
        <v>1325</v>
      </c>
      <c r="B36" s="73" t="s">
        <v>555</v>
      </c>
      <c r="C36" s="74" t="s">
        <v>553</v>
      </c>
    </row>
    <row r="37" spans="1:3">
      <c r="A37" s="72">
        <v>1330</v>
      </c>
      <c r="B37" s="73" t="s">
        <v>556</v>
      </c>
      <c r="C37" s="74" t="s">
        <v>553</v>
      </c>
    </row>
    <row r="38" spans="1:3">
      <c r="A38" s="72">
        <v>1335</v>
      </c>
      <c r="B38" s="73" t="s">
        <v>557</v>
      </c>
      <c r="C38" s="74" t="s">
        <v>553</v>
      </c>
    </row>
    <row r="39" spans="1:3">
      <c r="A39" s="72">
        <v>1336</v>
      </c>
      <c r="B39" s="73" t="s">
        <v>558</v>
      </c>
      <c r="C39" s="74" t="s">
        <v>553</v>
      </c>
    </row>
    <row r="40" spans="1:3">
      <c r="A40" s="76">
        <v>1350</v>
      </c>
      <c r="B40" s="77" t="s">
        <v>559</v>
      </c>
      <c r="C40" s="78" t="s">
        <v>553</v>
      </c>
    </row>
    <row r="41" spans="1:3">
      <c r="A41" s="72">
        <v>1375</v>
      </c>
      <c r="B41" s="73" t="s">
        <v>560</v>
      </c>
      <c r="C41" s="74" t="s">
        <v>547</v>
      </c>
    </row>
    <row r="42" spans="1:3">
      <c r="A42" s="72">
        <v>1400</v>
      </c>
      <c r="B42" s="73" t="s">
        <v>561</v>
      </c>
      <c r="C42" s="74" t="s">
        <v>553</v>
      </c>
    </row>
    <row r="43" spans="1:3">
      <c r="A43" s="72">
        <v>1405</v>
      </c>
      <c r="B43" s="73" t="s">
        <v>562</v>
      </c>
      <c r="C43" s="74" t="s">
        <v>553</v>
      </c>
    </row>
    <row r="44" spans="1:3">
      <c r="A44" s="72">
        <v>1410</v>
      </c>
      <c r="B44" s="73" t="s">
        <v>563</v>
      </c>
      <c r="C44" s="74" t="s">
        <v>553</v>
      </c>
    </row>
    <row r="45" spans="1:3">
      <c r="A45" s="72">
        <v>1410.1</v>
      </c>
      <c r="B45" s="73" t="s">
        <v>564</v>
      </c>
      <c r="C45" s="74" t="s">
        <v>553</v>
      </c>
    </row>
    <row r="46" spans="1:3">
      <c r="A46" s="72">
        <v>1410.2</v>
      </c>
      <c r="B46" s="73" t="s">
        <v>565</v>
      </c>
      <c r="C46" s="74" t="s">
        <v>553</v>
      </c>
    </row>
    <row r="47" spans="1:3">
      <c r="A47" s="72">
        <v>1415</v>
      </c>
      <c r="B47" s="73" t="s">
        <v>566</v>
      </c>
      <c r="C47" s="74" t="s">
        <v>553</v>
      </c>
    </row>
    <row r="48" spans="1:3">
      <c r="A48" s="72">
        <v>1420</v>
      </c>
      <c r="B48" s="73" t="s">
        <v>567</v>
      </c>
      <c r="C48" s="74" t="s">
        <v>553</v>
      </c>
    </row>
    <row r="49" spans="1:3">
      <c r="A49" s="72">
        <v>1600</v>
      </c>
      <c r="B49" s="73" t="s">
        <v>568</v>
      </c>
      <c r="C49" s="74" t="s">
        <v>569</v>
      </c>
    </row>
    <row r="50" spans="1:3">
      <c r="A50" s="72">
        <v>1601</v>
      </c>
      <c r="B50" s="73" t="s">
        <v>570</v>
      </c>
      <c r="C50" s="74" t="s">
        <v>569</v>
      </c>
    </row>
    <row r="51" spans="1:3">
      <c r="A51" s="72">
        <v>1601.1</v>
      </c>
      <c r="B51" s="73" t="s">
        <v>571</v>
      </c>
      <c r="C51" s="74" t="s">
        <v>569</v>
      </c>
    </row>
    <row r="52" spans="1:3">
      <c r="A52" s="72">
        <v>1602</v>
      </c>
      <c r="B52" s="73" t="s">
        <v>572</v>
      </c>
      <c r="C52" s="74" t="s">
        <v>573</v>
      </c>
    </row>
    <row r="53" spans="1:3">
      <c r="A53" s="72">
        <v>1605</v>
      </c>
      <c r="B53" s="73" t="s">
        <v>574</v>
      </c>
      <c r="C53" s="74" t="s">
        <v>569</v>
      </c>
    </row>
    <row r="54" spans="1:3">
      <c r="A54" s="72">
        <v>1610</v>
      </c>
      <c r="B54" s="73" t="s">
        <v>575</v>
      </c>
      <c r="C54" s="74" t="s">
        <v>569</v>
      </c>
    </row>
    <row r="55" spans="1:3">
      <c r="A55" s="72">
        <v>1610.1</v>
      </c>
      <c r="B55" s="73" t="s">
        <v>576</v>
      </c>
      <c r="C55" s="74" t="s">
        <v>569</v>
      </c>
    </row>
    <row r="56" spans="1:3">
      <c r="A56" s="72">
        <v>1620</v>
      </c>
      <c r="B56" s="73" t="s">
        <v>577</v>
      </c>
      <c r="C56" s="74" t="s">
        <v>573</v>
      </c>
    </row>
    <row r="57" spans="1:3">
      <c r="A57" s="72">
        <v>1630</v>
      </c>
      <c r="B57" s="73" t="s">
        <v>578</v>
      </c>
      <c r="C57" s="74" t="s">
        <v>569</v>
      </c>
    </row>
    <row r="58" spans="1:3">
      <c r="A58" s="72">
        <v>1630.1</v>
      </c>
      <c r="B58" s="73" t="s">
        <v>579</v>
      </c>
      <c r="C58" s="74" t="s">
        <v>569</v>
      </c>
    </row>
    <row r="59" spans="1:3">
      <c r="A59" s="72">
        <v>1630.2</v>
      </c>
      <c r="B59" s="73" t="s">
        <v>580</v>
      </c>
      <c r="C59" s="74" t="s">
        <v>569</v>
      </c>
    </row>
    <row r="60" spans="1:3">
      <c r="A60" s="72">
        <v>1630.3</v>
      </c>
      <c r="B60" s="73" t="s">
        <v>581</v>
      </c>
      <c r="C60" s="74" t="s">
        <v>569</v>
      </c>
    </row>
    <row r="61" spans="1:3">
      <c r="A61" s="72">
        <v>1630.4</v>
      </c>
      <c r="B61" s="73" t="s">
        <v>582</v>
      </c>
      <c r="C61" s="74" t="s">
        <v>569</v>
      </c>
    </row>
    <row r="62" spans="1:3">
      <c r="A62" s="72">
        <v>1630.5</v>
      </c>
      <c r="B62" s="73" t="s">
        <v>583</v>
      </c>
      <c r="C62" s="74" t="s">
        <v>569</v>
      </c>
    </row>
    <row r="63" spans="1:3">
      <c r="A63" s="72">
        <v>1640</v>
      </c>
      <c r="B63" s="73" t="s">
        <v>584</v>
      </c>
      <c r="C63" s="74" t="s">
        <v>573</v>
      </c>
    </row>
    <row r="64" spans="1:3">
      <c r="A64" s="72">
        <v>1650</v>
      </c>
      <c r="B64" s="73" t="s">
        <v>585</v>
      </c>
      <c r="C64" s="74" t="s">
        <v>569</v>
      </c>
    </row>
    <row r="65" spans="1:3">
      <c r="A65" s="72">
        <v>1650.1</v>
      </c>
      <c r="B65" s="73" t="s">
        <v>586</v>
      </c>
      <c r="C65" s="74" t="s">
        <v>569</v>
      </c>
    </row>
    <row r="66" spans="1:3">
      <c r="A66" s="72">
        <v>1650.2</v>
      </c>
      <c r="B66" s="73" t="s">
        <v>587</v>
      </c>
      <c r="C66" s="74" t="s">
        <v>569</v>
      </c>
    </row>
    <row r="67" spans="1:3">
      <c r="A67" s="72">
        <v>1660</v>
      </c>
      <c r="B67" s="73" t="s">
        <v>588</v>
      </c>
      <c r="C67" s="74" t="s">
        <v>573</v>
      </c>
    </row>
    <row r="68" spans="1:3">
      <c r="A68" s="72">
        <v>1670</v>
      </c>
      <c r="B68" s="73" t="s">
        <v>589</v>
      </c>
      <c r="C68" s="74" t="s">
        <v>569</v>
      </c>
    </row>
    <row r="69" spans="1:3">
      <c r="A69" s="72">
        <v>1675</v>
      </c>
      <c r="B69" s="73" t="s">
        <v>590</v>
      </c>
      <c r="C69" s="74" t="s">
        <v>569</v>
      </c>
    </row>
    <row r="70" spans="1:3">
      <c r="A70" s="72">
        <v>1676</v>
      </c>
      <c r="B70" s="73" t="s">
        <v>591</v>
      </c>
      <c r="C70" s="74" t="s">
        <v>573</v>
      </c>
    </row>
    <row r="71" spans="1:3">
      <c r="A71" s="72">
        <v>1680</v>
      </c>
      <c r="B71" s="73" t="s">
        <v>592</v>
      </c>
      <c r="C71" s="74" t="s">
        <v>573</v>
      </c>
    </row>
    <row r="72" spans="1:3">
      <c r="A72" s="72">
        <v>1681</v>
      </c>
      <c r="B72" s="73" t="s">
        <v>15</v>
      </c>
      <c r="C72" s="74" t="s">
        <v>569</v>
      </c>
    </row>
    <row r="73" spans="1:3">
      <c r="A73" s="72">
        <v>1682</v>
      </c>
      <c r="B73" s="73" t="s">
        <v>593</v>
      </c>
      <c r="C73" s="74" t="s">
        <v>569</v>
      </c>
    </row>
    <row r="74" spans="1:3">
      <c r="A74" s="72">
        <v>1682.1</v>
      </c>
      <c r="B74" s="73" t="s">
        <v>594</v>
      </c>
      <c r="C74" s="74" t="s">
        <v>569</v>
      </c>
    </row>
    <row r="75" spans="1:3">
      <c r="A75" s="72">
        <v>1690</v>
      </c>
      <c r="B75" s="73" t="s">
        <v>595</v>
      </c>
      <c r="C75" s="74" t="s">
        <v>569</v>
      </c>
    </row>
    <row r="76" spans="1:3">
      <c r="A76" s="72">
        <v>1700</v>
      </c>
      <c r="B76" s="73" t="s">
        <v>596</v>
      </c>
      <c r="C76" s="74" t="s">
        <v>573</v>
      </c>
    </row>
    <row r="77" spans="1:3">
      <c r="A77" s="72">
        <v>1710</v>
      </c>
      <c r="B77" s="73" t="s">
        <v>597</v>
      </c>
      <c r="C77" s="74" t="s">
        <v>569</v>
      </c>
    </row>
    <row r="78" spans="1:3">
      <c r="A78" s="72">
        <v>1742</v>
      </c>
      <c r="B78" s="73" t="s">
        <v>598</v>
      </c>
      <c r="C78" s="74" t="s">
        <v>599</v>
      </c>
    </row>
    <row r="79" spans="1:3" hidden="1">
      <c r="A79" s="72">
        <v>1743</v>
      </c>
      <c r="B79" s="73" t="s">
        <v>600</v>
      </c>
      <c r="C79" s="74" t="s">
        <v>599</v>
      </c>
    </row>
    <row r="80" spans="1:3" hidden="1">
      <c r="A80" s="72">
        <v>1748</v>
      </c>
      <c r="B80" s="73" t="s">
        <v>601</v>
      </c>
      <c r="C80" s="74" t="s">
        <v>599</v>
      </c>
    </row>
    <row r="81" spans="1:3" hidden="1">
      <c r="A81" s="72">
        <v>1749</v>
      </c>
      <c r="B81" s="73" t="s">
        <v>602</v>
      </c>
      <c r="C81" s="74" t="s">
        <v>599</v>
      </c>
    </row>
    <row r="82" spans="1:3" hidden="1">
      <c r="A82" s="72">
        <v>1750</v>
      </c>
      <c r="B82" s="73" t="s">
        <v>603</v>
      </c>
      <c r="C82" s="74" t="s">
        <v>599</v>
      </c>
    </row>
    <row r="83" spans="1:3" hidden="1">
      <c r="A83" s="72">
        <v>1755</v>
      </c>
      <c r="B83" s="73" t="s">
        <v>604</v>
      </c>
      <c r="C83" s="74" t="s">
        <v>599</v>
      </c>
    </row>
    <row r="84" spans="1:3" hidden="1">
      <c r="A84" s="72">
        <v>1756</v>
      </c>
      <c r="B84" s="73" t="s">
        <v>605</v>
      </c>
      <c r="C84" s="74" t="s">
        <v>599</v>
      </c>
    </row>
    <row r="85" spans="1:3" hidden="1">
      <c r="A85" s="72">
        <v>1757</v>
      </c>
      <c r="B85" s="73" t="s">
        <v>606</v>
      </c>
      <c r="C85" s="74" t="s">
        <v>599</v>
      </c>
    </row>
    <row r="86" spans="1:3" hidden="1">
      <c r="A86" s="72">
        <v>1758</v>
      </c>
      <c r="B86" s="73" t="s">
        <v>607</v>
      </c>
      <c r="C86" s="74" t="s">
        <v>599</v>
      </c>
    </row>
    <row r="87" spans="1:3">
      <c r="A87" s="72">
        <v>1760</v>
      </c>
      <c r="B87" s="73" t="s">
        <v>608</v>
      </c>
      <c r="C87" s="74" t="s">
        <v>599</v>
      </c>
    </row>
    <row r="88" spans="1:3">
      <c r="A88" s="72">
        <v>1765</v>
      </c>
      <c r="B88" s="73" t="s">
        <v>609</v>
      </c>
      <c r="C88" s="74" t="s">
        <v>599</v>
      </c>
    </row>
    <row r="89" spans="1:3">
      <c r="A89" s="72">
        <v>1810</v>
      </c>
      <c r="B89" s="73" t="s">
        <v>610</v>
      </c>
      <c r="C89" s="74" t="s">
        <v>599</v>
      </c>
    </row>
    <row r="90" spans="1:3">
      <c r="A90" s="72">
        <v>1815</v>
      </c>
      <c r="B90" s="73" t="s">
        <v>611</v>
      </c>
      <c r="C90" s="74" t="s">
        <v>599</v>
      </c>
    </row>
    <row r="91" spans="1:3">
      <c r="A91" s="72">
        <v>1825</v>
      </c>
      <c r="B91" s="73" t="s">
        <v>612</v>
      </c>
      <c r="C91" s="74" t="s">
        <v>599</v>
      </c>
    </row>
    <row r="92" spans="1:3">
      <c r="A92" s="72">
        <v>1850</v>
      </c>
      <c r="B92" s="73" t="s">
        <v>613</v>
      </c>
      <c r="C92" s="74" t="s">
        <v>599</v>
      </c>
    </row>
    <row r="93" spans="1:3">
      <c r="A93" s="72">
        <v>1900</v>
      </c>
      <c r="B93" s="73" t="s">
        <v>614</v>
      </c>
      <c r="C93" s="74" t="s">
        <v>599</v>
      </c>
    </row>
    <row r="94" spans="1:3">
      <c r="A94" s="72">
        <v>2000</v>
      </c>
      <c r="B94" s="73" t="s">
        <v>615</v>
      </c>
      <c r="C94" s="74" t="s">
        <v>616</v>
      </c>
    </row>
    <row r="95" spans="1:3">
      <c r="A95" s="72">
        <v>2005</v>
      </c>
      <c r="B95" s="73" t="s">
        <v>617</v>
      </c>
      <c r="C95" s="74" t="s">
        <v>616</v>
      </c>
    </row>
    <row r="96" spans="1:3">
      <c r="A96" s="72">
        <v>2011</v>
      </c>
      <c r="B96" s="73" t="s">
        <v>618</v>
      </c>
      <c r="C96" s="74" t="s">
        <v>616</v>
      </c>
    </row>
    <row r="97" spans="1:3">
      <c r="A97" s="72">
        <v>2015</v>
      </c>
      <c r="B97" s="73" t="s">
        <v>619</v>
      </c>
      <c r="C97" s="74" t="s">
        <v>616</v>
      </c>
    </row>
    <row r="98" spans="1:3">
      <c r="A98" s="72">
        <v>2020</v>
      </c>
      <c r="B98" s="73" t="s">
        <v>620</v>
      </c>
      <c r="C98" s="74" t="s">
        <v>616</v>
      </c>
    </row>
    <row r="99" spans="1:3">
      <c r="A99" s="72">
        <v>2025</v>
      </c>
      <c r="B99" s="73" t="s">
        <v>621</v>
      </c>
      <c r="C99" s="74" t="s">
        <v>616</v>
      </c>
    </row>
    <row r="100" spans="1:3">
      <c r="A100" s="72">
        <v>2030</v>
      </c>
      <c r="B100" s="73" t="s">
        <v>622</v>
      </c>
      <c r="C100" s="74" t="s">
        <v>616</v>
      </c>
    </row>
    <row r="101" spans="1:3">
      <c r="A101" s="72">
        <v>2050</v>
      </c>
      <c r="B101" s="73" t="s">
        <v>623</v>
      </c>
      <c r="C101" s="74" t="s">
        <v>616</v>
      </c>
    </row>
    <row r="102" spans="1:3">
      <c r="A102" s="72">
        <v>2070</v>
      </c>
      <c r="B102" s="73" t="s">
        <v>624</v>
      </c>
      <c r="C102" s="74" t="s">
        <v>625</v>
      </c>
    </row>
    <row r="103" spans="1:3">
      <c r="A103" s="72">
        <v>2075</v>
      </c>
      <c r="B103" s="73" t="s">
        <v>626</v>
      </c>
      <c r="C103" s="74" t="s">
        <v>625</v>
      </c>
    </row>
    <row r="104" spans="1:3">
      <c r="A104" s="72">
        <v>2077</v>
      </c>
      <c r="B104" s="73" t="s">
        <v>627</v>
      </c>
      <c r="C104" s="74" t="s">
        <v>625</v>
      </c>
    </row>
    <row r="105" spans="1:3">
      <c r="A105" s="72">
        <v>2080</v>
      </c>
      <c r="B105" s="73" t="s">
        <v>628</v>
      </c>
      <c r="C105" s="74" t="s">
        <v>625</v>
      </c>
    </row>
    <row r="106" spans="1:3">
      <c r="A106" s="72">
        <v>2085</v>
      </c>
      <c r="B106" s="73" t="s">
        <v>629</v>
      </c>
      <c r="C106" s="74" t="s">
        <v>625</v>
      </c>
    </row>
    <row r="107" spans="1:3">
      <c r="A107" s="72">
        <v>2090</v>
      </c>
      <c r="B107" s="73" t="s">
        <v>630</v>
      </c>
      <c r="C107" s="74" t="s">
        <v>625</v>
      </c>
    </row>
    <row r="108" spans="1:3">
      <c r="A108" s="72">
        <v>2100</v>
      </c>
      <c r="B108" s="73" t="s">
        <v>631</v>
      </c>
      <c r="C108" s="74" t="s">
        <v>625</v>
      </c>
    </row>
    <row r="109" spans="1:3">
      <c r="A109" s="72">
        <v>2102</v>
      </c>
      <c r="B109" s="73" t="s">
        <v>632</v>
      </c>
      <c r="C109" s="74" t="s">
        <v>625</v>
      </c>
    </row>
    <row r="110" spans="1:3">
      <c r="A110" s="72">
        <v>2103</v>
      </c>
      <c r="B110" s="73" t="s">
        <v>633</v>
      </c>
      <c r="C110" s="74" t="s">
        <v>625</v>
      </c>
    </row>
    <row r="111" spans="1:3">
      <c r="A111" s="72">
        <v>2104</v>
      </c>
      <c r="B111" s="73" t="s">
        <v>634</v>
      </c>
      <c r="C111" s="74" t="s">
        <v>625</v>
      </c>
    </row>
    <row r="112" spans="1:3">
      <c r="A112" s="72">
        <v>2105</v>
      </c>
      <c r="B112" s="73" t="s">
        <v>635</v>
      </c>
      <c r="C112" s="74" t="s">
        <v>625</v>
      </c>
    </row>
    <row r="113" spans="1:3">
      <c r="A113" s="72">
        <v>2140</v>
      </c>
      <c r="B113" s="73" t="s">
        <v>636</v>
      </c>
      <c r="C113" s="74" t="s">
        <v>625</v>
      </c>
    </row>
    <row r="114" spans="1:3">
      <c r="A114" s="72">
        <v>2200</v>
      </c>
      <c r="B114" s="73" t="s">
        <v>637</v>
      </c>
      <c r="C114" s="74" t="s">
        <v>625</v>
      </c>
    </row>
    <row r="115" spans="1:3">
      <c r="A115" s="72">
        <v>2202</v>
      </c>
      <c r="B115" s="73" t="s">
        <v>638</v>
      </c>
      <c r="C115" s="74" t="s">
        <v>625</v>
      </c>
    </row>
    <row r="116" spans="1:3">
      <c r="A116" s="72">
        <v>2208</v>
      </c>
      <c r="B116" s="73" t="s">
        <v>639</v>
      </c>
      <c r="C116" s="74" t="s">
        <v>625</v>
      </c>
    </row>
    <row r="117" spans="1:3">
      <c r="A117" s="72">
        <v>2210</v>
      </c>
      <c r="B117" s="73" t="s">
        <v>640</v>
      </c>
      <c r="C117" s="74" t="s">
        <v>625</v>
      </c>
    </row>
    <row r="118" spans="1:3">
      <c r="A118" s="72">
        <v>2211</v>
      </c>
      <c r="B118" s="73" t="s">
        <v>641</v>
      </c>
      <c r="C118" s="74" t="s">
        <v>625</v>
      </c>
    </row>
    <row r="119" spans="1:3">
      <c r="A119" s="72">
        <v>2212</v>
      </c>
      <c r="B119" s="73" t="s">
        <v>642</v>
      </c>
      <c r="C119" s="74" t="s">
        <v>625</v>
      </c>
    </row>
    <row r="120" spans="1:3">
      <c r="A120" s="72">
        <v>2213</v>
      </c>
      <c r="B120" s="73" t="s">
        <v>643</v>
      </c>
      <c r="C120" s="74" t="s">
        <v>625</v>
      </c>
    </row>
    <row r="121" spans="1:3">
      <c r="A121" s="79">
        <v>2215</v>
      </c>
      <c r="B121" s="73" t="s">
        <v>644</v>
      </c>
      <c r="C121" s="74" t="s">
        <v>625</v>
      </c>
    </row>
    <row r="122" spans="1:3">
      <c r="A122" s="79">
        <v>2220</v>
      </c>
      <c r="B122" s="73" t="s">
        <v>645</v>
      </c>
      <c r="C122" s="74" t="s">
        <v>625</v>
      </c>
    </row>
    <row r="123" spans="1:3">
      <c r="A123" s="79">
        <v>2223</v>
      </c>
      <c r="B123" s="73" t="s">
        <v>646</v>
      </c>
      <c r="C123" s="74" t="s">
        <v>625</v>
      </c>
    </row>
    <row r="124" spans="1:3">
      <c r="A124" s="79">
        <v>2225</v>
      </c>
      <c r="B124" s="73" t="s">
        <v>647</v>
      </c>
      <c r="C124" s="74" t="s">
        <v>625</v>
      </c>
    </row>
    <row r="125" spans="1:3">
      <c r="A125" s="79" t="s">
        <v>648</v>
      </c>
      <c r="B125" s="73" t="s">
        <v>649</v>
      </c>
      <c r="C125" s="74" t="s">
        <v>625</v>
      </c>
    </row>
    <row r="126" spans="1:3">
      <c r="A126" s="79">
        <v>2260</v>
      </c>
      <c r="B126" s="73" t="s">
        <v>650</v>
      </c>
      <c r="C126" s="74" t="s">
        <v>625</v>
      </c>
    </row>
    <row r="127" spans="1:3">
      <c r="A127" s="72">
        <v>2290</v>
      </c>
      <c r="B127" s="73" t="s">
        <v>651</v>
      </c>
      <c r="C127" s="74" t="s">
        <v>625</v>
      </c>
    </row>
    <row r="128" spans="1:3">
      <c r="A128" s="72">
        <v>2300</v>
      </c>
      <c r="B128" s="73" t="s">
        <v>652</v>
      </c>
      <c r="C128" s="74" t="s">
        <v>625</v>
      </c>
    </row>
    <row r="129" spans="1:3">
      <c r="A129" s="72">
        <v>2500</v>
      </c>
      <c r="B129" s="73" t="s">
        <v>653</v>
      </c>
      <c r="C129" s="74" t="s">
        <v>654</v>
      </c>
    </row>
    <row r="130" spans="1:3">
      <c r="A130" s="72">
        <v>2510</v>
      </c>
      <c r="B130" s="73" t="s">
        <v>655</v>
      </c>
      <c r="C130" s="74" t="s">
        <v>654</v>
      </c>
    </row>
    <row r="131" spans="1:3">
      <c r="A131" s="72">
        <v>2520</v>
      </c>
      <c r="B131" s="73" t="s">
        <v>656</v>
      </c>
      <c r="C131" s="74" t="s">
        <v>654</v>
      </c>
    </row>
    <row r="132" spans="1:3">
      <c r="A132" s="72">
        <v>2550</v>
      </c>
      <c r="B132" s="73" t="s">
        <v>657</v>
      </c>
      <c r="C132" s="74" t="s">
        <v>654</v>
      </c>
    </row>
    <row r="133" spans="1:3">
      <c r="A133" s="80">
        <v>2550.0010000000002</v>
      </c>
      <c r="B133" s="81" t="s">
        <v>658</v>
      </c>
      <c r="C133" s="82" t="s">
        <v>654</v>
      </c>
    </row>
    <row r="134" spans="1:3">
      <c r="A134" s="72">
        <v>2550.1</v>
      </c>
      <c r="B134" s="73" t="s">
        <v>659</v>
      </c>
      <c r="C134" s="74" t="s">
        <v>654</v>
      </c>
    </row>
    <row r="135" spans="1:3">
      <c r="A135" s="72">
        <v>2550.1999999999998</v>
      </c>
      <c r="B135" s="73" t="s">
        <v>660</v>
      </c>
      <c r="C135" s="74" t="s">
        <v>654</v>
      </c>
    </row>
    <row r="136" spans="1:3">
      <c r="A136" s="72">
        <v>2551</v>
      </c>
      <c r="B136" s="73" t="s">
        <v>661</v>
      </c>
      <c r="C136" s="74" t="s">
        <v>654</v>
      </c>
    </row>
    <row r="137" spans="1:3">
      <c r="A137" s="72">
        <v>2555</v>
      </c>
      <c r="B137" s="73" t="s">
        <v>662</v>
      </c>
      <c r="C137" s="74" t="s">
        <v>654</v>
      </c>
    </row>
    <row r="138" spans="1:3">
      <c r="A138" s="72">
        <v>2560</v>
      </c>
      <c r="B138" s="73" t="s">
        <v>663</v>
      </c>
      <c r="C138" s="74" t="s">
        <v>654</v>
      </c>
    </row>
    <row r="139" spans="1:3">
      <c r="A139" s="72">
        <v>3010</v>
      </c>
      <c r="B139" s="73" t="s">
        <v>664</v>
      </c>
      <c r="C139" s="74" t="s">
        <v>665</v>
      </c>
    </row>
    <row r="140" spans="1:3">
      <c r="A140" s="72">
        <v>3012</v>
      </c>
      <c r="B140" s="73" t="s">
        <v>666</v>
      </c>
      <c r="C140" s="74" t="s">
        <v>665</v>
      </c>
    </row>
    <row r="141" spans="1:3">
      <c r="A141" s="72">
        <v>3013</v>
      </c>
      <c r="B141" s="73" t="s">
        <v>667</v>
      </c>
      <c r="C141" s="74" t="s">
        <v>665</v>
      </c>
    </row>
    <row r="142" spans="1:3">
      <c r="A142" s="72">
        <v>3020</v>
      </c>
      <c r="B142" s="73" t="s">
        <v>668</v>
      </c>
      <c r="C142" s="74" t="s">
        <v>665</v>
      </c>
    </row>
    <row r="143" spans="1:3">
      <c r="A143" s="72">
        <v>3021</v>
      </c>
      <c r="B143" s="73" t="s">
        <v>669</v>
      </c>
      <c r="C143" s="74" t="s">
        <v>665</v>
      </c>
    </row>
    <row r="144" spans="1:3">
      <c r="A144" s="72">
        <v>3022</v>
      </c>
      <c r="B144" s="73" t="s">
        <v>670</v>
      </c>
      <c r="C144" s="74" t="s">
        <v>665</v>
      </c>
    </row>
    <row r="145" spans="1:3">
      <c r="A145" s="72">
        <v>3025</v>
      </c>
      <c r="B145" s="73" t="s">
        <v>671</v>
      </c>
      <c r="C145" s="74" t="s">
        <v>665</v>
      </c>
    </row>
    <row r="146" spans="1:3">
      <c r="A146" s="72">
        <v>3026</v>
      </c>
      <c r="B146" s="73" t="s">
        <v>672</v>
      </c>
      <c r="C146" s="74" t="s">
        <v>665</v>
      </c>
    </row>
    <row r="147" spans="1:3">
      <c r="A147" s="72">
        <v>3050</v>
      </c>
      <c r="B147" s="73" t="s">
        <v>673</v>
      </c>
      <c r="C147" s="74" t="s">
        <v>665</v>
      </c>
    </row>
    <row r="148" spans="1:3">
      <c r="A148" s="72">
        <v>3910</v>
      </c>
      <c r="B148" s="73" t="s">
        <v>674</v>
      </c>
      <c r="C148" s="74" t="s">
        <v>675</v>
      </c>
    </row>
    <row r="149" spans="1:3">
      <c r="A149" s="83">
        <v>4010</v>
      </c>
      <c r="B149" s="84" t="s">
        <v>70</v>
      </c>
      <c r="C149" s="85" t="s">
        <v>232</v>
      </c>
    </row>
    <row r="150" spans="1:3">
      <c r="A150" s="72">
        <v>4011</v>
      </c>
      <c r="B150" s="73" t="s">
        <v>233</v>
      </c>
      <c r="C150" s="74" t="s">
        <v>232</v>
      </c>
    </row>
    <row r="151" spans="1:3">
      <c r="A151" s="72">
        <v>4012</v>
      </c>
      <c r="B151" s="73" t="s">
        <v>676</v>
      </c>
      <c r="C151" s="74" t="s">
        <v>232</v>
      </c>
    </row>
    <row r="152" spans="1:3">
      <c r="A152" s="72">
        <v>4020</v>
      </c>
      <c r="B152" s="73" t="s">
        <v>234</v>
      </c>
      <c r="C152" s="74" t="s">
        <v>232</v>
      </c>
    </row>
    <row r="153" spans="1:3">
      <c r="A153" s="72">
        <v>4030</v>
      </c>
      <c r="B153" s="73" t="s">
        <v>235</v>
      </c>
      <c r="C153" s="74" t="s">
        <v>232</v>
      </c>
    </row>
    <row r="154" spans="1:3">
      <c r="A154" s="72">
        <v>4400</v>
      </c>
      <c r="B154" s="73" t="s">
        <v>237</v>
      </c>
      <c r="C154" s="74" t="s">
        <v>236</v>
      </c>
    </row>
    <row r="155" spans="1:3">
      <c r="A155" s="72">
        <v>4405</v>
      </c>
      <c r="B155" s="73" t="s">
        <v>238</v>
      </c>
      <c r="C155" s="74" t="s">
        <v>236</v>
      </c>
    </row>
    <row r="156" spans="1:3">
      <c r="A156" s="86">
        <v>4406</v>
      </c>
      <c r="B156" s="87" t="s">
        <v>239</v>
      </c>
      <c r="C156" s="88" t="s">
        <v>236</v>
      </c>
    </row>
    <row r="157" spans="1:3">
      <c r="A157" s="72">
        <v>4410</v>
      </c>
      <c r="B157" s="73" t="s">
        <v>240</v>
      </c>
      <c r="C157" s="74" t="s">
        <v>236</v>
      </c>
    </row>
    <row r="158" spans="1:3">
      <c r="A158" s="72">
        <v>4510</v>
      </c>
      <c r="B158" s="73" t="s">
        <v>47</v>
      </c>
      <c r="C158" s="74" t="s">
        <v>236</v>
      </c>
    </row>
    <row r="159" spans="1:3">
      <c r="A159" s="72">
        <v>4511</v>
      </c>
      <c r="B159" s="73" t="s">
        <v>677</v>
      </c>
      <c r="C159" s="74" t="s">
        <v>236</v>
      </c>
    </row>
    <row r="160" spans="1:3">
      <c r="A160" s="72">
        <v>4515</v>
      </c>
      <c r="B160" s="73" t="s">
        <v>241</v>
      </c>
      <c r="C160" s="74" t="s">
        <v>236</v>
      </c>
    </row>
    <row r="161" spans="1:3">
      <c r="A161" s="72">
        <v>4520</v>
      </c>
      <c r="B161" s="73" t="s">
        <v>242</v>
      </c>
      <c r="C161" s="74" t="s">
        <v>236</v>
      </c>
    </row>
    <row r="162" spans="1:3">
      <c r="A162" s="72">
        <v>4525</v>
      </c>
      <c r="B162" s="73" t="s">
        <v>243</v>
      </c>
      <c r="C162" s="74" t="s">
        <v>236</v>
      </c>
    </row>
    <row r="163" spans="1:3">
      <c r="A163" s="72">
        <v>4530</v>
      </c>
      <c r="B163" s="73" t="s">
        <v>678</v>
      </c>
      <c r="C163" s="74" t="s">
        <v>236</v>
      </c>
    </row>
    <row r="164" spans="1:3">
      <c r="A164" s="72">
        <v>4535</v>
      </c>
      <c r="B164" s="73" t="s">
        <v>244</v>
      </c>
      <c r="C164" s="74" t="s">
        <v>236</v>
      </c>
    </row>
    <row r="165" spans="1:3">
      <c r="A165" s="72">
        <v>4540</v>
      </c>
      <c r="B165" s="73" t="s">
        <v>245</v>
      </c>
      <c r="C165" s="74" t="s">
        <v>236</v>
      </c>
    </row>
    <row r="166" spans="1:3">
      <c r="A166" s="72">
        <v>4541</v>
      </c>
      <c r="B166" s="73" t="s">
        <v>246</v>
      </c>
      <c r="C166" s="74" t="s">
        <v>236</v>
      </c>
    </row>
    <row r="167" spans="1:3">
      <c r="A167" s="86">
        <v>4545</v>
      </c>
      <c r="B167" s="87" t="s">
        <v>247</v>
      </c>
      <c r="C167" s="88" t="s">
        <v>236</v>
      </c>
    </row>
    <row r="168" spans="1:3">
      <c r="A168" s="72">
        <v>4550</v>
      </c>
      <c r="B168" s="73" t="s">
        <v>248</v>
      </c>
      <c r="C168" s="74" t="s">
        <v>236</v>
      </c>
    </row>
    <row r="169" spans="1:3">
      <c r="A169" s="72">
        <v>4560</v>
      </c>
      <c r="B169" s="73" t="s">
        <v>249</v>
      </c>
      <c r="C169" s="74" t="s">
        <v>236</v>
      </c>
    </row>
    <row r="170" spans="1:3">
      <c r="A170" s="72">
        <v>4590</v>
      </c>
      <c r="B170" s="73" t="s">
        <v>250</v>
      </c>
      <c r="C170" s="74" t="s">
        <v>236</v>
      </c>
    </row>
    <row r="171" spans="1:3">
      <c r="A171" s="72">
        <v>4700</v>
      </c>
      <c r="B171" s="73" t="s">
        <v>679</v>
      </c>
      <c r="C171" s="74" t="s">
        <v>251</v>
      </c>
    </row>
    <row r="172" spans="1:3">
      <c r="A172" s="72">
        <v>4710</v>
      </c>
      <c r="B172" s="73" t="s">
        <v>894</v>
      </c>
      <c r="C172" s="74" t="s">
        <v>251</v>
      </c>
    </row>
    <row r="173" spans="1:3">
      <c r="A173" s="72">
        <v>4810</v>
      </c>
      <c r="B173" s="73" t="s">
        <v>252</v>
      </c>
      <c r="C173" s="74" t="s">
        <v>251</v>
      </c>
    </row>
    <row r="174" spans="1:3">
      <c r="A174" s="72">
        <v>4811</v>
      </c>
      <c r="B174" s="73" t="s">
        <v>253</v>
      </c>
      <c r="C174" s="74" t="s">
        <v>251</v>
      </c>
    </row>
    <row r="175" spans="1:3">
      <c r="A175" s="72">
        <v>4813</v>
      </c>
      <c r="B175" s="73" t="s">
        <v>254</v>
      </c>
      <c r="C175" s="74" t="s">
        <v>251</v>
      </c>
    </row>
    <row r="176" spans="1:3">
      <c r="A176" s="72">
        <v>4815</v>
      </c>
      <c r="B176" s="73" t="s">
        <v>255</v>
      </c>
      <c r="C176" s="74" t="s">
        <v>251</v>
      </c>
    </row>
    <row r="177" spans="1:3">
      <c r="A177" s="72">
        <v>4816</v>
      </c>
      <c r="B177" s="73" t="s">
        <v>680</v>
      </c>
      <c r="C177" s="74" t="s">
        <v>251</v>
      </c>
    </row>
    <row r="178" spans="1:3">
      <c r="A178" s="72">
        <v>4817</v>
      </c>
      <c r="B178" s="73" t="s">
        <v>479</v>
      </c>
      <c r="C178" s="74" t="s">
        <v>251</v>
      </c>
    </row>
    <row r="179" spans="1:3">
      <c r="A179" s="72">
        <v>4825</v>
      </c>
      <c r="B179" s="73" t="s">
        <v>256</v>
      </c>
      <c r="C179" s="74" t="s">
        <v>251</v>
      </c>
    </row>
    <row r="180" spans="1:3">
      <c r="A180" s="72">
        <v>4826</v>
      </c>
      <c r="B180" s="73" t="s">
        <v>257</v>
      </c>
      <c r="C180" s="74" t="s">
        <v>251</v>
      </c>
    </row>
    <row r="181" spans="1:3">
      <c r="A181" s="72">
        <v>4830</v>
      </c>
      <c r="B181" s="73" t="s">
        <v>258</v>
      </c>
      <c r="C181" s="74" t="s">
        <v>251</v>
      </c>
    </row>
    <row r="182" spans="1:3">
      <c r="A182" s="72">
        <v>4835</v>
      </c>
      <c r="B182" s="73" t="s">
        <v>259</v>
      </c>
      <c r="C182" s="74" t="s">
        <v>251</v>
      </c>
    </row>
    <row r="183" spans="1:3">
      <c r="A183" s="72">
        <v>4836</v>
      </c>
      <c r="B183" s="73" t="s">
        <v>681</v>
      </c>
      <c r="C183" s="74" t="s">
        <v>251</v>
      </c>
    </row>
    <row r="184" spans="1:3">
      <c r="A184" s="72">
        <v>4840</v>
      </c>
      <c r="B184" s="73" t="s">
        <v>260</v>
      </c>
      <c r="C184" s="74" t="s">
        <v>251</v>
      </c>
    </row>
    <row r="185" spans="1:3">
      <c r="A185" s="72">
        <v>4845</v>
      </c>
      <c r="B185" s="73" t="s">
        <v>131</v>
      </c>
      <c r="C185" s="74" t="s">
        <v>251</v>
      </c>
    </row>
    <row r="186" spans="1:3">
      <c r="A186" s="72">
        <v>4853</v>
      </c>
      <c r="B186" s="73" t="s">
        <v>261</v>
      </c>
      <c r="C186" s="74" t="s">
        <v>251</v>
      </c>
    </row>
    <row r="187" spans="1:3">
      <c r="A187" s="72">
        <v>4854</v>
      </c>
      <c r="B187" s="73" t="s">
        <v>262</v>
      </c>
      <c r="C187" s="74" t="s">
        <v>251</v>
      </c>
    </row>
    <row r="188" spans="1:3">
      <c r="A188" s="72">
        <v>4855</v>
      </c>
      <c r="B188" s="73" t="s">
        <v>263</v>
      </c>
      <c r="C188" s="74" t="s">
        <v>251</v>
      </c>
    </row>
    <row r="189" spans="1:3">
      <c r="A189" s="72">
        <v>4856</v>
      </c>
      <c r="B189" s="73" t="s">
        <v>264</v>
      </c>
      <c r="C189" s="74" t="s">
        <v>251</v>
      </c>
    </row>
    <row r="190" spans="1:3">
      <c r="A190" s="72">
        <v>4857</v>
      </c>
      <c r="B190" s="73" t="s">
        <v>265</v>
      </c>
      <c r="C190" s="74" t="s">
        <v>251</v>
      </c>
    </row>
    <row r="191" spans="1:3">
      <c r="A191" s="72">
        <v>4858</v>
      </c>
      <c r="B191" s="73" t="s">
        <v>266</v>
      </c>
      <c r="C191" s="74" t="s">
        <v>251</v>
      </c>
    </row>
    <row r="192" spans="1:3">
      <c r="A192" s="72">
        <v>4859</v>
      </c>
      <c r="B192" s="73" t="s">
        <v>267</v>
      </c>
      <c r="C192" s="74" t="s">
        <v>251</v>
      </c>
    </row>
    <row r="193" spans="1:3">
      <c r="A193" s="72">
        <v>4860</v>
      </c>
      <c r="B193" s="73" t="s">
        <v>268</v>
      </c>
      <c r="C193" s="74" t="s">
        <v>251</v>
      </c>
    </row>
    <row r="194" spans="1:3">
      <c r="A194" s="72">
        <v>4861</v>
      </c>
      <c r="B194" s="73" t="s">
        <v>682</v>
      </c>
      <c r="C194" s="74" t="s">
        <v>251</v>
      </c>
    </row>
    <row r="195" spans="1:3">
      <c r="A195" s="72">
        <v>4865</v>
      </c>
      <c r="B195" s="73" t="s">
        <v>269</v>
      </c>
      <c r="C195" s="74" t="s">
        <v>251</v>
      </c>
    </row>
    <row r="196" spans="1:3">
      <c r="A196" s="72">
        <v>4870</v>
      </c>
      <c r="B196" s="73" t="s">
        <v>270</v>
      </c>
      <c r="C196" s="74" t="s">
        <v>251</v>
      </c>
    </row>
    <row r="197" spans="1:3">
      <c r="A197" s="72">
        <v>4875</v>
      </c>
      <c r="B197" s="73" t="s">
        <v>271</v>
      </c>
      <c r="C197" s="74" t="s">
        <v>251</v>
      </c>
    </row>
    <row r="198" spans="1:3">
      <c r="A198" s="72">
        <v>4876</v>
      </c>
      <c r="B198" s="73" t="s">
        <v>272</v>
      </c>
      <c r="C198" s="74" t="s">
        <v>251</v>
      </c>
    </row>
    <row r="199" spans="1:3">
      <c r="A199" s="89">
        <v>4879</v>
      </c>
      <c r="B199" s="90" t="s">
        <v>683</v>
      </c>
      <c r="C199" s="91" t="s">
        <v>251</v>
      </c>
    </row>
    <row r="200" spans="1:3">
      <c r="A200" s="72">
        <v>4880</v>
      </c>
      <c r="B200" s="73" t="s">
        <v>201</v>
      </c>
      <c r="C200" s="74" t="s">
        <v>251</v>
      </c>
    </row>
    <row r="201" spans="1:3">
      <c r="A201" s="72">
        <v>4885</v>
      </c>
      <c r="B201" s="73" t="s">
        <v>273</v>
      </c>
      <c r="C201" s="74" t="s">
        <v>251</v>
      </c>
    </row>
    <row r="202" spans="1:3">
      <c r="A202" s="72">
        <v>4890</v>
      </c>
      <c r="B202" s="73" t="s">
        <v>274</v>
      </c>
      <c r="C202" s="74" t="s">
        <v>251</v>
      </c>
    </row>
    <row r="203" spans="1:3">
      <c r="A203" s="72">
        <v>4891</v>
      </c>
      <c r="B203" s="73" t="s">
        <v>484</v>
      </c>
      <c r="C203" s="74" t="s">
        <v>251</v>
      </c>
    </row>
    <row r="204" spans="1:3">
      <c r="A204" s="72">
        <v>4895</v>
      </c>
      <c r="B204" s="73" t="s">
        <v>50</v>
      </c>
      <c r="C204" s="74" t="s">
        <v>251</v>
      </c>
    </row>
    <row r="205" spans="1:3">
      <c r="A205" s="72">
        <v>4900</v>
      </c>
      <c r="B205" s="73" t="s">
        <v>275</v>
      </c>
      <c r="C205" s="74" t="s">
        <v>251</v>
      </c>
    </row>
    <row r="206" spans="1:3">
      <c r="A206" s="72">
        <v>4900.1000000000004</v>
      </c>
      <c r="B206" s="73" t="s">
        <v>684</v>
      </c>
      <c r="C206" s="74" t="s">
        <v>251</v>
      </c>
    </row>
    <row r="207" spans="1:3">
      <c r="A207" s="72">
        <v>4901</v>
      </c>
      <c r="B207" s="73" t="s">
        <v>130</v>
      </c>
      <c r="C207" s="74" t="s">
        <v>251</v>
      </c>
    </row>
    <row r="208" spans="1:3">
      <c r="A208" s="72">
        <v>4905</v>
      </c>
      <c r="B208" s="73" t="s">
        <v>276</v>
      </c>
      <c r="C208" s="74" t="s">
        <v>251</v>
      </c>
    </row>
    <row r="209" spans="1:3">
      <c r="A209" s="72">
        <v>4910</v>
      </c>
      <c r="B209" s="73" t="s">
        <v>277</v>
      </c>
      <c r="C209" s="74" t="s">
        <v>251</v>
      </c>
    </row>
    <row r="210" spans="1:3">
      <c r="A210" s="72">
        <v>4911</v>
      </c>
      <c r="B210" s="73" t="s">
        <v>485</v>
      </c>
      <c r="C210" s="74" t="s">
        <v>251</v>
      </c>
    </row>
    <row r="211" spans="1:3">
      <c r="A211" s="72">
        <v>4912</v>
      </c>
      <c r="B211" s="73" t="s">
        <v>278</v>
      </c>
      <c r="C211" s="74" t="s">
        <v>251</v>
      </c>
    </row>
    <row r="212" spans="1:3">
      <c r="A212" s="72">
        <v>4920</v>
      </c>
      <c r="B212" s="73" t="s">
        <v>279</v>
      </c>
      <c r="C212" s="74" t="s">
        <v>251</v>
      </c>
    </row>
    <row r="213" spans="1:3">
      <c r="A213" s="72">
        <v>4930</v>
      </c>
      <c r="B213" s="73" t="s">
        <v>280</v>
      </c>
      <c r="C213" s="74" t="s">
        <v>251</v>
      </c>
    </row>
    <row r="214" spans="1:3">
      <c r="A214" s="72">
        <v>4932</v>
      </c>
      <c r="B214" s="73" t="s">
        <v>281</v>
      </c>
      <c r="C214" s="74" t="s">
        <v>251</v>
      </c>
    </row>
    <row r="215" spans="1:3">
      <c r="A215" s="72">
        <v>4940</v>
      </c>
      <c r="B215" s="73" t="s">
        <v>282</v>
      </c>
      <c r="C215" s="74" t="s">
        <v>251</v>
      </c>
    </row>
    <row r="216" spans="1:3">
      <c r="A216" s="72">
        <v>4942</v>
      </c>
      <c r="B216" s="73" t="s">
        <v>283</v>
      </c>
      <c r="C216" s="74" t="s">
        <v>251</v>
      </c>
    </row>
    <row r="217" spans="1:3">
      <c r="A217" s="72">
        <v>4945</v>
      </c>
      <c r="B217" s="73" t="s">
        <v>486</v>
      </c>
      <c r="C217" s="74" t="s">
        <v>251</v>
      </c>
    </row>
    <row r="218" spans="1:3">
      <c r="A218" s="72">
        <v>4950</v>
      </c>
      <c r="B218" s="73" t="s">
        <v>284</v>
      </c>
      <c r="C218" s="74" t="s">
        <v>251</v>
      </c>
    </row>
    <row r="219" spans="1:3">
      <c r="A219" s="72">
        <v>4970</v>
      </c>
      <c r="B219" s="73" t="s">
        <v>285</v>
      </c>
      <c r="C219" s="74" t="s">
        <v>251</v>
      </c>
    </row>
    <row r="220" spans="1:3">
      <c r="A220" s="72">
        <v>4980</v>
      </c>
      <c r="B220" s="73" t="s">
        <v>132</v>
      </c>
      <c r="C220" s="74" t="s">
        <v>251</v>
      </c>
    </row>
    <row r="221" spans="1:3">
      <c r="A221" s="72">
        <v>4990</v>
      </c>
      <c r="B221" s="73" t="s">
        <v>286</v>
      </c>
      <c r="C221" s="74" t="s">
        <v>251</v>
      </c>
    </row>
    <row r="222" spans="1:3">
      <c r="A222" s="72">
        <v>4991</v>
      </c>
      <c r="B222" s="73" t="s">
        <v>685</v>
      </c>
      <c r="C222" s="74" t="s">
        <v>251</v>
      </c>
    </row>
    <row r="223" spans="1:3">
      <c r="A223" s="79" t="s">
        <v>686</v>
      </c>
      <c r="B223" s="73" t="s">
        <v>687</v>
      </c>
      <c r="C223" s="74" t="s">
        <v>251</v>
      </c>
    </row>
    <row r="224" spans="1:3">
      <c r="A224" s="72">
        <v>5011</v>
      </c>
      <c r="B224" s="73" t="s">
        <v>688</v>
      </c>
      <c r="C224" s="74" t="s">
        <v>287</v>
      </c>
    </row>
    <row r="225" spans="1:3">
      <c r="A225" s="72">
        <v>5020</v>
      </c>
      <c r="B225" s="73" t="s">
        <v>470</v>
      </c>
      <c r="C225" s="74" t="s">
        <v>287</v>
      </c>
    </row>
    <row r="226" spans="1:3">
      <c r="A226" s="72">
        <v>5035</v>
      </c>
      <c r="B226" s="73" t="s">
        <v>288</v>
      </c>
      <c r="C226" s="74" t="s">
        <v>287</v>
      </c>
    </row>
    <row r="227" spans="1:3">
      <c r="A227" s="79" t="s">
        <v>689</v>
      </c>
      <c r="B227" s="73" t="s">
        <v>690</v>
      </c>
      <c r="C227" s="74" t="s">
        <v>287</v>
      </c>
    </row>
    <row r="228" spans="1:3">
      <c r="A228" s="72">
        <v>5040</v>
      </c>
      <c r="B228" s="73" t="s">
        <v>471</v>
      </c>
      <c r="C228" s="74" t="s">
        <v>287</v>
      </c>
    </row>
    <row r="229" spans="1:3">
      <c r="A229" s="72">
        <v>5040.1000000000004</v>
      </c>
      <c r="B229" s="73" t="s">
        <v>691</v>
      </c>
      <c r="C229" s="74" t="s">
        <v>287</v>
      </c>
    </row>
    <row r="230" spans="1:3">
      <c r="A230" s="72">
        <v>5041</v>
      </c>
      <c r="B230" s="73" t="s">
        <v>472</v>
      </c>
      <c r="C230" s="74" t="s">
        <v>287</v>
      </c>
    </row>
    <row r="231" spans="1:3">
      <c r="A231" s="72">
        <v>5045</v>
      </c>
      <c r="B231" s="73" t="s">
        <v>289</v>
      </c>
      <c r="C231" s="74" t="s">
        <v>287</v>
      </c>
    </row>
    <row r="232" spans="1:3">
      <c r="A232" s="72">
        <v>5050</v>
      </c>
      <c r="B232" s="73" t="s">
        <v>290</v>
      </c>
      <c r="C232" s="74" t="s">
        <v>287</v>
      </c>
    </row>
    <row r="233" spans="1:3">
      <c r="A233" s="72">
        <v>5110</v>
      </c>
      <c r="B233" s="73" t="s">
        <v>473</v>
      </c>
      <c r="C233" s="74" t="s">
        <v>287</v>
      </c>
    </row>
    <row r="234" spans="1:3">
      <c r="A234" s="72" t="s">
        <v>692</v>
      </c>
      <c r="B234" s="73" t="s">
        <v>693</v>
      </c>
      <c r="C234" s="74" t="s">
        <v>287</v>
      </c>
    </row>
    <row r="235" spans="1:3">
      <c r="A235" s="72">
        <v>5120</v>
      </c>
      <c r="B235" s="73" t="s">
        <v>474</v>
      </c>
      <c r="C235" s="74" t="s">
        <v>287</v>
      </c>
    </row>
    <row r="236" spans="1:3">
      <c r="A236" s="80" t="s">
        <v>694</v>
      </c>
      <c r="B236" s="81" t="s">
        <v>695</v>
      </c>
      <c r="C236" s="82" t="s">
        <v>287</v>
      </c>
    </row>
    <row r="237" spans="1:3">
      <c r="A237" s="72">
        <v>5230</v>
      </c>
      <c r="B237" s="73" t="s">
        <v>291</v>
      </c>
      <c r="C237" s="74" t="s">
        <v>287</v>
      </c>
    </row>
    <row r="238" spans="1:3">
      <c r="A238" s="72">
        <v>5265</v>
      </c>
      <c r="B238" s="73" t="s">
        <v>292</v>
      </c>
      <c r="C238" s="74" t="s">
        <v>287</v>
      </c>
    </row>
    <row r="239" spans="1:3">
      <c r="A239" s="72">
        <v>5269</v>
      </c>
      <c r="B239" s="73" t="s">
        <v>696</v>
      </c>
      <c r="C239" s="74" t="s">
        <v>287</v>
      </c>
    </row>
    <row r="240" spans="1:3">
      <c r="A240" s="72">
        <v>5270</v>
      </c>
      <c r="B240" s="73" t="s">
        <v>293</v>
      </c>
      <c r="C240" s="74" t="s">
        <v>294</v>
      </c>
    </row>
    <row r="241" spans="1:3">
      <c r="A241" s="72">
        <v>5280</v>
      </c>
      <c r="B241" s="73" t="s">
        <v>295</v>
      </c>
      <c r="C241" s="74" t="s">
        <v>294</v>
      </c>
    </row>
    <row r="242" spans="1:3">
      <c r="A242" s="72">
        <v>5290</v>
      </c>
      <c r="B242" s="73" t="s">
        <v>296</v>
      </c>
      <c r="C242" s="74" t="s">
        <v>294</v>
      </c>
    </row>
    <row r="243" spans="1:3">
      <c r="A243" s="72">
        <v>5300</v>
      </c>
      <c r="B243" s="73" t="s">
        <v>151</v>
      </c>
      <c r="C243" s="74" t="s">
        <v>294</v>
      </c>
    </row>
    <row r="244" spans="1:3">
      <c r="A244" s="76">
        <v>6009.1</v>
      </c>
      <c r="B244" s="77" t="s">
        <v>297</v>
      </c>
      <c r="C244" s="78" t="s">
        <v>294</v>
      </c>
    </row>
    <row r="245" spans="1:3">
      <c r="A245" s="80">
        <v>6009.2</v>
      </c>
      <c r="B245" s="81" t="s">
        <v>697</v>
      </c>
      <c r="C245" s="82" t="s">
        <v>294</v>
      </c>
    </row>
    <row r="246" spans="1:3">
      <c r="A246" s="72">
        <v>6010</v>
      </c>
      <c r="B246" s="73" t="s">
        <v>298</v>
      </c>
      <c r="C246" s="74" t="s">
        <v>294</v>
      </c>
    </row>
    <row r="247" spans="1:3">
      <c r="A247" s="72">
        <v>6020</v>
      </c>
      <c r="B247" s="73" t="s">
        <v>299</v>
      </c>
      <c r="C247" s="74" t="s">
        <v>294</v>
      </c>
    </row>
    <row r="248" spans="1:3">
      <c r="A248" s="72">
        <v>6100</v>
      </c>
      <c r="B248" s="73" t="s">
        <v>300</v>
      </c>
      <c r="C248" s="74" t="s">
        <v>294</v>
      </c>
    </row>
    <row r="249" spans="1:3">
      <c r="A249" s="72">
        <v>6120</v>
      </c>
      <c r="B249" s="73" t="s">
        <v>301</v>
      </c>
      <c r="C249" s="74" t="s">
        <v>294</v>
      </c>
    </row>
    <row r="250" spans="1:3">
      <c r="A250" s="72">
        <v>6121</v>
      </c>
      <c r="B250" s="73" t="s">
        <v>302</v>
      </c>
      <c r="C250" s="74" t="s">
        <v>294</v>
      </c>
    </row>
    <row r="251" spans="1:3">
      <c r="A251" s="72">
        <v>6130</v>
      </c>
      <c r="B251" s="73" t="s">
        <v>303</v>
      </c>
      <c r="C251" s="74" t="s">
        <v>294</v>
      </c>
    </row>
    <row r="252" spans="1:3">
      <c r="A252" s="72">
        <v>6140</v>
      </c>
      <c r="B252" s="73" t="s">
        <v>304</v>
      </c>
      <c r="C252" s="74" t="s">
        <v>294</v>
      </c>
    </row>
    <row r="253" spans="1:3">
      <c r="A253" s="72">
        <v>6145.1</v>
      </c>
      <c r="B253" s="73" t="s">
        <v>305</v>
      </c>
      <c r="C253" s="74" t="s">
        <v>294</v>
      </c>
    </row>
    <row r="254" spans="1:3">
      <c r="A254" s="72">
        <v>6146</v>
      </c>
      <c r="B254" s="73" t="s">
        <v>306</v>
      </c>
      <c r="C254" s="74" t="s">
        <v>294</v>
      </c>
    </row>
    <row r="255" spans="1:3">
      <c r="A255" s="72">
        <v>6160</v>
      </c>
      <c r="B255" s="73" t="s">
        <v>307</v>
      </c>
      <c r="C255" s="74" t="s">
        <v>294</v>
      </c>
    </row>
    <row r="256" spans="1:3">
      <c r="A256" s="72">
        <v>6165</v>
      </c>
      <c r="B256" s="73" t="s">
        <v>308</v>
      </c>
      <c r="C256" s="74" t="s">
        <v>294</v>
      </c>
    </row>
    <row r="257" spans="1:3">
      <c r="A257" s="80">
        <v>6165.1</v>
      </c>
      <c r="B257" s="81" t="s">
        <v>698</v>
      </c>
      <c r="C257" s="82" t="s">
        <v>294</v>
      </c>
    </row>
    <row r="258" spans="1:3">
      <c r="A258" s="72">
        <v>6170</v>
      </c>
      <c r="B258" s="73" t="s">
        <v>309</v>
      </c>
      <c r="C258" s="74" t="s">
        <v>294</v>
      </c>
    </row>
    <row r="259" spans="1:3">
      <c r="A259" s="72">
        <v>6180</v>
      </c>
      <c r="B259" s="73" t="s">
        <v>310</v>
      </c>
      <c r="C259" s="74" t="s">
        <v>294</v>
      </c>
    </row>
    <row r="260" spans="1:3">
      <c r="A260" s="72">
        <v>6190</v>
      </c>
      <c r="B260" s="73" t="s">
        <v>311</v>
      </c>
      <c r="C260" s="74" t="s">
        <v>294</v>
      </c>
    </row>
    <row r="261" spans="1:3">
      <c r="A261" s="72">
        <v>6200</v>
      </c>
      <c r="B261" s="73" t="s">
        <v>312</v>
      </c>
      <c r="C261" s="74" t="s">
        <v>294</v>
      </c>
    </row>
    <row r="262" spans="1:3">
      <c r="A262" s="72">
        <v>6210</v>
      </c>
      <c r="B262" s="73" t="s">
        <v>313</v>
      </c>
      <c r="C262" s="74" t="s">
        <v>294</v>
      </c>
    </row>
    <row r="263" spans="1:3">
      <c r="A263" s="72">
        <v>6220</v>
      </c>
      <c r="B263" s="73" t="s">
        <v>152</v>
      </c>
      <c r="C263" s="74" t="s">
        <v>294</v>
      </c>
    </row>
    <row r="264" spans="1:3">
      <c r="A264" s="72">
        <v>6225</v>
      </c>
      <c r="B264" s="73" t="s">
        <v>314</v>
      </c>
      <c r="C264" s="74" t="s">
        <v>294</v>
      </c>
    </row>
    <row r="265" spans="1:3">
      <c r="A265" s="72">
        <v>6230</v>
      </c>
      <c r="B265" s="73" t="s">
        <v>17</v>
      </c>
      <c r="C265" s="74" t="s">
        <v>294</v>
      </c>
    </row>
    <row r="266" spans="1:3">
      <c r="A266" s="72">
        <v>6230.1</v>
      </c>
      <c r="B266" s="73" t="s">
        <v>315</v>
      </c>
      <c r="C266" s="74" t="s">
        <v>294</v>
      </c>
    </row>
    <row r="267" spans="1:3">
      <c r="A267" s="72">
        <v>6240</v>
      </c>
      <c r="B267" s="73" t="s">
        <v>316</v>
      </c>
      <c r="C267" s="74" t="s">
        <v>294</v>
      </c>
    </row>
    <row r="268" spans="1:3">
      <c r="A268" s="72">
        <v>6250</v>
      </c>
      <c r="B268" s="73" t="s">
        <v>317</v>
      </c>
      <c r="C268" s="74" t="s">
        <v>294</v>
      </c>
    </row>
    <row r="269" spans="1:3">
      <c r="A269" s="72">
        <v>6260</v>
      </c>
      <c r="B269" s="73" t="s">
        <v>16</v>
      </c>
      <c r="C269" s="74" t="s">
        <v>294</v>
      </c>
    </row>
    <row r="270" spans="1:3">
      <c r="A270" s="72">
        <v>6270</v>
      </c>
      <c r="B270" s="73" t="s">
        <v>318</v>
      </c>
      <c r="C270" s="74" t="s">
        <v>294</v>
      </c>
    </row>
    <row r="271" spans="1:3">
      <c r="A271" s="72">
        <v>6280</v>
      </c>
      <c r="B271" s="73" t="s">
        <v>319</v>
      </c>
      <c r="C271" s="74" t="s">
        <v>294</v>
      </c>
    </row>
    <row r="272" spans="1:3">
      <c r="A272" s="72">
        <v>6290</v>
      </c>
      <c r="B272" s="73" t="s">
        <v>468</v>
      </c>
      <c r="C272" s="74" t="s">
        <v>294</v>
      </c>
    </row>
    <row r="273" spans="1:3">
      <c r="A273" s="72">
        <v>6300</v>
      </c>
      <c r="B273" s="73" t="s">
        <v>320</v>
      </c>
      <c r="C273" s="74" t="s">
        <v>294</v>
      </c>
    </row>
    <row r="274" spans="1:3">
      <c r="A274" s="72">
        <v>6310</v>
      </c>
      <c r="B274" s="73" t="s">
        <v>321</v>
      </c>
      <c r="C274" s="74" t="s">
        <v>294</v>
      </c>
    </row>
    <row r="275" spans="1:3">
      <c r="A275" s="72">
        <v>6320</v>
      </c>
      <c r="B275" s="73" t="s">
        <v>19</v>
      </c>
      <c r="C275" s="74" t="s">
        <v>294</v>
      </c>
    </row>
    <row r="276" spans="1:3">
      <c r="A276" s="72">
        <v>6330</v>
      </c>
      <c r="B276" s="73" t="s">
        <v>322</v>
      </c>
      <c r="C276" s="74" t="s">
        <v>294</v>
      </c>
    </row>
    <row r="277" spans="1:3">
      <c r="A277" s="72">
        <v>6331</v>
      </c>
      <c r="B277" s="73" t="s">
        <v>323</v>
      </c>
      <c r="C277" s="74" t="s">
        <v>294</v>
      </c>
    </row>
    <row r="278" spans="1:3">
      <c r="A278" s="72">
        <v>6340</v>
      </c>
      <c r="B278" s="73" t="s">
        <v>324</v>
      </c>
      <c r="C278" s="74" t="s">
        <v>294</v>
      </c>
    </row>
    <row r="279" spans="1:3">
      <c r="A279" s="72">
        <v>6350</v>
      </c>
      <c r="B279" s="73" t="s">
        <v>325</v>
      </c>
      <c r="C279" s="74" t="s">
        <v>294</v>
      </c>
    </row>
    <row r="280" spans="1:3">
      <c r="A280" s="72">
        <v>6351</v>
      </c>
      <c r="B280" s="73" t="s">
        <v>185</v>
      </c>
      <c r="C280" s="74" t="s">
        <v>294</v>
      </c>
    </row>
    <row r="281" spans="1:3">
      <c r="A281" s="72">
        <v>6360</v>
      </c>
      <c r="B281" s="73" t="s">
        <v>326</v>
      </c>
      <c r="C281" s="74" t="s">
        <v>294</v>
      </c>
    </row>
    <row r="282" spans="1:3">
      <c r="A282" s="72">
        <v>6367</v>
      </c>
      <c r="B282" s="73" t="s">
        <v>327</v>
      </c>
      <c r="C282" s="74" t="s">
        <v>294</v>
      </c>
    </row>
    <row r="283" spans="1:3">
      <c r="A283" s="72">
        <v>6370</v>
      </c>
      <c r="B283" s="73" t="s">
        <v>328</v>
      </c>
      <c r="C283" s="74" t="s">
        <v>294</v>
      </c>
    </row>
    <row r="284" spans="1:3">
      <c r="A284" s="72">
        <v>6399</v>
      </c>
      <c r="B284" s="73" t="s">
        <v>699</v>
      </c>
      <c r="C284" s="74" t="s">
        <v>294</v>
      </c>
    </row>
    <row r="285" spans="1:3">
      <c r="A285" s="80">
        <v>6400</v>
      </c>
      <c r="B285" s="81" t="s">
        <v>700</v>
      </c>
      <c r="C285" s="82" t="s">
        <v>701</v>
      </c>
    </row>
    <row r="286" spans="1:3">
      <c r="A286" s="80">
        <v>6405</v>
      </c>
      <c r="B286" s="81" t="s">
        <v>702</v>
      </c>
      <c r="C286" s="82" t="s">
        <v>701</v>
      </c>
    </row>
    <row r="287" spans="1:3">
      <c r="A287" s="80">
        <v>6410</v>
      </c>
      <c r="B287" s="81" t="s">
        <v>703</v>
      </c>
      <c r="C287" s="82" t="s">
        <v>701</v>
      </c>
    </row>
    <row r="288" spans="1:3">
      <c r="A288" s="80">
        <v>6415</v>
      </c>
      <c r="B288" s="81" t="s">
        <v>704</v>
      </c>
      <c r="C288" s="82" t="s">
        <v>701</v>
      </c>
    </row>
    <row r="289" spans="1:3">
      <c r="A289" s="80">
        <v>6420</v>
      </c>
      <c r="B289" s="81" t="s">
        <v>705</v>
      </c>
      <c r="C289" s="82" t="s">
        <v>701</v>
      </c>
    </row>
    <row r="290" spans="1:3">
      <c r="A290" s="72">
        <v>6508</v>
      </c>
      <c r="B290" s="73" t="s">
        <v>199</v>
      </c>
      <c r="C290" s="74" t="s">
        <v>329</v>
      </c>
    </row>
    <row r="291" spans="1:3">
      <c r="A291" s="72">
        <v>6510</v>
      </c>
      <c r="B291" s="73" t="s">
        <v>149</v>
      </c>
      <c r="C291" s="74" t="s">
        <v>329</v>
      </c>
    </row>
    <row r="292" spans="1:3">
      <c r="A292" s="72">
        <v>6510.1</v>
      </c>
      <c r="B292" s="73" t="s">
        <v>330</v>
      </c>
      <c r="C292" s="74" t="s">
        <v>329</v>
      </c>
    </row>
    <row r="293" spans="1:3">
      <c r="A293" s="72">
        <v>6512</v>
      </c>
      <c r="B293" s="73" t="s">
        <v>153</v>
      </c>
      <c r="C293" s="74" t="s">
        <v>329</v>
      </c>
    </row>
    <row r="294" spans="1:3">
      <c r="A294" s="72">
        <v>6515</v>
      </c>
      <c r="B294" s="73" t="s">
        <v>331</v>
      </c>
      <c r="C294" s="74" t="s">
        <v>329</v>
      </c>
    </row>
    <row r="295" spans="1:3">
      <c r="A295" s="72">
        <v>6516</v>
      </c>
      <c r="B295" s="73" t="s">
        <v>332</v>
      </c>
      <c r="C295" s="74" t="s">
        <v>329</v>
      </c>
    </row>
    <row r="296" spans="1:3">
      <c r="A296" s="72">
        <v>6517</v>
      </c>
      <c r="B296" s="73" t="s">
        <v>333</v>
      </c>
      <c r="C296" s="74" t="s">
        <v>329</v>
      </c>
    </row>
    <row r="297" spans="1:3">
      <c r="A297" s="72">
        <v>6518</v>
      </c>
      <c r="B297" s="73" t="s">
        <v>334</v>
      </c>
      <c r="C297" s="74" t="s">
        <v>329</v>
      </c>
    </row>
    <row r="298" spans="1:3">
      <c r="A298" s="72">
        <v>6520</v>
      </c>
      <c r="B298" s="73" t="s">
        <v>335</v>
      </c>
      <c r="C298" s="74" t="s">
        <v>329</v>
      </c>
    </row>
    <row r="299" spans="1:3">
      <c r="A299" s="72">
        <v>6525</v>
      </c>
      <c r="B299" s="73" t="s">
        <v>336</v>
      </c>
      <c r="C299" s="74" t="s">
        <v>329</v>
      </c>
    </row>
    <row r="300" spans="1:3">
      <c r="A300" s="72">
        <v>6530</v>
      </c>
      <c r="B300" s="73" t="s">
        <v>337</v>
      </c>
      <c r="C300" s="74" t="s">
        <v>329</v>
      </c>
    </row>
    <row r="301" spans="1:3">
      <c r="A301" s="72">
        <v>6540</v>
      </c>
      <c r="B301" s="73" t="s">
        <v>338</v>
      </c>
      <c r="C301" s="74" t="s">
        <v>329</v>
      </c>
    </row>
    <row r="302" spans="1:3">
      <c r="A302" s="72">
        <v>6550</v>
      </c>
      <c r="B302" s="73" t="s">
        <v>706</v>
      </c>
      <c r="C302" s="74" t="s">
        <v>329</v>
      </c>
    </row>
    <row r="303" spans="1:3">
      <c r="A303" s="72">
        <v>6560</v>
      </c>
      <c r="B303" s="73" t="s">
        <v>340</v>
      </c>
      <c r="C303" s="74" t="s">
        <v>329</v>
      </c>
    </row>
    <row r="304" spans="1:3">
      <c r="A304" s="72">
        <v>6570</v>
      </c>
      <c r="B304" s="73" t="s">
        <v>22</v>
      </c>
      <c r="C304" s="74" t="s">
        <v>329</v>
      </c>
    </row>
    <row r="305" spans="1:3">
      <c r="A305" s="72">
        <v>6570.1</v>
      </c>
      <c r="B305" s="73" t="s">
        <v>707</v>
      </c>
      <c r="C305" s="74" t="s">
        <v>329</v>
      </c>
    </row>
    <row r="306" spans="1:3">
      <c r="A306" s="72">
        <v>6590</v>
      </c>
      <c r="B306" s="73" t="s">
        <v>341</v>
      </c>
      <c r="C306" s="74" t="s">
        <v>329</v>
      </c>
    </row>
    <row r="307" spans="1:3">
      <c r="A307" s="72">
        <v>6591</v>
      </c>
      <c r="B307" s="73" t="s">
        <v>342</v>
      </c>
      <c r="C307" s="74" t="s">
        <v>329</v>
      </c>
    </row>
    <row r="308" spans="1:3">
      <c r="A308" s="72">
        <v>6610</v>
      </c>
      <c r="B308" s="73" t="s">
        <v>343</v>
      </c>
      <c r="C308" s="74" t="s">
        <v>329</v>
      </c>
    </row>
    <row r="309" spans="1:3">
      <c r="A309" s="72">
        <v>6610.1</v>
      </c>
      <c r="B309" s="73" t="s">
        <v>708</v>
      </c>
      <c r="C309" s="74" t="s">
        <v>329</v>
      </c>
    </row>
    <row r="310" spans="1:3">
      <c r="A310" s="72">
        <v>6620</v>
      </c>
      <c r="B310" s="73" t="s">
        <v>344</v>
      </c>
      <c r="C310" s="74" t="s">
        <v>329</v>
      </c>
    </row>
    <row r="311" spans="1:3">
      <c r="A311" s="72">
        <v>6620.1</v>
      </c>
      <c r="B311" s="73" t="s">
        <v>709</v>
      </c>
      <c r="C311" s="74" t="s">
        <v>329</v>
      </c>
    </row>
    <row r="312" spans="1:3">
      <c r="A312" s="72">
        <v>6630</v>
      </c>
      <c r="B312" s="73" t="s">
        <v>42</v>
      </c>
      <c r="C312" s="74" t="s">
        <v>329</v>
      </c>
    </row>
    <row r="313" spans="1:3">
      <c r="A313" s="72">
        <v>6650</v>
      </c>
      <c r="B313" s="73" t="s">
        <v>345</v>
      </c>
      <c r="C313" s="74" t="s">
        <v>329</v>
      </c>
    </row>
    <row r="314" spans="1:3">
      <c r="A314" s="72">
        <v>6699</v>
      </c>
      <c r="B314" s="73" t="s">
        <v>710</v>
      </c>
      <c r="C314" s="74" t="s">
        <v>329</v>
      </c>
    </row>
    <row r="315" spans="1:3">
      <c r="A315" s="72">
        <v>6800</v>
      </c>
      <c r="B315" s="73" t="s">
        <v>43</v>
      </c>
      <c r="C315" s="74" t="s">
        <v>346</v>
      </c>
    </row>
    <row r="316" spans="1:3">
      <c r="A316" s="72">
        <v>6810</v>
      </c>
      <c r="B316" s="73" t="s">
        <v>347</v>
      </c>
      <c r="C316" s="74" t="s">
        <v>346</v>
      </c>
    </row>
    <row r="317" spans="1:3">
      <c r="A317" s="72">
        <v>6820</v>
      </c>
      <c r="B317" s="73" t="s">
        <v>44</v>
      </c>
      <c r="C317" s="74" t="s">
        <v>346</v>
      </c>
    </row>
    <row r="318" spans="1:3">
      <c r="A318" s="72">
        <v>6830</v>
      </c>
      <c r="B318" s="73" t="s">
        <v>45</v>
      </c>
      <c r="C318" s="74" t="s">
        <v>346</v>
      </c>
    </row>
    <row r="319" spans="1:3">
      <c r="A319" s="72">
        <v>6840</v>
      </c>
      <c r="B319" s="73" t="s">
        <v>348</v>
      </c>
      <c r="C319" s="74" t="s">
        <v>346</v>
      </c>
    </row>
    <row r="320" spans="1:3">
      <c r="A320" s="72">
        <v>6850</v>
      </c>
      <c r="B320" s="73" t="s">
        <v>349</v>
      </c>
      <c r="C320" s="74" t="s">
        <v>346</v>
      </c>
    </row>
    <row r="321" spans="1:3">
      <c r="A321" s="72">
        <v>6851</v>
      </c>
      <c r="B321" s="73" t="s">
        <v>146</v>
      </c>
      <c r="C321" s="74" t="s">
        <v>346</v>
      </c>
    </row>
    <row r="322" spans="1:3">
      <c r="A322" s="72">
        <v>6852</v>
      </c>
      <c r="B322" s="73" t="s">
        <v>147</v>
      </c>
      <c r="C322" s="74" t="s">
        <v>346</v>
      </c>
    </row>
    <row r="323" spans="1:3">
      <c r="A323" s="72">
        <v>6853</v>
      </c>
      <c r="B323" s="73" t="s">
        <v>148</v>
      </c>
      <c r="C323" s="74" t="s">
        <v>346</v>
      </c>
    </row>
    <row r="324" spans="1:3">
      <c r="A324" s="72">
        <v>6860</v>
      </c>
      <c r="B324" s="73" t="s">
        <v>350</v>
      </c>
      <c r="C324" s="74" t="s">
        <v>346</v>
      </c>
    </row>
    <row r="325" spans="1:3">
      <c r="A325" s="72">
        <v>6870</v>
      </c>
      <c r="B325" s="73" t="s">
        <v>150</v>
      </c>
      <c r="C325" s="74" t="s">
        <v>346</v>
      </c>
    </row>
    <row r="326" spans="1:3">
      <c r="A326" s="72">
        <v>6880</v>
      </c>
      <c r="B326" s="73" t="s">
        <v>351</v>
      </c>
      <c r="C326" s="74" t="s">
        <v>346</v>
      </c>
    </row>
    <row r="327" spans="1:3">
      <c r="A327" s="72">
        <v>6900</v>
      </c>
      <c r="B327" s="73" t="s">
        <v>352</v>
      </c>
      <c r="C327" s="74" t="s">
        <v>346</v>
      </c>
    </row>
    <row r="328" spans="1:3">
      <c r="A328" s="72">
        <v>7000</v>
      </c>
      <c r="B328" s="73" t="s">
        <v>353</v>
      </c>
      <c r="C328" s="74" t="s">
        <v>354</v>
      </c>
    </row>
    <row r="329" spans="1:3">
      <c r="A329" s="72">
        <v>7005</v>
      </c>
      <c r="B329" s="73" t="s">
        <v>355</v>
      </c>
      <c r="C329" s="74" t="s">
        <v>354</v>
      </c>
    </row>
    <row r="330" spans="1:3">
      <c r="A330" s="72">
        <v>7010</v>
      </c>
      <c r="B330" s="73" t="s">
        <v>356</v>
      </c>
      <c r="C330" s="74" t="s">
        <v>354</v>
      </c>
    </row>
    <row r="331" spans="1:3">
      <c r="A331" s="86">
        <v>7015</v>
      </c>
      <c r="B331" s="87" t="s">
        <v>357</v>
      </c>
      <c r="C331" s="88" t="s">
        <v>354</v>
      </c>
    </row>
    <row r="332" spans="1:3">
      <c r="A332" s="72">
        <v>7017</v>
      </c>
      <c r="B332" s="73" t="s">
        <v>358</v>
      </c>
      <c r="C332" s="74" t="s">
        <v>354</v>
      </c>
    </row>
    <row r="333" spans="1:3">
      <c r="A333" s="72">
        <v>7017.1</v>
      </c>
      <c r="B333" s="73" t="s">
        <v>711</v>
      </c>
      <c r="C333" s="74" t="s">
        <v>354</v>
      </c>
    </row>
    <row r="334" spans="1:3">
      <c r="A334" s="72">
        <v>7020</v>
      </c>
      <c r="B334" s="73" t="s">
        <v>359</v>
      </c>
      <c r="C334" s="74" t="s">
        <v>354</v>
      </c>
    </row>
    <row r="335" spans="1:3">
      <c r="A335" s="72">
        <v>7030</v>
      </c>
      <c r="B335" s="73" t="s">
        <v>360</v>
      </c>
      <c r="C335" s="74" t="s">
        <v>354</v>
      </c>
    </row>
    <row r="336" spans="1:3">
      <c r="A336" s="86">
        <v>7040</v>
      </c>
      <c r="B336" s="87" t="s">
        <v>361</v>
      </c>
      <c r="C336" s="88" t="s">
        <v>354</v>
      </c>
    </row>
    <row r="337" spans="1:3">
      <c r="A337" s="89">
        <v>7050</v>
      </c>
      <c r="B337" s="90" t="s">
        <v>712</v>
      </c>
      <c r="C337" s="91" t="s">
        <v>354</v>
      </c>
    </row>
    <row r="338" spans="1:3">
      <c r="A338" s="72">
        <v>7060</v>
      </c>
      <c r="B338" s="73" t="s">
        <v>362</v>
      </c>
      <c r="C338" s="74" t="s">
        <v>354</v>
      </c>
    </row>
    <row r="339" spans="1:3">
      <c r="A339" s="72">
        <v>7060.1</v>
      </c>
      <c r="B339" s="73" t="s">
        <v>713</v>
      </c>
      <c r="C339" s="74" t="s">
        <v>354</v>
      </c>
    </row>
    <row r="340" spans="1:3">
      <c r="A340" s="72">
        <v>7099</v>
      </c>
      <c r="B340" s="73" t="s">
        <v>714</v>
      </c>
      <c r="C340" s="74" t="s">
        <v>354</v>
      </c>
    </row>
    <row r="341" spans="1:3">
      <c r="A341" s="72">
        <v>7200</v>
      </c>
      <c r="B341" s="73" t="s">
        <v>363</v>
      </c>
      <c r="C341" s="74" t="s">
        <v>364</v>
      </c>
    </row>
    <row r="342" spans="1:3">
      <c r="A342" s="72">
        <v>7210</v>
      </c>
      <c r="B342" s="73" t="s">
        <v>365</v>
      </c>
      <c r="C342" s="74" t="s">
        <v>364</v>
      </c>
    </row>
    <row r="343" spans="1:3">
      <c r="A343" s="72">
        <v>7220</v>
      </c>
      <c r="B343" s="73" t="s">
        <v>12</v>
      </c>
      <c r="C343" s="74" t="s">
        <v>364</v>
      </c>
    </row>
    <row r="344" spans="1:3">
      <c r="A344" s="72">
        <v>7230</v>
      </c>
      <c r="B344" s="73" t="s">
        <v>366</v>
      </c>
      <c r="C344" s="74" t="s">
        <v>364</v>
      </c>
    </row>
    <row r="345" spans="1:3">
      <c r="A345" s="72">
        <v>7235</v>
      </c>
      <c r="B345" s="73" t="s">
        <v>367</v>
      </c>
      <c r="C345" s="74" t="s">
        <v>364</v>
      </c>
    </row>
    <row r="346" spans="1:3">
      <c r="A346" s="72">
        <v>7237</v>
      </c>
      <c r="B346" s="73" t="s">
        <v>136</v>
      </c>
      <c r="C346" s="74" t="s">
        <v>364</v>
      </c>
    </row>
    <row r="347" spans="1:3">
      <c r="A347" s="72">
        <v>7240</v>
      </c>
      <c r="B347" s="73" t="s">
        <v>368</v>
      </c>
      <c r="C347" s="74" t="s">
        <v>364</v>
      </c>
    </row>
    <row r="348" spans="1:3">
      <c r="A348" s="72">
        <v>7251</v>
      </c>
      <c r="B348" s="73" t="s">
        <v>369</v>
      </c>
      <c r="C348" s="74" t="s">
        <v>364</v>
      </c>
    </row>
    <row r="349" spans="1:3">
      <c r="A349" s="72">
        <v>7260</v>
      </c>
      <c r="B349" s="73" t="s">
        <v>59</v>
      </c>
      <c r="C349" s="74" t="s">
        <v>364</v>
      </c>
    </row>
    <row r="350" spans="1:3">
      <c r="A350" s="72">
        <v>7270</v>
      </c>
      <c r="B350" s="73" t="s">
        <v>60</v>
      </c>
      <c r="C350" s="74" t="s">
        <v>364</v>
      </c>
    </row>
    <row r="351" spans="1:3">
      <c r="A351" s="72">
        <v>7280</v>
      </c>
      <c r="B351" s="73" t="s">
        <v>370</v>
      </c>
      <c r="C351" s="74" t="s">
        <v>364</v>
      </c>
    </row>
    <row r="352" spans="1:3">
      <c r="A352" s="72">
        <v>7290</v>
      </c>
      <c r="B352" s="73" t="s">
        <v>134</v>
      </c>
      <c r="C352" s="74" t="s">
        <v>364</v>
      </c>
    </row>
    <row r="353" spans="1:3">
      <c r="A353" s="72">
        <v>7300</v>
      </c>
      <c r="B353" s="73" t="s">
        <v>133</v>
      </c>
      <c r="C353" s="74" t="s">
        <v>364</v>
      </c>
    </row>
    <row r="354" spans="1:3">
      <c r="A354" s="72">
        <v>7320</v>
      </c>
      <c r="B354" s="73" t="s">
        <v>371</v>
      </c>
      <c r="C354" s="74" t="s">
        <v>364</v>
      </c>
    </row>
    <row r="355" spans="1:3">
      <c r="A355" s="72">
        <v>7330</v>
      </c>
      <c r="B355" s="73" t="s">
        <v>372</v>
      </c>
      <c r="C355" s="74" t="s">
        <v>364</v>
      </c>
    </row>
    <row r="356" spans="1:3">
      <c r="A356" s="72">
        <v>7340</v>
      </c>
      <c r="B356" s="73" t="s">
        <v>373</v>
      </c>
      <c r="C356" s="74" t="s">
        <v>364</v>
      </c>
    </row>
    <row r="357" spans="1:3">
      <c r="A357" s="72">
        <v>7350</v>
      </c>
      <c r="B357" s="73" t="s">
        <v>374</v>
      </c>
      <c r="C357" s="74" t="s">
        <v>364</v>
      </c>
    </row>
    <row r="358" spans="1:3">
      <c r="A358" s="72">
        <v>7355</v>
      </c>
      <c r="B358" s="73" t="s">
        <v>375</v>
      </c>
      <c r="C358" s="74" t="s">
        <v>364</v>
      </c>
    </row>
    <row r="359" spans="1:3">
      <c r="A359" s="72">
        <v>7360</v>
      </c>
      <c r="B359" s="73" t="s">
        <v>376</v>
      </c>
      <c r="C359" s="74" t="s">
        <v>364</v>
      </c>
    </row>
    <row r="360" spans="1:3">
      <c r="A360" s="72">
        <v>7370</v>
      </c>
      <c r="B360" s="73" t="s">
        <v>135</v>
      </c>
      <c r="C360" s="74" t="s">
        <v>364</v>
      </c>
    </row>
    <row r="361" spans="1:3">
      <c r="A361" s="72">
        <v>7380</v>
      </c>
      <c r="B361" s="73" t="s">
        <v>377</v>
      </c>
      <c r="C361" s="74" t="s">
        <v>364</v>
      </c>
    </row>
    <row r="362" spans="1:3">
      <c r="A362" s="72">
        <v>7390</v>
      </c>
      <c r="B362" s="73" t="s">
        <v>378</v>
      </c>
      <c r="C362" s="74" t="s">
        <v>364</v>
      </c>
    </row>
    <row r="363" spans="1:3">
      <c r="A363" s="72">
        <v>7400</v>
      </c>
      <c r="B363" s="73" t="s">
        <v>379</v>
      </c>
      <c r="C363" s="74" t="s">
        <v>364</v>
      </c>
    </row>
    <row r="364" spans="1:3">
      <c r="A364" s="72">
        <v>7410</v>
      </c>
      <c r="B364" s="73" t="s">
        <v>380</v>
      </c>
      <c r="C364" s="74" t="s">
        <v>364</v>
      </c>
    </row>
    <row r="365" spans="1:3">
      <c r="A365" s="72">
        <v>7420</v>
      </c>
      <c r="B365" s="73" t="s">
        <v>381</v>
      </c>
      <c r="C365" s="74" t="s">
        <v>364</v>
      </c>
    </row>
    <row r="366" spans="1:3">
      <c r="A366" s="72">
        <v>7430</v>
      </c>
      <c r="B366" s="73" t="s">
        <v>382</v>
      </c>
      <c r="C366" s="74" t="s">
        <v>364</v>
      </c>
    </row>
    <row r="367" spans="1:3">
      <c r="A367" s="72">
        <v>7440</v>
      </c>
      <c r="B367" s="73" t="s">
        <v>383</v>
      </c>
      <c r="C367" s="74" t="s">
        <v>364</v>
      </c>
    </row>
    <row r="368" spans="1:3">
      <c r="A368" s="72">
        <v>7450</v>
      </c>
      <c r="B368" s="73" t="s">
        <v>384</v>
      </c>
      <c r="C368" s="74" t="s">
        <v>364</v>
      </c>
    </row>
    <row r="369" spans="1:3">
      <c r="A369" s="72">
        <v>7460</v>
      </c>
      <c r="B369" s="73" t="s">
        <v>385</v>
      </c>
      <c r="C369" s="74" t="s">
        <v>364</v>
      </c>
    </row>
    <row r="370" spans="1:3">
      <c r="A370" s="72">
        <v>7470</v>
      </c>
      <c r="B370" s="73" t="s">
        <v>386</v>
      </c>
      <c r="C370" s="74" t="s">
        <v>364</v>
      </c>
    </row>
    <row r="371" spans="1:3">
      <c r="A371" s="72">
        <v>7472</v>
      </c>
      <c r="B371" s="73" t="s">
        <v>277</v>
      </c>
      <c r="C371" s="74" t="s">
        <v>364</v>
      </c>
    </row>
    <row r="372" spans="1:3">
      <c r="A372" s="72">
        <v>7480</v>
      </c>
      <c r="B372" s="73" t="s">
        <v>387</v>
      </c>
      <c r="C372" s="74" t="s">
        <v>364</v>
      </c>
    </row>
    <row r="373" spans="1:3">
      <c r="A373" s="72">
        <v>7485</v>
      </c>
      <c r="B373" s="73" t="s">
        <v>388</v>
      </c>
      <c r="C373" s="74" t="s">
        <v>364</v>
      </c>
    </row>
    <row r="374" spans="1:3">
      <c r="A374" s="72">
        <v>7490</v>
      </c>
      <c r="B374" s="73" t="s">
        <v>389</v>
      </c>
      <c r="C374" s="74" t="s">
        <v>364</v>
      </c>
    </row>
    <row r="375" spans="1:3">
      <c r="A375" s="72">
        <v>7500</v>
      </c>
      <c r="B375" s="73" t="s">
        <v>390</v>
      </c>
      <c r="C375" s="74" t="s">
        <v>364</v>
      </c>
    </row>
    <row r="376" spans="1:3">
      <c r="A376" s="72">
        <v>7510</v>
      </c>
      <c r="B376" s="73" t="s">
        <v>391</v>
      </c>
      <c r="C376" s="74" t="s">
        <v>364</v>
      </c>
    </row>
    <row r="377" spans="1:3">
      <c r="A377" s="72">
        <v>7599</v>
      </c>
      <c r="B377" s="73" t="s">
        <v>715</v>
      </c>
      <c r="C377" s="74" t="s">
        <v>364</v>
      </c>
    </row>
    <row r="378" spans="1:3">
      <c r="A378" s="86">
        <v>7601</v>
      </c>
      <c r="B378" s="87" t="s">
        <v>716</v>
      </c>
      <c r="C378" s="88" t="s">
        <v>364</v>
      </c>
    </row>
    <row r="379" spans="1:3">
      <c r="A379" s="86">
        <v>7602</v>
      </c>
      <c r="B379" s="87" t="s">
        <v>717</v>
      </c>
      <c r="C379" s="88" t="s">
        <v>364</v>
      </c>
    </row>
    <row r="380" spans="1:3">
      <c r="A380" s="86">
        <v>7603</v>
      </c>
      <c r="B380" s="87" t="s">
        <v>718</v>
      </c>
      <c r="C380" s="88" t="s">
        <v>364</v>
      </c>
    </row>
    <row r="381" spans="1:3">
      <c r="A381" s="86">
        <v>7604</v>
      </c>
      <c r="B381" s="87" t="s">
        <v>719</v>
      </c>
      <c r="C381" s="88" t="s">
        <v>364</v>
      </c>
    </row>
    <row r="382" spans="1:3">
      <c r="A382" s="86">
        <v>7605</v>
      </c>
      <c r="B382" s="87" t="s">
        <v>720</v>
      </c>
      <c r="C382" s="88" t="s">
        <v>364</v>
      </c>
    </row>
    <row r="383" spans="1:3">
      <c r="A383" s="86">
        <v>7606</v>
      </c>
      <c r="B383" s="87" t="s">
        <v>721</v>
      </c>
      <c r="C383" s="88" t="s">
        <v>364</v>
      </c>
    </row>
    <row r="384" spans="1:3">
      <c r="A384" s="86">
        <v>7607</v>
      </c>
      <c r="B384" s="87" t="s">
        <v>722</v>
      </c>
      <c r="C384" s="88" t="s">
        <v>364</v>
      </c>
    </row>
    <row r="385" spans="1:3">
      <c r="A385" s="86">
        <v>7608</v>
      </c>
      <c r="B385" s="87" t="s">
        <v>723</v>
      </c>
      <c r="C385" s="88" t="s">
        <v>364</v>
      </c>
    </row>
    <row r="386" spans="1:3">
      <c r="A386" s="86">
        <v>7609</v>
      </c>
      <c r="B386" s="87" t="s">
        <v>724</v>
      </c>
      <c r="C386" s="88" t="s">
        <v>364</v>
      </c>
    </row>
    <row r="387" spans="1:3">
      <c r="A387" s="86">
        <v>7610</v>
      </c>
      <c r="B387" s="87" t="s">
        <v>725</v>
      </c>
      <c r="C387" s="88" t="s">
        <v>364</v>
      </c>
    </row>
    <row r="388" spans="1:3">
      <c r="A388" s="86">
        <v>7611</v>
      </c>
      <c r="B388" s="87" t="s">
        <v>726</v>
      </c>
      <c r="C388" s="88" t="s">
        <v>364</v>
      </c>
    </row>
    <row r="389" spans="1:3">
      <c r="A389" s="86">
        <v>7612</v>
      </c>
      <c r="B389" s="87" t="s">
        <v>727</v>
      </c>
      <c r="C389" s="88" t="s">
        <v>364</v>
      </c>
    </row>
    <row r="390" spans="1:3">
      <c r="A390" s="86">
        <v>7613</v>
      </c>
      <c r="B390" s="87" t="s">
        <v>728</v>
      </c>
      <c r="C390" s="88" t="s">
        <v>364</v>
      </c>
    </row>
    <row r="391" spans="1:3">
      <c r="A391" s="86">
        <v>7614</v>
      </c>
      <c r="B391" s="87" t="s">
        <v>729</v>
      </c>
      <c r="C391" s="88" t="s">
        <v>364</v>
      </c>
    </row>
    <row r="392" spans="1:3">
      <c r="A392" s="86">
        <v>7615</v>
      </c>
      <c r="B392" s="87" t="s">
        <v>730</v>
      </c>
      <c r="C392" s="88" t="s">
        <v>364</v>
      </c>
    </row>
    <row r="393" spans="1:3">
      <c r="A393" s="86">
        <v>7616</v>
      </c>
      <c r="B393" s="87" t="s">
        <v>731</v>
      </c>
      <c r="C393" s="88" t="s">
        <v>364</v>
      </c>
    </row>
    <row r="394" spans="1:3">
      <c r="A394" s="86">
        <v>7617</v>
      </c>
      <c r="B394" s="87" t="s">
        <v>732</v>
      </c>
      <c r="C394" s="88" t="s">
        <v>364</v>
      </c>
    </row>
    <row r="395" spans="1:3">
      <c r="A395" s="86">
        <v>7618</v>
      </c>
      <c r="B395" s="87" t="s">
        <v>733</v>
      </c>
      <c r="C395" s="88" t="s">
        <v>364</v>
      </c>
    </row>
    <row r="396" spans="1:3">
      <c r="A396" s="86">
        <v>7619</v>
      </c>
      <c r="B396" s="87" t="s">
        <v>734</v>
      </c>
      <c r="C396" s="88" t="s">
        <v>364</v>
      </c>
    </row>
    <row r="397" spans="1:3">
      <c r="A397" s="86">
        <v>7620</v>
      </c>
      <c r="B397" s="87" t="s">
        <v>735</v>
      </c>
      <c r="C397" s="88" t="s">
        <v>364</v>
      </c>
    </row>
    <row r="398" spans="1:3">
      <c r="A398" s="86">
        <v>7621</v>
      </c>
      <c r="B398" s="87" t="s">
        <v>736</v>
      </c>
      <c r="C398" s="88" t="s">
        <v>364</v>
      </c>
    </row>
    <row r="399" spans="1:3">
      <c r="A399" s="86">
        <v>7622</v>
      </c>
      <c r="B399" s="87" t="s">
        <v>737</v>
      </c>
      <c r="C399" s="88" t="s">
        <v>364</v>
      </c>
    </row>
    <row r="400" spans="1:3">
      <c r="A400" s="86">
        <v>7623</v>
      </c>
      <c r="B400" s="87" t="s">
        <v>738</v>
      </c>
      <c r="C400" s="88" t="s">
        <v>364</v>
      </c>
    </row>
    <row r="401" spans="1:3">
      <c r="A401" s="86">
        <v>7624</v>
      </c>
      <c r="B401" s="87" t="s">
        <v>739</v>
      </c>
      <c r="C401" s="88" t="s">
        <v>364</v>
      </c>
    </row>
    <row r="402" spans="1:3">
      <c r="A402" s="86">
        <v>7625</v>
      </c>
      <c r="B402" s="87" t="s">
        <v>740</v>
      </c>
      <c r="C402" s="88" t="s">
        <v>364</v>
      </c>
    </row>
    <row r="403" spans="1:3">
      <c r="A403" s="86">
        <v>7626</v>
      </c>
      <c r="B403" s="87" t="s">
        <v>741</v>
      </c>
      <c r="C403" s="88" t="s">
        <v>364</v>
      </c>
    </row>
    <row r="404" spans="1:3">
      <c r="A404" s="86">
        <v>7627</v>
      </c>
      <c r="B404" s="87" t="s">
        <v>742</v>
      </c>
      <c r="C404" s="88" t="s">
        <v>364</v>
      </c>
    </row>
    <row r="405" spans="1:3">
      <c r="A405" s="86">
        <v>7628</v>
      </c>
      <c r="B405" s="87" t="s">
        <v>743</v>
      </c>
      <c r="C405" s="88" t="s">
        <v>364</v>
      </c>
    </row>
    <row r="406" spans="1:3">
      <c r="A406" s="86">
        <v>7629</v>
      </c>
      <c r="B406" s="87" t="s">
        <v>744</v>
      </c>
      <c r="C406" s="88" t="s">
        <v>364</v>
      </c>
    </row>
    <row r="407" spans="1:3">
      <c r="A407" s="86">
        <v>7630</v>
      </c>
      <c r="B407" s="87" t="s">
        <v>745</v>
      </c>
      <c r="C407" s="88" t="s">
        <v>364</v>
      </c>
    </row>
    <row r="408" spans="1:3">
      <c r="A408" s="86">
        <v>7631</v>
      </c>
      <c r="B408" s="87" t="s">
        <v>746</v>
      </c>
      <c r="C408" s="88" t="s">
        <v>364</v>
      </c>
    </row>
    <row r="409" spans="1:3">
      <c r="A409" s="86">
        <v>7632</v>
      </c>
      <c r="B409" s="87" t="s">
        <v>747</v>
      </c>
      <c r="C409" s="88" t="s">
        <v>364</v>
      </c>
    </row>
    <row r="410" spans="1:3">
      <c r="A410" s="72">
        <v>7700</v>
      </c>
      <c r="B410" s="73" t="s">
        <v>475</v>
      </c>
      <c r="C410" s="74" t="s">
        <v>392</v>
      </c>
    </row>
    <row r="411" spans="1:3">
      <c r="A411" s="72">
        <v>7710</v>
      </c>
      <c r="B411" s="73" t="s">
        <v>393</v>
      </c>
      <c r="C411" s="74" t="s">
        <v>392</v>
      </c>
    </row>
    <row r="412" spans="1:3">
      <c r="A412" s="72">
        <v>7715</v>
      </c>
      <c r="B412" s="73" t="s">
        <v>748</v>
      </c>
      <c r="C412" s="74" t="s">
        <v>392</v>
      </c>
    </row>
    <row r="413" spans="1:3">
      <c r="A413" s="72">
        <v>7720</v>
      </c>
      <c r="B413" s="73" t="s">
        <v>394</v>
      </c>
      <c r="C413" s="74" t="s">
        <v>364</v>
      </c>
    </row>
    <row r="414" spans="1:3">
      <c r="A414" s="72">
        <v>7730</v>
      </c>
      <c r="B414" s="73" t="s">
        <v>749</v>
      </c>
      <c r="C414" s="74" t="s">
        <v>392</v>
      </c>
    </row>
    <row r="415" spans="1:3">
      <c r="A415" s="72">
        <v>7740</v>
      </c>
      <c r="B415" s="73" t="s">
        <v>477</v>
      </c>
      <c r="C415" s="74" t="s">
        <v>392</v>
      </c>
    </row>
    <row r="416" spans="1:3">
      <c r="A416" s="72">
        <v>7750</v>
      </c>
      <c r="B416" s="73" t="s">
        <v>476</v>
      </c>
      <c r="C416" s="74" t="s">
        <v>392</v>
      </c>
    </row>
    <row r="417" spans="1:3">
      <c r="A417" s="72">
        <v>7760</v>
      </c>
      <c r="B417" s="73" t="s">
        <v>750</v>
      </c>
      <c r="C417" s="74" t="s">
        <v>392</v>
      </c>
    </row>
    <row r="418" spans="1:3">
      <c r="A418" s="72">
        <v>7765</v>
      </c>
      <c r="B418" s="73" t="s">
        <v>751</v>
      </c>
      <c r="C418" s="74" t="s">
        <v>392</v>
      </c>
    </row>
    <row r="419" spans="1:3">
      <c r="A419" s="72">
        <v>7770</v>
      </c>
      <c r="B419" s="73" t="s">
        <v>752</v>
      </c>
      <c r="C419" s="74" t="s">
        <v>392</v>
      </c>
    </row>
    <row r="420" spans="1:3">
      <c r="A420" s="72">
        <v>7780</v>
      </c>
      <c r="B420" s="73" t="s">
        <v>753</v>
      </c>
      <c r="C420" s="74" t="s">
        <v>392</v>
      </c>
    </row>
    <row r="421" spans="1:3">
      <c r="A421" s="72">
        <v>7790</v>
      </c>
      <c r="B421" s="73" t="s">
        <v>754</v>
      </c>
      <c r="C421" s="74" t="s">
        <v>392</v>
      </c>
    </row>
    <row r="422" spans="1:3">
      <c r="A422" s="72">
        <v>7800</v>
      </c>
      <c r="B422" s="73" t="s">
        <v>137</v>
      </c>
      <c r="C422" s="74" t="s">
        <v>392</v>
      </c>
    </row>
    <row r="423" spans="1:3">
      <c r="A423" s="72">
        <v>7810</v>
      </c>
      <c r="B423" s="73" t="s">
        <v>755</v>
      </c>
      <c r="C423" s="74" t="s">
        <v>392</v>
      </c>
    </row>
    <row r="424" spans="1:3">
      <c r="A424" s="72">
        <v>7820</v>
      </c>
      <c r="B424" s="73" t="s">
        <v>756</v>
      </c>
      <c r="C424" s="74" t="s">
        <v>392</v>
      </c>
    </row>
    <row r="425" spans="1:3">
      <c r="A425" s="72">
        <v>7899</v>
      </c>
      <c r="B425" s="73" t="s">
        <v>757</v>
      </c>
      <c r="C425" s="74" t="s">
        <v>392</v>
      </c>
    </row>
    <row r="426" spans="1:3">
      <c r="A426" s="72">
        <v>7900</v>
      </c>
      <c r="B426" s="73" t="s">
        <v>7</v>
      </c>
      <c r="C426" s="74" t="s">
        <v>395</v>
      </c>
    </row>
    <row r="427" spans="1:3">
      <c r="A427" s="72">
        <v>7910</v>
      </c>
      <c r="B427" s="73" t="s">
        <v>396</v>
      </c>
      <c r="C427" s="74" t="s">
        <v>395</v>
      </c>
    </row>
    <row r="428" spans="1:3">
      <c r="A428" s="72">
        <v>8010</v>
      </c>
      <c r="B428" s="73" t="s">
        <v>397</v>
      </c>
      <c r="C428" s="74" t="s">
        <v>398</v>
      </c>
    </row>
    <row r="429" spans="1:3">
      <c r="A429" s="72">
        <v>8015</v>
      </c>
      <c r="B429" s="73" t="s">
        <v>399</v>
      </c>
      <c r="C429" s="74" t="s">
        <v>398</v>
      </c>
    </row>
    <row r="430" spans="1:3">
      <c r="A430" s="72">
        <v>8020</v>
      </c>
      <c r="B430" s="73" t="s">
        <v>758</v>
      </c>
      <c r="C430" s="74" t="s">
        <v>398</v>
      </c>
    </row>
    <row r="431" spans="1:3">
      <c r="A431" s="72">
        <v>8025</v>
      </c>
      <c r="B431" s="73" t="s">
        <v>400</v>
      </c>
      <c r="C431" s="74" t="s">
        <v>398</v>
      </c>
    </row>
    <row r="432" spans="1:3">
      <c r="A432" s="72">
        <v>8080</v>
      </c>
      <c r="B432" s="73" t="s">
        <v>402</v>
      </c>
      <c r="C432" s="74" t="s">
        <v>401</v>
      </c>
    </row>
    <row r="433" spans="1:3">
      <c r="A433" s="72">
        <v>8080.1</v>
      </c>
      <c r="B433" s="73" t="s">
        <v>493</v>
      </c>
      <c r="C433" s="74" t="s">
        <v>401</v>
      </c>
    </row>
    <row r="434" spans="1:3">
      <c r="A434" s="72">
        <v>8081</v>
      </c>
      <c r="B434" s="73" t="s">
        <v>403</v>
      </c>
      <c r="C434" s="74" t="s">
        <v>401</v>
      </c>
    </row>
    <row r="435" spans="1:3">
      <c r="A435" s="72">
        <v>8082</v>
      </c>
      <c r="B435" s="73" t="s">
        <v>759</v>
      </c>
      <c r="C435" s="74" t="s">
        <v>401</v>
      </c>
    </row>
    <row r="436" spans="1:3">
      <c r="A436" s="72">
        <v>8083</v>
      </c>
      <c r="B436" s="73" t="s">
        <v>760</v>
      </c>
      <c r="C436" s="74" t="s">
        <v>401</v>
      </c>
    </row>
    <row r="437" spans="1:3">
      <c r="A437" s="72">
        <v>8084</v>
      </c>
      <c r="B437" s="73" t="s">
        <v>761</v>
      </c>
      <c r="C437" s="74" t="s">
        <v>401</v>
      </c>
    </row>
    <row r="438" spans="1:3">
      <c r="A438" s="72">
        <v>8085</v>
      </c>
      <c r="B438" s="73" t="s">
        <v>404</v>
      </c>
      <c r="C438" s="74" t="s">
        <v>401</v>
      </c>
    </row>
    <row r="439" spans="1:3">
      <c r="A439" s="72">
        <v>8090</v>
      </c>
      <c r="B439" s="73" t="s">
        <v>762</v>
      </c>
      <c r="C439" s="74" t="s">
        <v>401</v>
      </c>
    </row>
    <row r="440" spans="1:3">
      <c r="A440" s="72">
        <v>8090.1</v>
      </c>
      <c r="B440" s="73" t="s">
        <v>496</v>
      </c>
      <c r="C440" s="74" t="s">
        <v>401</v>
      </c>
    </row>
    <row r="441" spans="1:3">
      <c r="A441" s="72">
        <v>8091</v>
      </c>
      <c r="B441" s="73" t="s">
        <v>763</v>
      </c>
      <c r="C441" s="74" t="s">
        <v>401</v>
      </c>
    </row>
    <row r="442" spans="1:3">
      <c r="A442" s="72">
        <v>8095</v>
      </c>
      <c r="B442" s="73" t="s">
        <v>764</v>
      </c>
      <c r="C442" s="74" t="s">
        <v>401</v>
      </c>
    </row>
    <row r="443" spans="1:3">
      <c r="A443" s="72">
        <v>8100</v>
      </c>
      <c r="B443" s="73" t="s">
        <v>21</v>
      </c>
      <c r="C443" s="74" t="s">
        <v>398</v>
      </c>
    </row>
    <row r="444" spans="1:3">
      <c r="A444" s="72">
        <v>8111</v>
      </c>
      <c r="B444" s="73" t="s">
        <v>405</v>
      </c>
      <c r="C444" s="74" t="s">
        <v>364</v>
      </c>
    </row>
    <row r="445" spans="1:3">
      <c r="A445" s="72">
        <v>8145</v>
      </c>
      <c r="B445" s="73" t="s">
        <v>406</v>
      </c>
      <c r="C445" s="74" t="s">
        <v>398</v>
      </c>
    </row>
    <row r="446" spans="1:3">
      <c r="A446" s="72">
        <v>8150</v>
      </c>
      <c r="B446" s="73" t="s">
        <v>407</v>
      </c>
      <c r="C446" s="74" t="s">
        <v>398</v>
      </c>
    </row>
    <row r="447" spans="1:3">
      <c r="A447" s="72">
        <v>8155</v>
      </c>
      <c r="B447" s="73" t="s">
        <v>408</v>
      </c>
      <c r="C447" s="74" t="s">
        <v>398</v>
      </c>
    </row>
    <row r="448" spans="1:3">
      <c r="A448" s="72">
        <v>8160</v>
      </c>
      <c r="B448" s="73" t="s">
        <v>765</v>
      </c>
      <c r="C448" s="74" t="s">
        <v>398</v>
      </c>
    </row>
    <row r="449" spans="1:3">
      <c r="A449" s="72">
        <v>8510</v>
      </c>
      <c r="B449" s="73" t="s">
        <v>409</v>
      </c>
      <c r="C449" s="74" t="s">
        <v>410</v>
      </c>
    </row>
    <row r="450" spans="1:3">
      <c r="A450" s="72">
        <v>8512</v>
      </c>
      <c r="B450" s="73" t="s">
        <v>411</v>
      </c>
      <c r="C450" s="74" t="s">
        <v>410</v>
      </c>
    </row>
    <row r="451" spans="1:3">
      <c r="A451" s="72">
        <v>8513</v>
      </c>
      <c r="B451" s="73" t="s">
        <v>412</v>
      </c>
      <c r="C451" s="74" t="s">
        <v>410</v>
      </c>
    </row>
    <row r="452" spans="1:3">
      <c r="A452" s="72">
        <v>8514</v>
      </c>
      <c r="B452" s="73" t="s">
        <v>413</v>
      </c>
      <c r="C452" s="74" t="s">
        <v>410</v>
      </c>
    </row>
    <row r="453" spans="1:3">
      <c r="A453" s="72">
        <v>8515</v>
      </c>
      <c r="B453" s="73" t="s">
        <v>414</v>
      </c>
      <c r="C453" s="74" t="s">
        <v>410</v>
      </c>
    </row>
    <row r="454" spans="1:3">
      <c r="A454" s="72">
        <v>8516</v>
      </c>
      <c r="B454" s="73" t="s">
        <v>415</v>
      </c>
      <c r="C454" s="74" t="s">
        <v>410</v>
      </c>
    </row>
    <row r="455" spans="1:3">
      <c r="A455" s="72">
        <v>8520</v>
      </c>
      <c r="B455" s="73" t="s">
        <v>416</v>
      </c>
      <c r="C455" s="74" t="s">
        <v>410</v>
      </c>
    </row>
    <row r="456" spans="1:3">
      <c r="A456" s="72">
        <v>8525</v>
      </c>
      <c r="B456" s="73" t="s">
        <v>417</v>
      </c>
      <c r="C456" s="74" t="s">
        <v>410</v>
      </c>
    </row>
    <row r="457" spans="1:3">
      <c r="A457" s="72">
        <v>9001</v>
      </c>
      <c r="B457" s="73" t="s">
        <v>418</v>
      </c>
      <c r="C457" s="74" t="s">
        <v>401</v>
      </c>
    </row>
    <row r="458" spans="1:3">
      <c r="A458" s="72">
        <v>9002</v>
      </c>
      <c r="B458" s="73" t="s">
        <v>419</v>
      </c>
      <c r="C458" s="74" t="s">
        <v>401</v>
      </c>
    </row>
    <row r="459" spans="1:3">
      <c r="A459" s="72">
        <v>9003</v>
      </c>
      <c r="B459" s="73" t="s">
        <v>420</v>
      </c>
      <c r="C459" s="74" t="s">
        <v>401</v>
      </c>
    </row>
    <row r="460" spans="1:3">
      <c r="A460" s="72">
        <v>9004</v>
      </c>
      <c r="B460" s="73" t="s">
        <v>421</v>
      </c>
      <c r="C460" s="74" t="s">
        <v>401</v>
      </c>
    </row>
    <row r="461" spans="1:3">
      <c r="A461" s="72">
        <v>9005</v>
      </c>
      <c r="B461" s="73" t="s">
        <v>422</v>
      </c>
      <c r="C461" s="74" t="s">
        <v>401</v>
      </c>
    </row>
    <row r="462" spans="1:3">
      <c r="A462" s="72">
        <v>9020</v>
      </c>
      <c r="B462" s="73" t="s">
        <v>423</v>
      </c>
      <c r="C462" s="74" t="s">
        <v>401</v>
      </c>
    </row>
    <row r="463" spans="1:3">
      <c r="A463" s="72">
        <v>9030</v>
      </c>
      <c r="B463" s="73" t="s">
        <v>424</v>
      </c>
      <c r="C463" s="74" t="s">
        <v>425</v>
      </c>
    </row>
    <row r="464" spans="1:3">
      <c r="A464" s="72">
        <v>9031</v>
      </c>
      <c r="B464" s="73" t="s">
        <v>426</v>
      </c>
      <c r="C464" s="74" t="s">
        <v>425</v>
      </c>
    </row>
    <row r="465" spans="1:3">
      <c r="A465" s="72">
        <v>9032</v>
      </c>
      <c r="B465" s="73" t="s">
        <v>427</v>
      </c>
      <c r="C465" s="74" t="s">
        <v>425</v>
      </c>
    </row>
    <row r="466" spans="1:3">
      <c r="A466" s="72">
        <v>9033</v>
      </c>
      <c r="B466" s="73" t="s">
        <v>428</v>
      </c>
      <c r="C466" s="74" t="s">
        <v>425</v>
      </c>
    </row>
    <row r="467" spans="1:3">
      <c r="A467" s="72">
        <v>9034</v>
      </c>
      <c r="B467" s="73" t="s">
        <v>766</v>
      </c>
      <c r="C467" s="74" t="s">
        <v>425</v>
      </c>
    </row>
    <row r="468" spans="1:3">
      <c r="A468" s="72">
        <v>9041</v>
      </c>
      <c r="B468" s="73" t="s">
        <v>429</v>
      </c>
      <c r="C468" s="74" t="s">
        <v>425</v>
      </c>
    </row>
    <row r="469" spans="1:3">
      <c r="A469" s="72">
        <v>9042</v>
      </c>
      <c r="B469" s="73" t="s">
        <v>430</v>
      </c>
      <c r="C469" s="74" t="s">
        <v>425</v>
      </c>
    </row>
    <row r="470" spans="1:3">
      <c r="A470" s="92">
        <v>9043</v>
      </c>
      <c r="B470" s="93" t="s">
        <v>767</v>
      </c>
      <c r="C470" s="94" t="s">
        <v>425</v>
      </c>
    </row>
    <row r="471" spans="1:3">
      <c r="A471" s="95" t="s">
        <v>768</v>
      </c>
      <c r="B471" s="90" t="s">
        <v>769</v>
      </c>
      <c r="C471" s="91" t="s">
        <v>425</v>
      </c>
    </row>
    <row r="472" spans="1:3">
      <c r="A472" s="72">
        <v>9044</v>
      </c>
      <c r="B472" s="73" t="s">
        <v>770</v>
      </c>
      <c r="C472" s="74" t="s">
        <v>425</v>
      </c>
    </row>
    <row r="473" spans="1:3">
      <c r="A473" s="72">
        <v>9045</v>
      </c>
      <c r="B473" s="73" t="s">
        <v>771</v>
      </c>
      <c r="C473" s="74" t="s">
        <v>425</v>
      </c>
    </row>
    <row r="474" spans="1:3">
      <c r="A474" s="72">
        <v>9085</v>
      </c>
      <c r="B474" s="73" t="s">
        <v>431</v>
      </c>
      <c r="C474" s="74" t="s">
        <v>432</v>
      </c>
    </row>
    <row r="475" spans="1:3">
      <c r="A475" s="72">
        <v>9087</v>
      </c>
      <c r="B475" s="73" t="s">
        <v>433</v>
      </c>
      <c r="C475" s="74" t="s">
        <v>432</v>
      </c>
    </row>
    <row r="476" spans="1:3">
      <c r="A476" s="72">
        <v>9100</v>
      </c>
      <c r="B476" s="96" t="s">
        <v>434</v>
      </c>
      <c r="C476" s="74" t="s">
        <v>432</v>
      </c>
    </row>
    <row r="477" spans="1:3">
      <c r="A477" s="72">
        <v>9102</v>
      </c>
      <c r="B477" s="96" t="s">
        <v>435</v>
      </c>
      <c r="C477" s="74" t="s">
        <v>432</v>
      </c>
    </row>
    <row r="478" spans="1:3">
      <c r="A478" s="72">
        <v>9103</v>
      </c>
      <c r="B478" s="96" t="s">
        <v>436</v>
      </c>
      <c r="C478" s="74" t="s">
        <v>432</v>
      </c>
    </row>
    <row r="479" spans="1:3">
      <c r="A479" s="72">
        <v>9105</v>
      </c>
      <c r="B479" s="96" t="s">
        <v>437</v>
      </c>
      <c r="C479" s="74" t="s">
        <v>432</v>
      </c>
    </row>
    <row r="480" spans="1:3">
      <c r="A480" s="72">
        <v>9110</v>
      </c>
      <c r="B480" s="96" t="s">
        <v>438</v>
      </c>
      <c r="C480" s="74" t="s">
        <v>432</v>
      </c>
    </row>
    <row r="481" spans="1:3">
      <c r="A481" s="72">
        <v>9111</v>
      </c>
      <c r="B481" s="96" t="s">
        <v>439</v>
      </c>
      <c r="C481" s="74" t="s">
        <v>432</v>
      </c>
    </row>
    <row r="482" spans="1:3">
      <c r="A482" s="72">
        <v>9112</v>
      </c>
      <c r="B482" s="96" t="s">
        <v>440</v>
      </c>
      <c r="C482" s="74" t="s">
        <v>432</v>
      </c>
    </row>
    <row r="483" spans="1:3">
      <c r="A483" s="72">
        <v>9115</v>
      </c>
      <c r="B483" s="96" t="s">
        <v>441</v>
      </c>
      <c r="C483" s="74" t="s">
        <v>432</v>
      </c>
    </row>
    <row r="484" spans="1:3">
      <c r="A484" s="72">
        <v>9120</v>
      </c>
      <c r="B484" s="96" t="s">
        <v>442</v>
      </c>
      <c r="C484" s="74" t="s">
        <v>432</v>
      </c>
    </row>
    <row r="485" spans="1:3">
      <c r="A485" s="72">
        <v>9123</v>
      </c>
      <c r="B485" s="96" t="s">
        <v>443</v>
      </c>
      <c r="C485" s="74" t="s">
        <v>432</v>
      </c>
    </row>
    <row r="486" spans="1:3">
      <c r="A486" s="72">
        <v>9125</v>
      </c>
      <c r="B486" s="96" t="s">
        <v>444</v>
      </c>
      <c r="C486" s="74" t="s">
        <v>432</v>
      </c>
    </row>
    <row r="487" spans="1:3">
      <c r="A487" s="72">
        <v>9126</v>
      </c>
      <c r="B487" s="96" t="s">
        <v>445</v>
      </c>
      <c r="C487" s="74" t="s">
        <v>432</v>
      </c>
    </row>
    <row r="488" spans="1:3">
      <c r="A488" s="72">
        <v>9127</v>
      </c>
      <c r="B488" s="96" t="s">
        <v>446</v>
      </c>
      <c r="C488" s="74" t="s">
        <v>432</v>
      </c>
    </row>
    <row r="489" spans="1:3">
      <c r="A489" s="72">
        <v>9128</v>
      </c>
      <c r="B489" s="96" t="s">
        <v>447</v>
      </c>
      <c r="C489" s="74" t="s">
        <v>432</v>
      </c>
    </row>
    <row r="490" spans="1:3">
      <c r="A490" s="72">
        <v>9129</v>
      </c>
      <c r="B490" s="96" t="s">
        <v>448</v>
      </c>
      <c r="C490" s="74" t="s">
        <v>432</v>
      </c>
    </row>
    <row r="491" spans="1:3">
      <c r="A491" s="72">
        <v>9130</v>
      </c>
      <c r="B491" s="96" t="s">
        <v>449</v>
      </c>
      <c r="C491" s="74" t="s">
        <v>432</v>
      </c>
    </row>
    <row r="492" spans="1:3">
      <c r="A492" s="72">
        <v>9131</v>
      </c>
      <c r="B492" s="96" t="s">
        <v>772</v>
      </c>
      <c r="C492" s="74" t="s">
        <v>432</v>
      </c>
    </row>
    <row r="493" spans="1:3">
      <c r="A493" s="76">
        <v>9132</v>
      </c>
      <c r="B493" s="97" t="s">
        <v>773</v>
      </c>
      <c r="C493" s="78" t="s">
        <v>432</v>
      </c>
    </row>
    <row r="494" spans="1:3">
      <c r="A494" s="72">
        <v>9135</v>
      </c>
      <c r="B494" s="96" t="s">
        <v>450</v>
      </c>
      <c r="C494" s="74" t="s">
        <v>432</v>
      </c>
    </row>
    <row r="495" spans="1:3">
      <c r="A495" s="72">
        <v>9136</v>
      </c>
      <c r="B495" s="96" t="s">
        <v>451</v>
      </c>
      <c r="C495" s="74" t="s">
        <v>432</v>
      </c>
    </row>
    <row r="496" spans="1:3">
      <c r="A496" s="72">
        <v>9137</v>
      </c>
      <c r="B496" s="96" t="s">
        <v>452</v>
      </c>
      <c r="C496" s="74" t="s">
        <v>432</v>
      </c>
    </row>
    <row r="497" spans="1:3">
      <c r="A497" s="72">
        <v>9140</v>
      </c>
      <c r="B497" s="96" t="s">
        <v>453</v>
      </c>
      <c r="C497" s="74" t="s">
        <v>432</v>
      </c>
    </row>
    <row r="498" spans="1:3">
      <c r="A498" s="72">
        <v>9145</v>
      </c>
      <c r="B498" s="96" t="s">
        <v>454</v>
      </c>
      <c r="C498" s="74" t="s">
        <v>432</v>
      </c>
    </row>
    <row r="499" spans="1:3">
      <c r="A499" s="72">
        <v>9150</v>
      </c>
      <c r="B499" s="96" t="s">
        <v>455</v>
      </c>
      <c r="C499" s="74" t="s">
        <v>432</v>
      </c>
    </row>
    <row r="500" spans="1:3">
      <c r="A500" s="72">
        <v>9155</v>
      </c>
      <c r="B500" s="96" t="s">
        <v>456</v>
      </c>
      <c r="C500" s="74" t="s">
        <v>432</v>
      </c>
    </row>
    <row r="501" spans="1:3">
      <c r="A501" s="72">
        <v>9160</v>
      </c>
      <c r="B501" s="96" t="s">
        <v>457</v>
      </c>
      <c r="C501" s="74" t="s">
        <v>432</v>
      </c>
    </row>
    <row r="502" spans="1:3">
      <c r="A502" s="72">
        <v>9165</v>
      </c>
      <c r="B502" s="96" t="s">
        <v>458</v>
      </c>
      <c r="C502" s="74" t="s">
        <v>432</v>
      </c>
    </row>
    <row r="503" spans="1:3">
      <c r="A503" s="72">
        <v>9166</v>
      </c>
      <c r="B503" s="96" t="s">
        <v>459</v>
      </c>
      <c r="C503" s="74" t="s">
        <v>432</v>
      </c>
    </row>
    <row r="504" spans="1:3">
      <c r="A504" s="72">
        <v>9167</v>
      </c>
      <c r="B504" s="96" t="s">
        <v>460</v>
      </c>
      <c r="C504" s="74" t="s">
        <v>432</v>
      </c>
    </row>
    <row r="505" spans="1:3">
      <c r="A505" s="72">
        <v>9167.1</v>
      </c>
      <c r="B505" s="73" t="s">
        <v>461</v>
      </c>
      <c r="C505" s="74" t="s">
        <v>432</v>
      </c>
    </row>
    <row r="506" spans="1:3">
      <c r="A506" s="72">
        <v>9167.2000000000007</v>
      </c>
      <c r="B506" s="73" t="s">
        <v>462</v>
      </c>
      <c r="C506" s="74" t="s">
        <v>432</v>
      </c>
    </row>
    <row r="507" spans="1:3">
      <c r="A507" s="72">
        <v>9167.2999999999993</v>
      </c>
      <c r="B507" s="73" t="s">
        <v>463</v>
      </c>
      <c r="C507" s="74" t="s">
        <v>432</v>
      </c>
    </row>
    <row r="508" spans="1:3">
      <c r="A508" s="72">
        <v>9169</v>
      </c>
      <c r="B508" s="96" t="s">
        <v>464</v>
      </c>
      <c r="C508" s="74" t="s">
        <v>432</v>
      </c>
    </row>
    <row r="509" spans="1:3">
      <c r="A509" s="72">
        <v>9170</v>
      </c>
      <c r="B509" s="96" t="s">
        <v>465</v>
      </c>
      <c r="C509" s="74" t="s">
        <v>432</v>
      </c>
    </row>
    <row r="510" spans="1:3">
      <c r="A510" s="72">
        <v>9199</v>
      </c>
      <c r="B510" s="96" t="s">
        <v>774</v>
      </c>
      <c r="C510" s="74" t="s">
        <v>432</v>
      </c>
    </row>
    <row r="511" spans="1:3">
      <c r="A511" s="98">
        <v>9200</v>
      </c>
      <c r="B511" s="99" t="s">
        <v>466</v>
      </c>
      <c r="C511" s="100" t="s">
        <v>432</v>
      </c>
    </row>
  </sheetData>
  <dataValidations count="1">
    <dataValidation type="list" allowBlank="1" showInputMessage="1" showErrorMessage="1" sqref="C328:C511 C3:C284" xr:uid="{3E1732B6-0145-4D8C-88C6-163B96B4D552}">
      <formula1>MF_Categories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16</vt:i4>
      </vt:variant>
    </vt:vector>
  </HeadingPairs>
  <TitlesOfParts>
    <vt:vector size="35" baseType="lpstr">
      <vt:lpstr>CHECKLIST</vt:lpstr>
      <vt:lpstr>Cover</vt:lpstr>
      <vt:lpstr>Summary</vt:lpstr>
      <vt:lpstr>Start Up Budget Detail</vt:lpstr>
      <vt:lpstr>Start Up Media Schedule</vt:lpstr>
      <vt:lpstr>Start Up Maintenance List </vt:lpstr>
      <vt:lpstr>Start Up Payroll</vt:lpstr>
      <vt:lpstr>GPR Worksheet</vt:lpstr>
      <vt:lpstr>Operating Budget</vt:lpstr>
      <vt:lpstr>Reforecast tool</vt:lpstr>
      <vt:lpstr>Revenue Worksheet</vt:lpstr>
      <vt:lpstr>Other Income</vt:lpstr>
      <vt:lpstr>Operating Expenses</vt:lpstr>
      <vt:lpstr>Non-Operating Expenses</vt:lpstr>
      <vt:lpstr>Payroll Worksheet</vt:lpstr>
      <vt:lpstr>Marketing Worksheet</vt:lpstr>
      <vt:lpstr>Make Ready Worksheet</vt:lpstr>
      <vt:lpstr>QS_Chart_Of_Accounts_Upload</vt:lpstr>
      <vt:lpstr>Chart of Accounts</vt:lpstr>
      <vt:lpstr>End</vt:lpstr>
      <vt:lpstr>Cover!Print_Area</vt:lpstr>
      <vt:lpstr>'GPR Worksheet'!Print_Area</vt:lpstr>
      <vt:lpstr>'Marketing Worksheet'!Print_Area</vt:lpstr>
      <vt:lpstr>'Operating Budget'!Print_Area</vt:lpstr>
      <vt:lpstr>'Operating Expenses'!Print_Area</vt:lpstr>
      <vt:lpstr>'Other Income'!Print_Area</vt:lpstr>
      <vt:lpstr>'Payroll Worksheet'!Print_Area</vt:lpstr>
      <vt:lpstr>'Revenue Worksheet'!Print_Area</vt:lpstr>
      <vt:lpstr>'Start Up Budget Detail'!Print_Area</vt:lpstr>
      <vt:lpstr>'Start Up Media Schedule'!Print_Area</vt:lpstr>
      <vt:lpstr>'Start Up Payroll'!Print_Area</vt:lpstr>
      <vt:lpstr>'Operating Budget'!Print_Titles</vt:lpstr>
      <vt:lpstr>'Start Up Budget Detail'!Print_Titles</vt:lpstr>
      <vt:lpstr>'Start Up Media Schedule'!Print_Titles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CREModels</dc:creator>
  <cp:lastModifiedBy>Microsoft Office User</cp:lastModifiedBy>
  <cp:lastPrinted>2020-10-01T16:22:41Z</cp:lastPrinted>
  <dcterms:created xsi:type="dcterms:W3CDTF">2002-10-18T13:49:35Z</dcterms:created>
  <dcterms:modified xsi:type="dcterms:W3CDTF">2023-11-28T21:05:32Z</dcterms:modified>
</cp:coreProperties>
</file>